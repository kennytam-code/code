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er" sheetId="1" state="visible" r:id="rId1"/>
    <sheet name="Database" sheetId="2" state="visible" r:id="rId2"/>
    <sheet name="Pipeline" sheetId="3" state="visible" r:id="rId3"/>
    <sheet name="AH" sheetId="4" state="visible" r:id="rId4"/>
    <sheet name="CS League" sheetId="5" state="visible" r:id="rId5"/>
    <sheet name="SM League" sheetId="6" state="visible" r:id="rId6"/>
    <sheet name="Verify (BBG)" sheetId="7" state="visible" r:id="rId7"/>
    <sheet name="Analogs" sheetId="8" state="visible" r:id="rId8"/>
    <sheet name="SizeBench" sheetId="9" state="visible" r:id="rId9"/>
    <sheet name="BBG Verify" sheetId="10" state="visible" r:id="rId10"/>
    <sheet name="Taxonomy" sheetId="11" state="visible" r:id="rId11"/>
    <sheet name="Verification" sheetId="12" state="visible" r:id="rId12"/>
    <sheet name="Calc (scoring engine)" sheetId="13" state="visible" r:id="rId13"/>
    <sheet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'Database'!$A$4:$BZ$518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0" pivotButton="0" quotePrefix="0" xfId="0"/>
    <xf numFmtId="169" fontId="4" fillId="0" borderId="6"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A-share close, last month (Bloomberg)</a:t>
            </a:r>
          </a:p>
        </rich>
      </tx>
    </title>
    <plotArea>
      <lineChart>
        <grouping val="standard"/>
        <ser>
          <idx val="0"/>
          <order val="0"/>
          <tx>
            <strRef>
              <f>'Screener'!G55</f>
            </strRef>
          </tx>
          <spPr>
            <a:ln>
              <a:prstDash val="solid"/>
            </a:ln>
          </spPr>
          <marker>
            <symbol val="none"/>
            <spPr>
              <a:ln>
                <a:prstDash val="solid"/>
              </a:ln>
            </spPr>
          </marker>
          <cat>
            <numRef>
              <f>'Screener'!$F$56:$F$79</f>
            </numRef>
          </cat>
          <val>
            <numRef>
              <f>'Screener'!$G$56:$G$79</f>
            </numRef>
          </val>
        </ser>
        <axId val="10"/>
        <axId val="100"/>
      </lineChart>
      <catAx>
        <axId val="10"/>
        <scaling>
          <orientation val="minMax"/>
        </scaling>
        <delete val="0"/>
        <axPos val="l"/>
        <title>
          <tx>
            <rich>
              <a:bodyPr/>
              <a:p>
                <a:pPr>
                  <a:defRPr/>
                </a:pPr>
                <a:r>
                  <a:t>session</a:t>
                </a:r>
              </a:p>
            </rich>
          </tx>
        </title>
        <majorTickMark val="none"/>
        <minorTickMark val="none"/>
        <crossAx val="100"/>
        <lblOffset val="100"/>
      </catAx>
      <valAx>
        <axId val="100"/>
        <scaling>
          <orientation val="minMax"/>
        </scaling>
        <delete val="0"/>
        <axPos val="l"/>
        <majorGridlines/>
        <title>
          <tx>
            <rich>
              <a:bodyPr/>
              <a:p>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51</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2A78D6"/>
    <outlinePr summaryBelow="1" summaryRight="1"/>
    <pageSetUpPr/>
  </sheetPr>
  <dimension ref="A1:BT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4" customWidth="1" min="25" max="25"/>
    <col width="12" customWidth="1" min="26" max="26"/>
    <col width="12" customWidth="1" min="27" max="27"/>
    <col width="13" customWidth="1" min="28" max="28"/>
    <col width="17" customWidth="1" min="29" max="29"/>
    <col width="13" customWidth="1" min="30" max="30"/>
    <col width="3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10" customWidth="1" min="48" max="48"/>
    <col width="11" customWidth="1" min="49" max="49"/>
    <col width="11" customWidth="1" min="50" max="50"/>
    <col width="8" customWidth="1" min="51" max="51"/>
    <col width="8" customWidth="1" min="52" max="52"/>
    <col width="10" customWidth="1" min="53" max="53"/>
    <col width="10" customWidth="1" min="54" max="54"/>
    <col width="8" customWidth="1" min="55" max="55"/>
    <col width="11" customWidth="1" min="56" max="56"/>
    <col width="10" customWidth="1" min="57" max="57"/>
    <col width="10"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4" customWidth="1" min="68" max="68"/>
    <col width="9" customWidth="1" min="69" max="69"/>
    <col width="14" customWidth="1" min="70" max="70"/>
    <col width="8" customWidth="1" min="71" max="71"/>
    <col width="46" customWidth="1" min="72" max="72"/>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IFERROR(IF(INDEX(Database!$AJ$5:$AJ$518,MATCH($B$5,Database!$B$5:$B$518,0))="","—",INDEX(Database!$AJ$5:$AJ$518,MATCH($B$5,Database!$B$5:$B$518,0))),"not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IFERROR(IF(INDEX(Database!$AN$5:$AN$518,MATCH($B$5,Database!$B$5:$B$518,0))="","—",INDEX(Database!$AN$5:$AN$518,MATCH($B$5,Database!$B$5:$B$518,0))),"not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IFERROR(IF(INDEX(Database!$BR$5:$BR$518,MATCH($B$5,Database!$B$5:$B$518,0))="","—",INDEX(Database!$BR$5:$BR$518,MATCH($B$5,Database!$B$5:$B$518,0))),"not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4" t="n"/>
      <c r="AC19" s="34" t="n"/>
      <c r="AD19" s="34" t="n"/>
      <c r="AE19" s="34" t="n"/>
      <c r="AF19" s="35" t="n"/>
      <c r="AG19" s="12" t="inlineStr">
        <is>
          <t>PERFORMANCE</t>
        </is>
      </c>
      <c r="AH19" s="34" t="n"/>
      <c r="AI19" s="34" t="n"/>
      <c r="AJ19" s="34" t="n"/>
      <c r="AK19" s="34" t="n"/>
      <c r="AL19" s="34" t="n"/>
      <c r="AM19" s="34" t="n"/>
      <c r="AN19" s="34" t="n"/>
      <c r="AO19" s="34" t="n"/>
      <c r="AP19" s="34" t="n"/>
      <c r="AQ19" s="34" t="n"/>
      <c r="AR19" s="34" t="n"/>
      <c r="AS19" s="34" t="n"/>
      <c r="AT19" s="34" t="n"/>
      <c r="AU19" s="34" t="n"/>
      <c r="AV19" s="35" t="n"/>
      <c r="AW19" s="12" t="inlineStr">
        <is>
          <t>FUNDAMENTALS</t>
        </is>
      </c>
      <c r="AX19" s="34" t="n"/>
      <c r="AY19" s="34" t="n"/>
      <c r="AZ19" s="34" t="n"/>
      <c r="BA19" s="34" t="n"/>
      <c r="BB19" s="34" t="n"/>
      <c r="BC19" s="34" t="n"/>
      <c r="BD19" s="34" t="n"/>
      <c r="BE19" s="34" t="n"/>
      <c r="BF19" s="35" t="n"/>
      <c r="BG19" s="12" t="inlineStr">
        <is>
          <t>A / H</t>
        </is>
      </c>
      <c r="BH19" s="34" t="n"/>
      <c r="BI19" s="34" t="n"/>
      <c r="BJ19" s="34" t="n"/>
      <c r="BK19" s="34" t="n"/>
      <c r="BL19" s="34" t="n"/>
      <c r="BM19" s="34" t="n"/>
      <c r="BN19" s="35" t="n"/>
      <c r="BO19" s="12" t="inlineStr">
        <is>
          <t>BANKS &amp; DOCS</t>
        </is>
      </c>
      <c r="BP19" s="35" t="n"/>
      <c r="BQ19" s="12" t="inlineStr">
        <is>
          <t>SCORING</t>
        </is>
      </c>
      <c r="BR19" s="34" t="n"/>
      <c r="BS19" s="34" t="n"/>
      <c r="BT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Grey mkt % vs offer</t>
        </is>
      </c>
      <c r="Z20" s="36" t="inlineStr">
        <is>
          <t>Grey mkt close</t>
        </is>
      </c>
      <c r="AA20" s="36" t="inlineStr">
        <is>
          <t>Grey → day-1</t>
        </is>
      </c>
      <c r="AB20" s="36" t="inlineStr">
        <is>
          <t>Grey called day-1</t>
        </is>
      </c>
      <c r="AC20" s="36" t="inlineStr">
        <is>
          <t>Shoe outcome (final)</t>
        </is>
      </c>
      <c r="AD20" s="36" t="inlineStr">
        <is>
          <t>Shoe ends (filed)</t>
        </is>
      </c>
      <c r="AE20" s="36" t="inlineStr">
        <is>
          <t>Stabilising manager</t>
        </is>
      </c>
      <c r="AF20" s="36" t="inlineStr">
        <is>
          <t>SM key</t>
        </is>
      </c>
      <c r="AG20" s="36" t="inlineStr">
        <is>
          <t>Day-1</t>
        </is>
      </c>
      <c r="AH20" s="36" t="inlineStr">
        <is>
          <t>Day-1 open pop</t>
        </is>
      </c>
      <c r="AI20" s="36" t="inlineStr">
        <is>
          <t>Day-1 open→close</t>
        </is>
      </c>
      <c r="AJ20" s="36" t="inlineStr">
        <is>
          <t>1-week</t>
        </is>
      </c>
      <c r="AK20" s="36" t="inlineStr">
        <is>
          <t>1-month</t>
        </is>
      </c>
      <c r="AL20" s="36" t="inlineStr">
        <is>
          <t>3-month</t>
        </is>
      </c>
      <c r="AM20" s="37" t="inlineStr">
        <is>
          <t>1w ex-pop</t>
        </is>
      </c>
      <c r="AN20" s="37" t="inlineStr">
        <is>
          <t>1m ex-pop</t>
        </is>
      </c>
      <c r="AO20" s="37" t="inlineStr">
        <is>
          <t>3m ex-pop</t>
        </is>
      </c>
      <c r="AP20" s="36" t="inlineStr">
        <is>
          <t>Alpha 1w vs index</t>
        </is>
      </c>
      <c r="AQ20" s="36" t="inlineStr">
        <is>
          <t>Alpha 1m vs index</t>
        </is>
      </c>
      <c r="AR20" s="36" t="inlineStr">
        <is>
          <t>Alpha 3m vs index</t>
        </is>
      </c>
      <c r="AS20" s="37" t="inlineStr">
        <is>
          <t>Alpha 1m ex-pop</t>
        </is>
      </c>
      <c r="AT20" s="36" t="inlineStr">
        <is>
          <t>Index, IPO→1m</t>
        </is>
      </c>
      <c r="AU20" s="36" t="inlineStr">
        <is>
          <t>Index, d1→1m</t>
        </is>
      </c>
      <c r="AV20" s="36" t="inlineStr">
        <is>
          <t>Since IPO</t>
        </is>
      </c>
      <c r="AW20" s="36" t="inlineStr">
        <is>
          <t>Latest FY rev (HK$m)</t>
        </is>
      </c>
      <c r="AX20" s="36" t="inlineStr">
        <is>
          <t>Latest FY NI (HK$m)</t>
        </is>
      </c>
      <c r="AY20" s="36" t="inlineStr">
        <is>
          <t>Profitable</t>
        </is>
      </c>
      <c r="AZ20" s="36" t="inlineStr">
        <is>
          <t>P/E at IPO</t>
        </is>
      </c>
      <c r="BA20" s="36" t="inlineStr">
        <is>
          <t>P/E at IPO (BBG)</t>
        </is>
      </c>
      <c r="BB20" s="36" t="inlineStr">
        <is>
          <t>P/E today (BBG)</t>
        </is>
      </c>
      <c r="BC20" s="36" t="inlineStr">
        <is>
          <t>P/S at IPO</t>
        </is>
      </c>
      <c r="BD20" s="36" t="inlineStr">
        <is>
          <t>P/S today (BBG)</t>
        </is>
      </c>
      <c r="BE20" s="36" t="inlineStr">
        <is>
          <t>P/E now (x)</t>
        </is>
      </c>
      <c r="BF20" s="36" t="inlineStr">
        <is>
          <t>P/S now (x)</t>
        </is>
      </c>
      <c r="BG20" s="36" t="inlineStr">
        <is>
          <t>A/H pair</t>
        </is>
      </c>
      <c r="BH20" s="36" t="inlineStr">
        <is>
          <t>A-share code</t>
        </is>
      </c>
      <c r="BI20" s="36" t="inlineStr">
        <is>
          <t>A prem vs H at IPO</t>
        </is>
      </c>
      <c r="BJ20" s="36" t="inlineStr">
        <is>
          <t>A close used (HK$)</t>
        </is>
      </c>
      <c r="BK20" s="36" t="inlineStr">
        <is>
          <t>A premium (today)</t>
        </is>
      </c>
      <c r="BL20" s="36" t="inlineStr">
        <is>
          <t>A-line mkt cap now (HK$m)</t>
        </is>
      </c>
      <c r="BM20" s="36" t="inlineStr">
        <is>
          <t>A P/E @H-IPO (BBG)</t>
        </is>
      </c>
      <c r="BN20" s="36" t="inlineStr">
        <is>
          <t>HSAHP @IPO (BBG)</t>
        </is>
      </c>
      <c r="BO20" s="36" t="inlineStr">
        <is>
          <t>Sponsors</t>
        </is>
      </c>
      <c r="BP20" s="36" t="inlineStr">
        <is>
          <t>Bookrunners</t>
        </is>
      </c>
      <c r="BQ20" s="36" t="inlineStr">
        <is>
          <t>Shared CS</t>
        </is>
      </c>
      <c r="BR20" s="36" t="inlineStr">
        <is>
          <t>Match</t>
        </is>
      </c>
      <c r="BS20" s="36" t="inlineStr">
        <is>
          <t>Score</t>
        </is>
      </c>
      <c r="BT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23">
        <f>IF(OR(1&gt;MAX(3,MIN(15,N($D$18))),IFERROR(LARGE('Calc (scoring engine)'!$K$5:$K$518,1),-999999)&lt;=-900000),"",IFERROR(IF(INDEX(Database!$AB$5:$AB$518,MATCH(LARGE('Calc (scoring engine)'!$K$5:$K$518,1),'Calc (scoring engine)'!$K$5:$K$518,0))="","—",INDEX(Database!$AB$5:$AB$518,MATCH(LARGE('Calc (scoring engine)'!$K$5:$K$518,1),'Calc (scoring engine)'!$K$5:$K$518,0))),""))</f>
        <v/>
      </c>
      <c r="Z21" s="40">
        <f>IF(OR(1&gt;MAX(3,MIN(15,N($D$18))),IFERROR(LARGE('Calc (scoring engine)'!$K$5:$K$518,1),-999999)&lt;=-900000),"",IFERROR(IF(INDEX(Database!$AC$5:$AC$518,MATCH(LARGE('Calc (scoring engine)'!$K$5:$K$518,1),'Calc (scoring engine)'!$K$5:$K$518,0))="","—",INDEX(Database!$AC$5:$AC$518,MATCH(LARGE('Calc (scoring engine)'!$K$5:$K$518,1),'Calc (scoring engine)'!$K$5:$K$518,0))),""))</f>
        <v/>
      </c>
      <c r="AA21" s="23">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10">
        <f>IF(OR(1&gt;MAX(3,MIN(15,N($D$18))),IFERROR(LARGE('Calc (scoring engine)'!$K$5:$K$518,1),-999999)&lt;=-900000),"",IFERROR(IF(INDEX(Database!$AF$5:$AF$518,MATCH(LARGE('Calc (scoring engine)'!$K$5:$K$518,1),'Calc (scoring engine)'!$K$5:$K$518,0))="","—",INDEX(Database!$AF$5:$AF$518,MATCH(LARGE('Calc (scoring engine)'!$K$5:$K$518,1),'Calc (scoring engine)'!$K$5:$K$518,0))),""))</f>
        <v/>
      </c>
      <c r="AD21" s="10">
        <f>IF(OR(1&gt;MAX(3,MIN(15,N($D$18))),IFERROR(LARGE('Calc (scoring engine)'!$K$5:$K$518,1),-999999)&lt;=-900000),"",IFERROR(IF(INDEX(Database!$AG$5:$AG$518,MATCH(LARGE('Calc (scoring engine)'!$K$5:$K$518,1),'Calc (scoring engine)'!$K$5:$K$518,0))="","—",INDEX(Database!$AG$5:$AG$518,MATCH(LARGE('Calc (scoring engine)'!$K$5:$K$518,1),'Calc (scoring engine)'!$K$5:$K$518,0))),""))</f>
        <v/>
      </c>
      <c r="AE21" s="10">
        <f>IF(OR(1&gt;MAX(3,MIN(15,N($D$18))),IFERROR(LARGE('Calc (scoring engine)'!$K$5:$K$518,1),-999999)&lt;=-900000),"",IFERROR(IF(INDEX(Database!$AH$5:$AH$518,MATCH(LARGE('Calc (scoring engine)'!$K$5:$K$518,1),'Calc (scoring engine)'!$K$5:$K$518,0))="","—",INDEX(Database!$AH$5:$AH$518,MATCH(LARGE('Calc (scoring engine)'!$K$5:$K$518,1),'Calc (scoring engine)'!$K$5:$K$518,0))),""))</f>
        <v/>
      </c>
      <c r="AF21" s="10">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engine)'!$K$5:$K$518,1),-999999)&lt;=-900000),"",IFERROR(IF(INDEX(Database!$AZ$5:$AZ$518,MATCH(LARGE('Calc (scoring engine)'!$K$5:$K$518,1),'Calc (scoring engine)'!$K$5:$K$518,0))="","—",INDEX(Database!$AZ$5:$AZ$518,MATCH(LARGE('Calc (scoring engine)'!$K$5:$K$518,1),'Calc (scoring engine)'!$K$5:$K$518,0))),""))</f>
        <v/>
      </c>
      <c r="AW21" s="18">
        <f>IF(OR(1&gt;MAX(3,MIN(15,N($D$18))),IFERROR(LARGE('Calc (scoring engine)'!$K$5:$K$518,1),-999999)&lt;=-900000),"",IFERROR(IF(INDEX(Database!$BB$5:$BB$518,MATCH(LARGE('Calc (scoring engine)'!$K$5:$K$518,1),'Calc (scoring engine)'!$K$5:$K$518,0))="","—",INDEX(Database!$BB$5:$BB$518,MATCH(LARGE('Calc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0">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engine)'!$K$5:$K$518,1),-999999)&lt;=-900000),"",IFERROR(IF(N(INDEX(Database!$BE$5:$BE$518,MATCH(LARGE('Calc (scoring engine)'!$K$5:$K$518,1),'Calc (scoring engine)'!$K$5:$K$518,0)))&lt;=0,IF(INDEX(Database!$BD$5:$BD$518,MATCH(LARGE('Calc (scoring engine)'!$K$5:$K$518,1),'Calc (scoring engine)'!$K$5:$K$518,0))="N","n/m","—"),INDEX(Database!$BE$5:$BE$518,MATCH(LARGE('Calc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engine)'!$K$5:$K$518,1),-999999)&lt;=-900000),"",IFERROR(IFERROR(BDP(TEXT(INDEX(Database!$A$5:$A$518,MATCH(LARGE('Calc (scoring engine)'!$K$5:$K$518,1),'Calc (scoring engine)'!$K$5:$K$518,0)),"0")&amp;" HK Equity","PE_RATIO"),IF(INDEX(Database!$BG$5:$BG$518,MATCH(LARGE('Calc (scoring engine)'!$K$5:$K$518,1),'Calc (scoring engine)'!$K$5:$K$518,0))="","—",INDEX(Database!$BG$5:$BG$518,MATCH(LARGE('Calc (scoring engine)'!$K$5:$K$518,1),'Calc (scoring engine)'!$K$5:$K$518,0)))),""))</f>
        <v/>
      </c>
      <c r="BF21" s="24">
        <f>IF(OR(1&gt;MAX(3,MIN(15,N($D$18))),IFERROR(LARGE('Calc (scoring engine)'!$K$5:$K$518,1),-999999)&lt;=-900000),"",IFERROR(IFERROR(BDP(TEXT(INDEX(Database!$A$5:$A$518,MATCH(LARGE('Calc (scoring engine)'!$K$5:$K$518,1),'Calc (scoring engine)'!$K$5:$K$518,0)),"0")&amp;" HK Equity","PX_TO_SALES_RATIO"),IF(INDEX(Database!$BH$5:$BH$518,MATCH(LARGE('Calc (scoring engine)'!$K$5:$K$518,1),'Calc (scoring engine)'!$K$5:$K$518,0))="","—",INDEX(Database!$BH$5:$BH$518,MATCH(LARGE('Calc (scoring engine)'!$K$5:$K$518,1),'Calc (scoring engine)'!$K$5:$K$518,0)))),""))</f>
        <v/>
      </c>
      <c r="BG21" s="10">
        <f>IF(OR(1&gt;MAX(3,MIN(15,N($D$18))),IFERROR(LARGE('Calc (scoring engine)'!$K$5:$K$518,1),-999999)&lt;=-900000),"",IFERROR(IF(INDEX(Database!$BJ$5:$BJ$518,MATCH(LARGE('Calc (scoring engine)'!$K$5:$K$518,1),'Calc (scoring engine)'!$K$5:$K$518,0))="","—",INDEX(Database!$BJ$5:$BJ$518,MATCH(LARGE('Calc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23">
        <f>IF(OR(1&gt;MAX(3,MIN(15,N($D$18))),IFERROR(LARGE('Calc (scoring engine)'!$K$5:$K$518,1),-999999)&lt;=-900000),"",IFERROR(IF(INDEX(Database!$BL$5:$BL$518,MATCH(LARGE('Calc (scoring engine)'!$K$5:$K$518,1),'Calc (scoring engine)'!$K$5:$K$518,0))="","—",INDEX(Database!$BL$5:$BL$518,MATCH(LARGE('Calc (scoring engine)'!$K$5:$K$518,1),'Calc (scoring engine)'!$K$5:$K$518,0))),""))</f>
        <v/>
      </c>
      <c r="BJ21" s="40">
        <f>IF(OR(1&gt;MAX(3,MIN(15,N($D$18))),IFERROR(LARGE('Calc (scoring engine)'!$K$5:$K$518,1),-999999)&lt;=-900000),"",IFERROR(IF(INDEX(Database!$BM$5:$BM$518,MATCH(LARGE('Calc (scoring engine)'!$K$5:$K$518,1),'Calc (scoring engine)'!$K$5:$K$518,0))="","—",INDEX(Database!$BM$5:$BM$518,MATCH(LARGE('Calc (scoring engine)'!$K$5:$K$518,1),'Calc (scoring engine)'!$K$5:$K$518,0))),""))</f>
        <v/>
      </c>
      <c r="BK21" s="43">
        <f>IF(OR(1&gt;MAX(3,MIN(15,N($D$18))),IFERROR(LARGE('Calc (scoring engine)'!$K$5:$K$518,1),-999999)&lt;=-900000),"",IFERROR(IF(INDEX(Database!$BN$5:$BN$518,MATCH(LARGE('Calc (scoring engine)'!$K$5:$K$518,1),'Calc (scoring engine)'!$K$5:$K$518,0))="","—",INDEX(Database!$BN$5:$BN$518,MATCH(LARGE('Calc (scoring engine)'!$K$5:$K$518,1),'Calc (scoring engine)'!$K$5:$K$518,0))),""))</f>
        <v/>
      </c>
      <c r="BL21" s="18">
        <f>IF(OR(1&gt;MAX(3,MIN(15,N($D$18))),IFERROR(LARGE('Calc (scoring engine)'!$K$5:$K$518,1),-999999)&lt;=-900000),"",IFERROR(IF(INDEX(Database!$BO$5:$BO$518,MATCH(LARGE('Calc (scoring engine)'!$K$5:$K$518,1),'Calc (scoring engine)'!$K$5:$K$518,0))="","—",INDEX(Database!$BO$5:$BO$518,MATCH(LARGE('Calc (scoring engine)'!$K$5:$K$518,1),'Calc (scoring engine)'!$K$5:$K$518,0))),""))</f>
        <v/>
      </c>
      <c r="BM21" s="24">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10">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engine)'!$K$5:$K$518,1),-999999)&lt;=-900000),"",IFERROR(IF(INDEX(Database!$BT$5:$BT$518,MATCH(LARGE('Calc (scoring engine)'!$K$5:$K$518,1),'Calc (scoring engine)'!$K$5:$K$518,0))="","—",INDEX(Database!$BT$5:$BT$518,MATCH(LARGE('Calc (scoring engine)'!$K$5:$K$518,1),'Calc (scoring engine)'!$K$5:$K$518,0))),""))</f>
        <v/>
      </c>
      <c r="BQ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R21" s="10">
        <f>IF(OR(1&gt;MAX(3,MIN(15,N($D$18))),IFERROR(LARGE('Calc (scoring engine)'!$K$5:$K$518,1),-999999)&lt;=-900000),"",IF(IFERROR(INDEX('Calc (scoring engine)'!$B$5:$B$518,MATCH(LARGE('Calc (scoring engine)'!$K$5:$K$518,1),'Calc (scoring engine)'!$K$5:$K$518,0)),0)=1,"same subsector","sector only"))</f>
        <v/>
      </c>
      <c r="BS21" s="44">
        <f>IF(OR(1&gt;MAX(3,MIN(15,N($D$18))),IFERROR(LARGE('Calc (scoring engine)'!$K$5:$K$518,1),-999999)&lt;=-900000),"",ROUND(IFERROR(LARGE('Calc (scoring engine)'!$K$5:$K$518,1),0),0))</f>
        <v/>
      </c>
      <c r="BT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23">
        <f>IF(OR(2&gt;MAX(3,MIN(15,N($D$18))),IFERROR(LARGE('Calc (scoring engine)'!$K$5:$K$518,2),-999999)&lt;=-900000),"",IFERROR(IF(INDEX(Database!$AB$5:$AB$518,MATCH(LARGE('Calc (scoring engine)'!$K$5:$K$518,2),'Calc (scoring engine)'!$K$5:$K$518,0))="","—",INDEX(Database!$AB$5:$AB$518,MATCH(LARGE('Calc (scoring engine)'!$K$5:$K$518,2),'Calc (scoring engine)'!$K$5:$K$518,0))),""))</f>
        <v/>
      </c>
      <c r="Z22" s="40">
        <f>IF(OR(2&gt;MAX(3,MIN(15,N($D$18))),IFERROR(LARGE('Calc (scoring engine)'!$K$5:$K$518,2),-999999)&lt;=-900000),"",IFERROR(IF(INDEX(Database!$AC$5:$AC$518,MATCH(LARGE('Calc (scoring engine)'!$K$5:$K$518,2),'Calc (scoring engine)'!$K$5:$K$518,0))="","—",INDEX(Database!$AC$5:$AC$518,MATCH(LARGE('Calc (scoring engine)'!$K$5:$K$518,2),'Calc (scoring engine)'!$K$5:$K$518,0))),""))</f>
        <v/>
      </c>
      <c r="AA22" s="23">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10">
        <f>IF(OR(2&gt;MAX(3,MIN(15,N($D$18))),IFERROR(LARGE('Calc (scoring engine)'!$K$5:$K$518,2),-999999)&lt;=-900000),"",IFERROR(IF(INDEX(Database!$AF$5:$AF$518,MATCH(LARGE('Calc (scoring engine)'!$K$5:$K$518,2),'Calc (scoring engine)'!$K$5:$K$518,0))="","—",INDEX(Database!$AF$5:$AF$518,MATCH(LARGE('Calc (scoring engine)'!$K$5:$K$518,2),'Calc (scoring engine)'!$K$5:$K$518,0))),""))</f>
        <v/>
      </c>
      <c r="AD22" s="10">
        <f>IF(OR(2&gt;MAX(3,MIN(15,N($D$18))),IFERROR(LARGE('Calc (scoring engine)'!$K$5:$K$518,2),-999999)&lt;=-900000),"",IFERROR(IF(INDEX(Database!$AG$5:$AG$518,MATCH(LARGE('Calc (scoring engine)'!$K$5:$K$518,2),'Calc (scoring engine)'!$K$5:$K$518,0))="","—",INDEX(Database!$AG$5:$AG$518,MATCH(LARGE('Calc (scoring engine)'!$K$5:$K$518,2),'Calc (scoring engine)'!$K$5:$K$518,0))),""))</f>
        <v/>
      </c>
      <c r="AE22" s="10">
        <f>IF(OR(2&gt;MAX(3,MIN(15,N($D$18))),IFERROR(LARGE('Calc (scoring engine)'!$K$5:$K$518,2),-999999)&lt;=-900000),"",IFERROR(IF(INDEX(Database!$AH$5:$AH$518,MATCH(LARGE('Calc (scoring engine)'!$K$5:$K$518,2),'Calc (scoring engine)'!$K$5:$K$518,0))="","—",INDEX(Database!$AH$5:$AH$518,MATCH(LARGE('Calc (scoring engine)'!$K$5:$K$518,2),'Calc (scoring engine)'!$K$5:$K$518,0))),""))</f>
        <v/>
      </c>
      <c r="AF22" s="10">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engine)'!$K$5:$K$518,2),-999999)&lt;=-900000),"",IFERROR(IF(INDEX(Database!$AZ$5:$AZ$518,MATCH(LARGE('Calc (scoring engine)'!$K$5:$K$518,2),'Calc (scoring engine)'!$K$5:$K$518,0))="","—",INDEX(Database!$AZ$5:$AZ$518,MATCH(LARGE('Calc (scoring engine)'!$K$5:$K$518,2),'Calc (scoring engine)'!$K$5:$K$518,0))),""))</f>
        <v/>
      </c>
      <c r="AW22" s="18">
        <f>IF(OR(2&gt;MAX(3,MIN(15,N($D$18))),IFERROR(LARGE('Calc (scoring engine)'!$K$5:$K$518,2),-999999)&lt;=-900000),"",IFERROR(IF(INDEX(Database!$BB$5:$BB$518,MATCH(LARGE('Calc (scoring engine)'!$K$5:$K$518,2),'Calc (scoring engine)'!$K$5:$K$518,0))="","—",INDEX(Database!$BB$5:$BB$518,MATCH(LARGE('Calc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0">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engine)'!$K$5:$K$518,2),-999999)&lt;=-900000),"",IFERROR(IF(N(INDEX(Database!$BE$5:$BE$518,MATCH(LARGE('Calc (scoring engine)'!$K$5:$K$518,2),'Calc (scoring engine)'!$K$5:$K$518,0)))&lt;=0,IF(INDEX(Database!$BD$5:$BD$518,MATCH(LARGE('Calc (scoring engine)'!$K$5:$K$518,2),'Calc (scoring engine)'!$K$5:$K$518,0))="N","n/m","—"),INDEX(Database!$BE$5:$BE$518,MATCH(LARGE('Calc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engine)'!$K$5:$K$518,2),-999999)&lt;=-900000),"",IFERROR(IFERROR(BDP(TEXT(INDEX(Database!$A$5:$A$518,MATCH(LARGE('Calc (scoring engine)'!$K$5:$K$518,2),'Calc (scoring engine)'!$K$5:$K$518,0)),"0")&amp;" HK Equity","PE_RATIO"),IF(INDEX(Database!$BG$5:$BG$518,MATCH(LARGE('Calc (scoring engine)'!$K$5:$K$518,2),'Calc (scoring engine)'!$K$5:$K$518,0))="","—",INDEX(Database!$BG$5:$BG$518,MATCH(LARGE('Calc (scoring engine)'!$K$5:$K$518,2),'Calc (scoring engine)'!$K$5:$K$518,0)))),""))</f>
        <v/>
      </c>
      <c r="BF22" s="24">
        <f>IF(OR(2&gt;MAX(3,MIN(15,N($D$18))),IFERROR(LARGE('Calc (scoring engine)'!$K$5:$K$518,2),-999999)&lt;=-900000),"",IFERROR(IFERROR(BDP(TEXT(INDEX(Database!$A$5:$A$518,MATCH(LARGE('Calc (scoring engine)'!$K$5:$K$518,2),'Calc (scoring engine)'!$K$5:$K$518,0)),"0")&amp;" HK Equity","PX_TO_SALES_RATIO"),IF(INDEX(Database!$BH$5:$BH$518,MATCH(LARGE('Calc (scoring engine)'!$K$5:$K$518,2),'Calc (scoring engine)'!$K$5:$K$518,0))="","—",INDEX(Database!$BH$5:$BH$518,MATCH(LARGE('Calc (scoring engine)'!$K$5:$K$518,2),'Calc (scoring engine)'!$K$5:$K$518,0)))),""))</f>
        <v/>
      </c>
      <c r="BG22" s="10">
        <f>IF(OR(2&gt;MAX(3,MIN(15,N($D$18))),IFERROR(LARGE('Calc (scoring engine)'!$K$5:$K$518,2),-999999)&lt;=-900000),"",IFERROR(IF(INDEX(Database!$BJ$5:$BJ$518,MATCH(LARGE('Calc (scoring engine)'!$K$5:$K$518,2),'Calc (scoring engine)'!$K$5:$K$518,0))="","—",INDEX(Database!$BJ$5:$BJ$518,MATCH(LARGE('Calc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23">
        <f>IF(OR(2&gt;MAX(3,MIN(15,N($D$18))),IFERROR(LARGE('Calc (scoring engine)'!$K$5:$K$518,2),-999999)&lt;=-900000),"",IFERROR(IF(INDEX(Database!$BL$5:$BL$518,MATCH(LARGE('Calc (scoring engine)'!$K$5:$K$518,2),'Calc (scoring engine)'!$K$5:$K$518,0))="","—",INDEX(Database!$BL$5:$BL$518,MATCH(LARGE('Calc (scoring engine)'!$K$5:$K$518,2),'Calc (scoring engine)'!$K$5:$K$518,0))),""))</f>
        <v/>
      </c>
      <c r="BJ22" s="40">
        <f>IF(OR(2&gt;MAX(3,MIN(15,N($D$18))),IFERROR(LARGE('Calc (scoring engine)'!$K$5:$K$518,2),-999999)&lt;=-900000),"",IFERROR(IF(INDEX(Database!$BM$5:$BM$518,MATCH(LARGE('Calc (scoring engine)'!$K$5:$K$518,2),'Calc (scoring engine)'!$K$5:$K$518,0))="","—",INDEX(Database!$BM$5:$BM$518,MATCH(LARGE('Calc (scoring engine)'!$K$5:$K$518,2),'Calc (scoring engine)'!$K$5:$K$518,0))),""))</f>
        <v/>
      </c>
      <c r="BK22" s="43">
        <f>IF(OR(2&gt;MAX(3,MIN(15,N($D$18))),IFERROR(LARGE('Calc (scoring engine)'!$K$5:$K$518,2),-999999)&lt;=-900000),"",IFERROR(IF(INDEX(Database!$BN$5:$BN$518,MATCH(LARGE('Calc (scoring engine)'!$K$5:$K$518,2),'Calc (scoring engine)'!$K$5:$K$518,0))="","—",INDEX(Database!$BN$5:$BN$518,MATCH(LARGE('Calc (scoring engine)'!$K$5:$K$518,2),'Calc (scoring engine)'!$K$5:$K$518,0))),""))</f>
        <v/>
      </c>
      <c r="BL22" s="18">
        <f>IF(OR(2&gt;MAX(3,MIN(15,N($D$18))),IFERROR(LARGE('Calc (scoring engine)'!$K$5:$K$518,2),-999999)&lt;=-900000),"",IFERROR(IF(INDEX(Database!$BO$5:$BO$518,MATCH(LARGE('Calc (scoring engine)'!$K$5:$K$518,2),'Calc (scoring engine)'!$K$5:$K$518,0))="","—",INDEX(Database!$BO$5:$BO$518,MATCH(LARGE('Calc (scoring engine)'!$K$5:$K$518,2),'Calc (scoring engine)'!$K$5:$K$518,0))),""))</f>
        <v/>
      </c>
      <c r="BM22" s="24">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10">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engine)'!$K$5:$K$518,2),-999999)&lt;=-900000),"",IFERROR(IF(INDEX(Database!$BT$5:$BT$518,MATCH(LARGE('Calc (scoring engine)'!$K$5:$K$518,2),'Calc (scoring engine)'!$K$5:$K$518,0))="","—",INDEX(Database!$BT$5:$BT$518,MATCH(LARGE('Calc (scoring engine)'!$K$5:$K$518,2),'Calc (scoring engine)'!$K$5:$K$518,0))),""))</f>
        <v/>
      </c>
      <c r="BQ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R22" s="10">
        <f>IF(OR(2&gt;MAX(3,MIN(15,N($D$18))),IFERROR(LARGE('Calc (scoring engine)'!$K$5:$K$518,2),-999999)&lt;=-900000),"",IF(IFERROR(INDEX('Calc (scoring engine)'!$B$5:$B$518,MATCH(LARGE('Calc (scoring engine)'!$K$5:$K$518,2),'Calc (scoring engine)'!$K$5:$K$518,0)),0)=1,"same subsector","sector only"))</f>
        <v/>
      </c>
      <c r="BS22" s="44">
        <f>IF(OR(2&gt;MAX(3,MIN(15,N($D$18))),IFERROR(LARGE('Calc (scoring engine)'!$K$5:$K$518,2),-999999)&lt;=-900000),"",ROUND(IFERROR(LARGE('Calc (scoring engine)'!$K$5:$K$518,2),0),0))</f>
        <v/>
      </c>
      <c r="BT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23">
        <f>IF(OR(3&gt;MAX(3,MIN(15,N($D$18))),IFERROR(LARGE('Calc (scoring engine)'!$K$5:$K$518,3),-999999)&lt;=-900000),"",IFERROR(IF(INDEX(Database!$AB$5:$AB$518,MATCH(LARGE('Calc (scoring engine)'!$K$5:$K$518,3),'Calc (scoring engine)'!$K$5:$K$518,0))="","—",INDEX(Database!$AB$5:$AB$518,MATCH(LARGE('Calc (scoring engine)'!$K$5:$K$518,3),'Calc (scoring engine)'!$K$5:$K$518,0))),""))</f>
        <v/>
      </c>
      <c r="Z23" s="40">
        <f>IF(OR(3&gt;MAX(3,MIN(15,N($D$18))),IFERROR(LARGE('Calc (scoring engine)'!$K$5:$K$518,3),-999999)&lt;=-900000),"",IFERROR(IF(INDEX(Database!$AC$5:$AC$518,MATCH(LARGE('Calc (scoring engine)'!$K$5:$K$518,3),'Calc (scoring engine)'!$K$5:$K$518,0))="","—",INDEX(Database!$AC$5:$AC$518,MATCH(LARGE('Calc (scoring engine)'!$K$5:$K$518,3),'Calc (scoring engine)'!$K$5:$K$518,0))),""))</f>
        <v/>
      </c>
      <c r="AA23" s="23">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10">
        <f>IF(OR(3&gt;MAX(3,MIN(15,N($D$18))),IFERROR(LARGE('Calc (scoring engine)'!$K$5:$K$518,3),-999999)&lt;=-900000),"",IFERROR(IF(INDEX(Database!$AF$5:$AF$518,MATCH(LARGE('Calc (scoring engine)'!$K$5:$K$518,3),'Calc (scoring engine)'!$K$5:$K$518,0))="","—",INDEX(Database!$AF$5:$AF$518,MATCH(LARGE('Calc (scoring engine)'!$K$5:$K$518,3),'Calc (scoring engine)'!$K$5:$K$518,0))),""))</f>
        <v/>
      </c>
      <c r="AD23" s="10">
        <f>IF(OR(3&gt;MAX(3,MIN(15,N($D$18))),IFERROR(LARGE('Calc (scoring engine)'!$K$5:$K$518,3),-999999)&lt;=-900000),"",IFERROR(IF(INDEX(Database!$AG$5:$AG$518,MATCH(LARGE('Calc (scoring engine)'!$K$5:$K$518,3),'Calc (scoring engine)'!$K$5:$K$518,0))="","—",INDEX(Database!$AG$5:$AG$518,MATCH(LARGE('Calc (scoring engine)'!$K$5:$K$518,3),'Calc (scoring engine)'!$K$5:$K$518,0))),""))</f>
        <v/>
      </c>
      <c r="AE23" s="10">
        <f>IF(OR(3&gt;MAX(3,MIN(15,N($D$18))),IFERROR(LARGE('Calc (scoring engine)'!$K$5:$K$518,3),-999999)&lt;=-900000),"",IFERROR(IF(INDEX(Database!$AH$5:$AH$518,MATCH(LARGE('Calc (scoring engine)'!$K$5:$K$518,3),'Calc (scoring engine)'!$K$5:$K$518,0))="","—",INDEX(Database!$AH$5:$AH$518,MATCH(LARGE('Calc (scoring engine)'!$K$5:$K$518,3),'Calc (scoring engine)'!$K$5:$K$518,0))),""))</f>
        <v/>
      </c>
      <c r="AF23" s="10">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engine)'!$K$5:$K$518,3),-999999)&lt;=-900000),"",IFERROR(IF(INDEX(Database!$AZ$5:$AZ$518,MATCH(LARGE('Calc (scoring engine)'!$K$5:$K$518,3),'Calc (scoring engine)'!$K$5:$K$518,0))="","—",INDEX(Database!$AZ$5:$AZ$518,MATCH(LARGE('Calc (scoring engine)'!$K$5:$K$518,3),'Calc (scoring engine)'!$K$5:$K$518,0))),""))</f>
        <v/>
      </c>
      <c r="AW23" s="18">
        <f>IF(OR(3&gt;MAX(3,MIN(15,N($D$18))),IFERROR(LARGE('Calc (scoring engine)'!$K$5:$K$518,3),-999999)&lt;=-900000),"",IFERROR(IF(INDEX(Database!$BB$5:$BB$518,MATCH(LARGE('Calc (scoring engine)'!$K$5:$K$518,3),'Calc (scoring engine)'!$K$5:$K$518,0))="","—",INDEX(Database!$BB$5:$BB$518,MATCH(LARGE('Calc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0">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engine)'!$K$5:$K$518,3),-999999)&lt;=-900000),"",IFERROR(IF(N(INDEX(Database!$BE$5:$BE$518,MATCH(LARGE('Calc (scoring engine)'!$K$5:$K$518,3),'Calc (scoring engine)'!$K$5:$K$518,0)))&lt;=0,IF(INDEX(Database!$BD$5:$BD$518,MATCH(LARGE('Calc (scoring engine)'!$K$5:$K$518,3),'Calc (scoring engine)'!$K$5:$K$518,0))="N","n/m","—"),INDEX(Database!$BE$5:$BE$518,MATCH(LARGE('Calc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engine)'!$K$5:$K$518,3),-999999)&lt;=-900000),"",IFERROR(IFERROR(BDP(TEXT(INDEX(Database!$A$5:$A$518,MATCH(LARGE('Calc (scoring engine)'!$K$5:$K$518,3),'Calc (scoring engine)'!$K$5:$K$518,0)),"0")&amp;" HK Equity","PE_RATIO"),IF(INDEX(Database!$BG$5:$BG$518,MATCH(LARGE('Calc (scoring engine)'!$K$5:$K$518,3),'Calc (scoring engine)'!$K$5:$K$518,0))="","—",INDEX(Database!$BG$5:$BG$518,MATCH(LARGE('Calc (scoring engine)'!$K$5:$K$518,3),'Calc (scoring engine)'!$K$5:$K$518,0)))),""))</f>
        <v/>
      </c>
      <c r="BF23" s="24">
        <f>IF(OR(3&gt;MAX(3,MIN(15,N($D$18))),IFERROR(LARGE('Calc (scoring engine)'!$K$5:$K$518,3),-999999)&lt;=-900000),"",IFERROR(IFERROR(BDP(TEXT(INDEX(Database!$A$5:$A$518,MATCH(LARGE('Calc (scoring engine)'!$K$5:$K$518,3),'Calc (scoring engine)'!$K$5:$K$518,0)),"0")&amp;" HK Equity","PX_TO_SALES_RATIO"),IF(INDEX(Database!$BH$5:$BH$518,MATCH(LARGE('Calc (scoring engine)'!$K$5:$K$518,3),'Calc (scoring engine)'!$K$5:$K$518,0))="","—",INDEX(Database!$BH$5:$BH$518,MATCH(LARGE('Calc (scoring engine)'!$K$5:$K$518,3),'Calc (scoring engine)'!$K$5:$K$518,0)))),""))</f>
        <v/>
      </c>
      <c r="BG23" s="10">
        <f>IF(OR(3&gt;MAX(3,MIN(15,N($D$18))),IFERROR(LARGE('Calc (scoring engine)'!$K$5:$K$518,3),-999999)&lt;=-900000),"",IFERROR(IF(INDEX(Database!$BJ$5:$BJ$518,MATCH(LARGE('Calc (scoring engine)'!$K$5:$K$518,3),'Calc (scoring engine)'!$K$5:$K$518,0))="","—",INDEX(Database!$BJ$5:$BJ$518,MATCH(LARGE('Calc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23">
        <f>IF(OR(3&gt;MAX(3,MIN(15,N($D$18))),IFERROR(LARGE('Calc (scoring engine)'!$K$5:$K$518,3),-999999)&lt;=-900000),"",IFERROR(IF(INDEX(Database!$BL$5:$BL$518,MATCH(LARGE('Calc (scoring engine)'!$K$5:$K$518,3),'Calc (scoring engine)'!$K$5:$K$518,0))="","—",INDEX(Database!$BL$5:$BL$518,MATCH(LARGE('Calc (scoring engine)'!$K$5:$K$518,3),'Calc (scoring engine)'!$K$5:$K$518,0))),""))</f>
        <v/>
      </c>
      <c r="BJ23" s="40">
        <f>IF(OR(3&gt;MAX(3,MIN(15,N($D$18))),IFERROR(LARGE('Calc (scoring engine)'!$K$5:$K$518,3),-999999)&lt;=-900000),"",IFERROR(IF(INDEX(Database!$BM$5:$BM$518,MATCH(LARGE('Calc (scoring engine)'!$K$5:$K$518,3),'Calc (scoring engine)'!$K$5:$K$518,0))="","—",INDEX(Database!$BM$5:$BM$518,MATCH(LARGE('Calc (scoring engine)'!$K$5:$K$518,3),'Calc (scoring engine)'!$K$5:$K$518,0))),""))</f>
        <v/>
      </c>
      <c r="BK23" s="43">
        <f>IF(OR(3&gt;MAX(3,MIN(15,N($D$18))),IFERROR(LARGE('Calc (scoring engine)'!$K$5:$K$518,3),-999999)&lt;=-900000),"",IFERROR(IF(INDEX(Database!$BN$5:$BN$518,MATCH(LARGE('Calc (scoring engine)'!$K$5:$K$518,3),'Calc (scoring engine)'!$K$5:$K$518,0))="","—",INDEX(Database!$BN$5:$BN$518,MATCH(LARGE('Calc (scoring engine)'!$K$5:$K$518,3),'Calc (scoring engine)'!$K$5:$K$518,0))),""))</f>
        <v/>
      </c>
      <c r="BL23" s="18">
        <f>IF(OR(3&gt;MAX(3,MIN(15,N($D$18))),IFERROR(LARGE('Calc (scoring engine)'!$K$5:$K$518,3),-999999)&lt;=-900000),"",IFERROR(IF(INDEX(Database!$BO$5:$BO$518,MATCH(LARGE('Calc (scoring engine)'!$K$5:$K$518,3),'Calc (scoring engine)'!$K$5:$K$518,0))="","—",INDEX(Database!$BO$5:$BO$518,MATCH(LARGE('Calc (scoring engine)'!$K$5:$K$518,3),'Calc (scoring engine)'!$K$5:$K$518,0))),""))</f>
        <v/>
      </c>
      <c r="BM23" s="24">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10">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engine)'!$K$5:$K$518,3),-999999)&lt;=-900000),"",IFERROR(IF(INDEX(Database!$BT$5:$BT$518,MATCH(LARGE('Calc (scoring engine)'!$K$5:$K$518,3),'Calc (scoring engine)'!$K$5:$K$518,0))="","—",INDEX(Database!$BT$5:$BT$518,MATCH(LARGE('Calc (scoring engine)'!$K$5:$K$518,3),'Calc (scoring engine)'!$K$5:$K$518,0))),""))</f>
        <v/>
      </c>
      <c r="BQ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R23" s="10">
        <f>IF(OR(3&gt;MAX(3,MIN(15,N($D$18))),IFERROR(LARGE('Calc (scoring engine)'!$K$5:$K$518,3),-999999)&lt;=-900000),"",IF(IFERROR(INDEX('Calc (scoring engine)'!$B$5:$B$518,MATCH(LARGE('Calc (scoring engine)'!$K$5:$K$518,3),'Calc (scoring engine)'!$K$5:$K$518,0)),0)=1,"same subsector","sector only"))</f>
        <v/>
      </c>
      <c r="BS23" s="44">
        <f>IF(OR(3&gt;MAX(3,MIN(15,N($D$18))),IFERROR(LARGE('Calc (scoring engine)'!$K$5:$K$518,3),-999999)&lt;=-900000),"",ROUND(IFERROR(LARGE('Calc (scoring engine)'!$K$5:$K$518,3),0),0))</f>
        <v/>
      </c>
      <c r="BT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23">
        <f>IF(OR(4&gt;MAX(3,MIN(15,N($D$18))),IFERROR(LARGE('Calc (scoring engine)'!$K$5:$K$518,4),-999999)&lt;=-900000),"",IFERROR(IF(INDEX(Database!$AB$5:$AB$518,MATCH(LARGE('Calc (scoring engine)'!$K$5:$K$518,4),'Calc (scoring engine)'!$K$5:$K$518,0))="","—",INDEX(Database!$AB$5:$AB$518,MATCH(LARGE('Calc (scoring engine)'!$K$5:$K$518,4),'Calc (scoring engine)'!$K$5:$K$518,0))),""))</f>
        <v/>
      </c>
      <c r="Z24" s="40">
        <f>IF(OR(4&gt;MAX(3,MIN(15,N($D$18))),IFERROR(LARGE('Calc (scoring engine)'!$K$5:$K$518,4),-999999)&lt;=-900000),"",IFERROR(IF(INDEX(Database!$AC$5:$AC$518,MATCH(LARGE('Calc (scoring engine)'!$K$5:$K$518,4),'Calc (scoring engine)'!$K$5:$K$518,0))="","—",INDEX(Database!$AC$5:$AC$518,MATCH(LARGE('Calc (scoring engine)'!$K$5:$K$518,4),'Calc (scoring engine)'!$K$5:$K$518,0))),""))</f>
        <v/>
      </c>
      <c r="AA24" s="23">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10">
        <f>IF(OR(4&gt;MAX(3,MIN(15,N($D$18))),IFERROR(LARGE('Calc (scoring engine)'!$K$5:$K$518,4),-999999)&lt;=-900000),"",IFERROR(IF(INDEX(Database!$AF$5:$AF$518,MATCH(LARGE('Calc (scoring engine)'!$K$5:$K$518,4),'Calc (scoring engine)'!$K$5:$K$518,0))="","—",INDEX(Database!$AF$5:$AF$518,MATCH(LARGE('Calc (scoring engine)'!$K$5:$K$518,4),'Calc (scoring engine)'!$K$5:$K$518,0))),""))</f>
        <v/>
      </c>
      <c r="AD24" s="10">
        <f>IF(OR(4&gt;MAX(3,MIN(15,N($D$18))),IFERROR(LARGE('Calc (scoring engine)'!$K$5:$K$518,4),-999999)&lt;=-900000),"",IFERROR(IF(INDEX(Database!$AG$5:$AG$518,MATCH(LARGE('Calc (scoring engine)'!$K$5:$K$518,4),'Calc (scoring engine)'!$K$5:$K$518,0))="","—",INDEX(Database!$AG$5:$AG$518,MATCH(LARGE('Calc (scoring engine)'!$K$5:$K$518,4),'Calc (scoring engine)'!$K$5:$K$518,0))),""))</f>
        <v/>
      </c>
      <c r="AE24" s="10">
        <f>IF(OR(4&gt;MAX(3,MIN(15,N($D$18))),IFERROR(LARGE('Calc (scoring engine)'!$K$5:$K$518,4),-999999)&lt;=-900000),"",IFERROR(IF(INDEX(Database!$AH$5:$AH$518,MATCH(LARGE('Calc (scoring engine)'!$K$5:$K$518,4),'Calc (scoring engine)'!$K$5:$K$518,0))="","—",INDEX(Database!$AH$5:$AH$518,MATCH(LARGE('Calc (scoring engine)'!$K$5:$K$518,4),'Calc (scoring engine)'!$K$5:$K$518,0))),""))</f>
        <v/>
      </c>
      <c r="AF24" s="10">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engine)'!$K$5:$K$518,4),-999999)&lt;=-900000),"",IFERROR(IF(INDEX(Database!$AZ$5:$AZ$518,MATCH(LARGE('Calc (scoring engine)'!$K$5:$K$518,4),'Calc (scoring engine)'!$K$5:$K$518,0))="","—",INDEX(Database!$AZ$5:$AZ$518,MATCH(LARGE('Calc (scoring engine)'!$K$5:$K$518,4),'Calc (scoring engine)'!$K$5:$K$518,0))),""))</f>
        <v/>
      </c>
      <c r="AW24" s="18">
        <f>IF(OR(4&gt;MAX(3,MIN(15,N($D$18))),IFERROR(LARGE('Calc (scoring engine)'!$K$5:$K$518,4),-999999)&lt;=-900000),"",IFERROR(IF(INDEX(Database!$BB$5:$BB$518,MATCH(LARGE('Calc (scoring engine)'!$K$5:$K$518,4),'Calc (scoring engine)'!$K$5:$K$518,0))="","—",INDEX(Database!$BB$5:$BB$518,MATCH(LARGE('Calc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0">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engine)'!$K$5:$K$518,4),-999999)&lt;=-900000),"",IFERROR(IF(N(INDEX(Database!$BE$5:$BE$518,MATCH(LARGE('Calc (scoring engine)'!$K$5:$K$518,4),'Calc (scoring engine)'!$K$5:$K$518,0)))&lt;=0,IF(INDEX(Database!$BD$5:$BD$518,MATCH(LARGE('Calc (scoring engine)'!$K$5:$K$518,4),'Calc (scoring engine)'!$K$5:$K$518,0))="N","n/m","—"),INDEX(Database!$BE$5:$BE$518,MATCH(LARGE('Calc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engine)'!$K$5:$K$518,4),-999999)&lt;=-900000),"",IFERROR(IFERROR(BDP(TEXT(INDEX(Database!$A$5:$A$518,MATCH(LARGE('Calc (scoring engine)'!$K$5:$K$518,4),'Calc (scoring engine)'!$K$5:$K$518,0)),"0")&amp;" HK Equity","PE_RATIO"),IF(INDEX(Database!$BG$5:$BG$518,MATCH(LARGE('Calc (scoring engine)'!$K$5:$K$518,4),'Calc (scoring engine)'!$K$5:$K$518,0))="","—",INDEX(Database!$BG$5:$BG$518,MATCH(LARGE('Calc (scoring engine)'!$K$5:$K$518,4),'Calc (scoring engine)'!$K$5:$K$518,0)))),""))</f>
        <v/>
      </c>
      <c r="BF24" s="24">
        <f>IF(OR(4&gt;MAX(3,MIN(15,N($D$18))),IFERROR(LARGE('Calc (scoring engine)'!$K$5:$K$518,4),-999999)&lt;=-900000),"",IFERROR(IFERROR(BDP(TEXT(INDEX(Database!$A$5:$A$518,MATCH(LARGE('Calc (scoring engine)'!$K$5:$K$518,4),'Calc (scoring engine)'!$K$5:$K$518,0)),"0")&amp;" HK Equity","PX_TO_SALES_RATIO"),IF(INDEX(Database!$BH$5:$BH$518,MATCH(LARGE('Calc (scoring engine)'!$K$5:$K$518,4),'Calc (scoring engine)'!$K$5:$K$518,0))="","—",INDEX(Database!$BH$5:$BH$518,MATCH(LARGE('Calc (scoring engine)'!$K$5:$K$518,4),'Calc (scoring engine)'!$K$5:$K$518,0)))),""))</f>
        <v/>
      </c>
      <c r="BG24" s="10">
        <f>IF(OR(4&gt;MAX(3,MIN(15,N($D$18))),IFERROR(LARGE('Calc (scoring engine)'!$K$5:$K$518,4),-999999)&lt;=-900000),"",IFERROR(IF(INDEX(Database!$BJ$5:$BJ$518,MATCH(LARGE('Calc (scoring engine)'!$K$5:$K$518,4),'Calc (scoring engine)'!$K$5:$K$518,0))="","—",INDEX(Database!$BJ$5:$BJ$518,MATCH(LARGE('Calc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23">
        <f>IF(OR(4&gt;MAX(3,MIN(15,N($D$18))),IFERROR(LARGE('Calc (scoring engine)'!$K$5:$K$518,4),-999999)&lt;=-900000),"",IFERROR(IF(INDEX(Database!$BL$5:$BL$518,MATCH(LARGE('Calc (scoring engine)'!$K$5:$K$518,4),'Calc (scoring engine)'!$K$5:$K$518,0))="","—",INDEX(Database!$BL$5:$BL$518,MATCH(LARGE('Calc (scoring engine)'!$K$5:$K$518,4),'Calc (scoring engine)'!$K$5:$K$518,0))),""))</f>
        <v/>
      </c>
      <c r="BJ24" s="40">
        <f>IF(OR(4&gt;MAX(3,MIN(15,N($D$18))),IFERROR(LARGE('Calc (scoring engine)'!$K$5:$K$518,4),-999999)&lt;=-900000),"",IFERROR(IF(INDEX(Database!$BM$5:$BM$518,MATCH(LARGE('Calc (scoring engine)'!$K$5:$K$518,4),'Calc (scoring engine)'!$K$5:$K$518,0))="","—",INDEX(Database!$BM$5:$BM$518,MATCH(LARGE('Calc (scoring engine)'!$K$5:$K$518,4),'Calc (scoring engine)'!$K$5:$K$518,0))),""))</f>
        <v/>
      </c>
      <c r="BK24" s="43">
        <f>IF(OR(4&gt;MAX(3,MIN(15,N($D$18))),IFERROR(LARGE('Calc (scoring engine)'!$K$5:$K$518,4),-999999)&lt;=-900000),"",IFERROR(IF(INDEX(Database!$BN$5:$BN$518,MATCH(LARGE('Calc (scoring engine)'!$K$5:$K$518,4),'Calc (scoring engine)'!$K$5:$K$518,0))="","—",INDEX(Database!$BN$5:$BN$518,MATCH(LARGE('Calc (scoring engine)'!$K$5:$K$518,4),'Calc (scoring engine)'!$K$5:$K$518,0))),""))</f>
        <v/>
      </c>
      <c r="BL24" s="18">
        <f>IF(OR(4&gt;MAX(3,MIN(15,N($D$18))),IFERROR(LARGE('Calc (scoring engine)'!$K$5:$K$518,4),-999999)&lt;=-900000),"",IFERROR(IF(INDEX(Database!$BO$5:$BO$518,MATCH(LARGE('Calc (scoring engine)'!$K$5:$K$518,4),'Calc (scoring engine)'!$K$5:$K$518,0))="","—",INDEX(Database!$BO$5:$BO$518,MATCH(LARGE('Calc (scoring engine)'!$K$5:$K$518,4),'Calc (scoring engine)'!$K$5:$K$518,0))),""))</f>
        <v/>
      </c>
      <c r="BM24" s="24">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10">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engine)'!$K$5:$K$518,4),-999999)&lt;=-900000),"",IFERROR(IF(INDEX(Database!$BT$5:$BT$518,MATCH(LARGE('Calc (scoring engine)'!$K$5:$K$518,4),'Calc (scoring engine)'!$K$5:$K$518,0))="","—",INDEX(Database!$BT$5:$BT$518,MATCH(LARGE('Calc (scoring engine)'!$K$5:$K$518,4),'Calc (scoring engine)'!$K$5:$K$518,0))),""))</f>
        <v/>
      </c>
      <c r="BQ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R24" s="10">
        <f>IF(OR(4&gt;MAX(3,MIN(15,N($D$18))),IFERROR(LARGE('Calc (scoring engine)'!$K$5:$K$518,4),-999999)&lt;=-900000),"",IF(IFERROR(INDEX('Calc (scoring engine)'!$B$5:$B$518,MATCH(LARGE('Calc (scoring engine)'!$K$5:$K$518,4),'Calc (scoring engine)'!$K$5:$K$518,0)),0)=1,"same subsector","sector only"))</f>
        <v/>
      </c>
      <c r="BS24" s="44">
        <f>IF(OR(4&gt;MAX(3,MIN(15,N($D$18))),IFERROR(LARGE('Calc (scoring engine)'!$K$5:$K$518,4),-999999)&lt;=-900000),"",ROUND(IFERROR(LARGE('Calc (scoring engine)'!$K$5:$K$518,4),0),0))</f>
        <v/>
      </c>
      <c r="BT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23">
        <f>IF(OR(5&gt;MAX(3,MIN(15,N($D$18))),IFERROR(LARGE('Calc (scoring engine)'!$K$5:$K$518,5),-999999)&lt;=-900000),"",IFERROR(IF(INDEX(Database!$AB$5:$AB$518,MATCH(LARGE('Calc (scoring engine)'!$K$5:$K$518,5),'Calc (scoring engine)'!$K$5:$K$518,0))="","—",INDEX(Database!$AB$5:$AB$518,MATCH(LARGE('Calc (scoring engine)'!$K$5:$K$518,5),'Calc (scoring engine)'!$K$5:$K$518,0))),""))</f>
        <v/>
      </c>
      <c r="Z25" s="40">
        <f>IF(OR(5&gt;MAX(3,MIN(15,N($D$18))),IFERROR(LARGE('Calc (scoring engine)'!$K$5:$K$518,5),-999999)&lt;=-900000),"",IFERROR(IF(INDEX(Database!$AC$5:$AC$518,MATCH(LARGE('Calc (scoring engine)'!$K$5:$K$518,5),'Calc (scoring engine)'!$K$5:$K$518,0))="","—",INDEX(Database!$AC$5:$AC$518,MATCH(LARGE('Calc (scoring engine)'!$K$5:$K$518,5),'Calc (scoring engine)'!$K$5:$K$518,0))),""))</f>
        <v/>
      </c>
      <c r="AA25" s="23">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10">
        <f>IF(OR(5&gt;MAX(3,MIN(15,N($D$18))),IFERROR(LARGE('Calc (scoring engine)'!$K$5:$K$518,5),-999999)&lt;=-900000),"",IFERROR(IF(INDEX(Database!$AF$5:$AF$518,MATCH(LARGE('Calc (scoring engine)'!$K$5:$K$518,5),'Calc (scoring engine)'!$K$5:$K$518,0))="","—",INDEX(Database!$AF$5:$AF$518,MATCH(LARGE('Calc (scoring engine)'!$K$5:$K$518,5),'Calc (scoring engine)'!$K$5:$K$518,0))),""))</f>
        <v/>
      </c>
      <c r="AD25" s="10">
        <f>IF(OR(5&gt;MAX(3,MIN(15,N($D$18))),IFERROR(LARGE('Calc (scoring engine)'!$K$5:$K$518,5),-999999)&lt;=-900000),"",IFERROR(IF(INDEX(Database!$AG$5:$AG$518,MATCH(LARGE('Calc (scoring engine)'!$K$5:$K$518,5),'Calc (scoring engine)'!$K$5:$K$518,0))="","—",INDEX(Database!$AG$5:$AG$518,MATCH(LARGE('Calc (scoring engine)'!$K$5:$K$518,5),'Calc (scoring engine)'!$K$5:$K$518,0))),""))</f>
        <v/>
      </c>
      <c r="AE25" s="10">
        <f>IF(OR(5&gt;MAX(3,MIN(15,N($D$18))),IFERROR(LARGE('Calc (scoring engine)'!$K$5:$K$518,5),-999999)&lt;=-900000),"",IFERROR(IF(INDEX(Database!$AH$5:$AH$518,MATCH(LARGE('Calc (scoring engine)'!$K$5:$K$518,5),'Calc (scoring engine)'!$K$5:$K$518,0))="","—",INDEX(Database!$AH$5:$AH$518,MATCH(LARGE('Calc (scoring engine)'!$K$5:$K$518,5),'Calc (scoring engine)'!$K$5:$K$518,0))),""))</f>
        <v/>
      </c>
      <c r="AF25" s="10">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engine)'!$K$5:$K$518,5),-999999)&lt;=-900000),"",IFERROR(IF(INDEX(Database!$AZ$5:$AZ$518,MATCH(LARGE('Calc (scoring engine)'!$K$5:$K$518,5),'Calc (scoring engine)'!$K$5:$K$518,0))="","—",INDEX(Database!$AZ$5:$AZ$518,MATCH(LARGE('Calc (scoring engine)'!$K$5:$K$518,5),'Calc (scoring engine)'!$K$5:$K$518,0))),""))</f>
        <v/>
      </c>
      <c r="AW25" s="18">
        <f>IF(OR(5&gt;MAX(3,MIN(15,N($D$18))),IFERROR(LARGE('Calc (scoring engine)'!$K$5:$K$518,5),-999999)&lt;=-900000),"",IFERROR(IF(INDEX(Database!$BB$5:$BB$518,MATCH(LARGE('Calc (scoring engine)'!$K$5:$K$518,5),'Calc (scoring engine)'!$K$5:$K$518,0))="","—",INDEX(Database!$BB$5:$BB$518,MATCH(LARGE('Calc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0">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engine)'!$K$5:$K$518,5),-999999)&lt;=-900000),"",IFERROR(IF(N(INDEX(Database!$BE$5:$BE$518,MATCH(LARGE('Calc (scoring engine)'!$K$5:$K$518,5),'Calc (scoring engine)'!$K$5:$K$518,0)))&lt;=0,IF(INDEX(Database!$BD$5:$BD$518,MATCH(LARGE('Calc (scoring engine)'!$K$5:$K$518,5),'Calc (scoring engine)'!$K$5:$K$518,0))="N","n/m","—"),INDEX(Database!$BE$5:$BE$518,MATCH(LARGE('Calc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engine)'!$K$5:$K$518,5),-999999)&lt;=-900000),"",IFERROR(IFERROR(BDP(TEXT(INDEX(Database!$A$5:$A$518,MATCH(LARGE('Calc (scoring engine)'!$K$5:$K$518,5),'Calc (scoring engine)'!$K$5:$K$518,0)),"0")&amp;" HK Equity","PE_RATIO"),IF(INDEX(Database!$BG$5:$BG$518,MATCH(LARGE('Calc (scoring engine)'!$K$5:$K$518,5),'Calc (scoring engine)'!$K$5:$K$518,0))="","—",INDEX(Database!$BG$5:$BG$518,MATCH(LARGE('Calc (scoring engine)'!$K$5:$K$518,5),'Calc (scoring engine)'!$K$5:$K$518,0)))),""))</f>
        <v/>
      </c>
      <c r="BF25" s="24">
        <f>IF(OR(5&gt;MAX(3,MIN(15,N($D$18))),IFERROR(LARGE('Calc (scoring engine)'!$K$5:$K$518,5),-999999)&lt;=-900000),"",IFERROR(IFERROR(BDP(TEXT(INDEX(Database!$A$5:$A$518,MATCH(LARGE('Calc (scoring engine)'!$K$5:$K$518,5),'Calc (scoring engine)'!$K$5:$K$518,0)),"0")&amp;" HK Equity","PX_TO_SALES_RATIO"),IF(INDEX(Database!$BH$5:$BH$518,MATCH(LARGE('Calc (scoring engine)'!$K$5:$K$518,5),'Calc (scoring engine)'!$K$5:$K$518,0))="","—",INDEX(Database!$BH$5:$BH$518,MATCH(LARGE('Calc (scoring engine)'!$K$5:$K$518,5),'Calc (scoring engine)'!$K$5:$K$518,0)))),""))</f>
        <v/>
      </c>
      <c r="BG25" s="10">
        <f>IF(OR(5&gt;MAX(3,MIN(15,N($D$18))),IFERROR(LARGE('Calc (scoring engine)'!$K$5:$K$518,5),-999999)&lt;=-900000),"",IFERROR(IF(INDEX(Database!$BJ$5:$BJ$518,MATCH(LARGE('Calc (scoring engine)'!$K$5:$K$518,5),'Calc (scoring engine)'!$K$5:$K$518,0))="","—",INDEX(Database!$BJ$5:$BJ$518,MATCH(LARGE('Calc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23">
        <f>IF(OR(5&gt;MAX(3,MIN(15,N($D$18))),IFERROR(LARGE('Calc (scoring engine)'!$K$5:$K$518,5),-999999)&lt;=-900000),"",IFERROR(IF(INDEX(Database!$BL$5:$BL$518,MATCH(LARGE('Calc (scoring engine)'!$K$5:$K$518,5),'Calc (scoring engine)'!$K$5:$K$518,0))="","—",INDEX(Database!$BL$5:$BL$518,MATCH(LARGE('Calc (scoring engine)'!$K$5:$K$518,5),'Calc (scoring engine)'!$K$5:$K$518,0))),""))</f>
        <v/>
      </c>
      <c r="BJ25" s="40">
        <f>IF(OR(5&gt;MAX(3,MIN(15,N($D$18))),IFERROR(LARGE('Calc (scoring engine)'!$K$5:$K$518,5),-999999)&lt;=-900000),"",IFERROR(IF(INDEX(Database!$BM$5:$BM$518,MATCH(LARGE('Calc (scoring engine)'!$K$5:$K$518,5),'Calc (scoring engine)'!$K$5:$K$518,0))="","—",INDEX(Database!$BM$5:$BM$518,MATCH(LARGE('Calc (scoring engine)'!$K$5:$K$518,5),'Calc (scoring engine)'!$K$5:$K$518,0))),""))</f>
        <v/>
      </c>
      <c r="BK25" s="43">
        <f>IF(OR(5&gt;MAX(3,MIN(15,N($D$18))),IFERROR(LARGE('Calc (scoring engine)'!$K$5:$K$518,5),-999999)&lt;=-900000),"",IFERROR(IF(INDEX(Database!$BN$5:$BN$518,MATCH(LARGE('Calc (scoring engine)'!$K$5:$K$518,5),'Calc (scoring engine)'!$K$5:$K$518,0))="","—",INDEX(Database!$BN$5:$BN$518,MATCH(LARGE('Calc (scoring engine)'!$K$5:$K$518,5),'Calc (scoring engine)'!$K$5:$K$518,0))),""))</f>
        <v/>
      </c>
      <c r="BL25" s="18">
        <f>IF(OR(5&gt;MAX(3,MIN(15,N($D$18))),IFERROR(LARGE('Calc (scoring engine)'!$K$5:$K$518,5),-999999)&lt;=-900000),"",IFERROR(IF(INDEX(Database!$BO$5:$BO$518,MATCH(LARGE('Calc (scoring engine)'!$K$5:$K$518,5),'Calc (scoring engine)'!$K$5:$K$518,0))="","—",INDEX(Database!$BO$5:$BO$518,MATCH(LARGE('Calc (scoring engine)'!$K$5:$K$518,5),'Calc (scoring engine)'!$K$5:$K$518,0))),""))</f>
        <v/>
      </c>
      <c r="BM25" s="24">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10">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engine)'!$K$5:$K$518,5),-999999)&lt;=-900000),"",IFERROR(IF(INDEX(Database!$BT$5:$BT$518,MATCH(LARGE('Calc (scoring engine)'!$K$5:$K$518,5),'Calc (scoring engine)'!$K$5:$K$518,0))="","—",INDEX(Database!$BT$5:$BT$518,MATCH(LARGE('Calc (scoring engine)'!$K$5:$K$518,5),'Calc (scoring engine)'!$K$5:$K$518,0))),""))</f>
        <v/>
      </c>
      <c r="BQ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R25" s="10">
        <f>IF(OR(5&gt;MAX(3,MIN(15,N($D$18))),IFERROR(LARGE('Calc (scoring engine)'!$K$5:$K$518,5),-999999)&lt;=-900000),"",IF(IFERROR(INDEX('Calc (scoring engine)'!$B$5:$B$518,MATCH(LARGE('Calc (scoring engine)'!$K$5:$K$518,5),'Calc (scoring engine)'!$K$5:$K$518,0)),0)=1,"same subsector","sector only"))</f>
        <v/>
      </c>
      <c r="BS25" s="44">
        <f>IF(OR(5&gt;MAX(3,MIN(15,N($D$18))),IFERROR(LARGE('Calc (scoring engine)'!$K$5:$K$518,5),-999999)&lt;=-900000),"",ROUND(IFERROR(LARGE('Calc (scoring engine)'!$K$5:$K$518,5),0),0))</f>
        <v/>
      </c>
      <c r="BT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23">
        <f>IF(OR(6&gt;MAX(3,MIN(15,N($D$18))),IFERROR(LARGE('Calc (scoring engine)'!$K$5:$K$518,6),-999999)&lt;=-900000),"",IFERROR(IF(INDEX(Database!$AB$5:$AB$518,MATCH(LARGE('Calc (scoring engine)'!$K$5:$K$518,6),'Calc (scoring engine)'!$K$5:$K$518,0))="","—",INDEX(Database!$AB$5:$AB$518,MATCH(LARGE('Calc (scoring engine)'!$K$5:$K$518,6),'Calc (scoring engine)'!$K$5:$K$518,0))),""))</f>
        <v/>
      </c>
      <c r="Z26" s="40">
        <f>IF(OR(6&gt;MAX(3,MIN(15,N($D$18))),IFERROR(LARGE('Calc (scoring engine)'!$K$5:$K$518,6),-999999)&lt;=-900000),"",IFERROR(IF(INDEX(Database!$AC$5:$AC$518,MATCH(LARGE('Calc (scoring engine)'!$K$5:$K$518,6),'Calc (scoring engine)'!$K$5:$K$518,0))="","—",INDEX(Database!$AC$5:$AC$518,MATCH(LARGE('Calc (scoring engine)'!$K$5:$K$518,6),'Calc (scoring engine)'!$K$5:$K$518,0))),""))</f>
        <v/>
      </c>
      <c r="AA26" s="23">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10">
        <f>IF(OR(6&gt;MAX(3,MIN(15,N($D$18))),IFERROR(LARGE('Calc (scoring engine)'!$K$5:$K$518,6),-999999)&lt;=-900000),"",IFERROR(IF(INDEX(Database!$AF$5:$AF$518,MATCH(LARGE('Calc (scoring engine)'!$K$5:$K$518,6),'Calc (scoring engine)'!$K$5:$K$518,0))="","—",INDEX(Database!$AF$5:$AF$518,MATCH(LARGE('Calc (scoring engine)'!$K$5:$K$518,6),'Calc (scoring engine)'!$K$5:$K$518,0))),""))</f>
        <v/>
      </c>
      <c r="AD26" s="10">
        <f>IF(OR(6&gt;MAX(3,MIN(15,N($D$18))),IFERROR(LARGE('Calc (scoring engine)'!$K$5:$K$518,6),-999999)&lt;=-900000),"",IFERROR(IF(INDEX(Database!$AG$5:$AG$518,MATCH(LARGE('Calc (scoring engine)'!$K$5:$K$518,6),'Calc (scoring engine)'!$K$5:$K$518,0))="","—",INDEX(Database!$AG$5:$AG$518,MATCH(LARGE('Calc (scoring engine)'!$K$5:$K$518,6),'Calc (scoring engine)'!$K$5:$K$518,0))),""))</f>
        <v/>
      </c>
      <c r="AE26" s="10">
        <f>IF(OR(6&gt;MAX(3,MIN(15,N($D$18))),IFERROR(LARGE('Calc (scoring engine)'!$K$5:$K$518,6),-999999)&lt;=-900000),"",IFERROR(IF(INDEX(Database!$AH$5:$AH$518,MATCH(LARGE('Calc (scoring engine)'!$K$5:$K$518,6),'Calc (scoring engine)'!$K$5:$K$518,0))="","—",INDEX(Database!$AH$5:$AH$518,MATCH(LARGE('Calc (scoring engine)'!$K$5:$K$518,6),'Calc (scoring engine)'!$K$5:$K$518,0))),""))</f>
        <v/>
      </c>
      <c r="AF26" s="10">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engine)'!$K$5:$K$518,6),-999999)&lt;=-900000),"",IFERROR(IF(INDEX(Database!$AZ$5:$AZ$518,MATCH(LARGE('Calc (scoring engine)'!$K$5:$K$518,6),'Calc (scoring engine)'!$K$5:$K$518,0))="","—",INDEX(Database!$AZ$5:$AZ$518,MATCH(LARGE('Calc (scoring engine)'!$K$5:$K$518,6),'Calc (scoring engine)'!$K$5:$K$518,0))),""))</f>
        <v/>
      </c>
      <c r="AW26" s="18">
        <f>IF(OR(6&gt;MAX(3,MIN(15,N($D$18))),IFERROR(LARGE('Calc (scoring engine)'!$K$5:$K$518,6),-999999)&lt;=-900000),"",IFERROR(IF(INDEX(Database!$BB$5:$BB$518,MATCH(LARGE('Calc (scoring engine)'!$K$5:$K$518,6),'Calc (scoring engine)'!$K$5:$K$518,0))="","—",INDEX(Database!$BB$5:$BB$518,MATCH(LARGE('Calc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0">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engine)'!$K$5:$K$518,6),-999999)&lt;=-900000),"",IFERROR(IF(N(INDEX(Database!$BE$5:$BE$518,MATCH(LARGE('Calc (scoring engine)'!$K$5:$K$518,6),'Calc (scoring engine)'!$K$5:$K$518,0)))&lt;=0,IF(INDEX(Database!$BD$5:$BD$518,MATCH(LARGE('Calc (scoring engine)'!$K$5:$K$518,6),'Calc (scoring engine)'!$K$5:$K$518,0))="N","n/m","—"),INDEX(Database!$BE$5:$BE$518,MATCH(LARGE('Calc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engine)'!$K$5:$K$518,6),-999999)&lt;=-900000),"",IFERROR(IFERROR(BDP(TEXT(INDEX(Database!$A$5:$A$518,MATCH(LARGE('Calc (scoring engine)'!$K$5:$K$518,6),'Calc (scoring engine)'!$K$5:$K$518,0)),"0")&amp;" HK Equity","PE_RATIO"),IF(INDEX(Database!$BG$5:$BG$518,MATCH(LARGE('Calc (scoring engine)'!$K$5:$K$518,6),'Calc (scoring engine)'!$K$5:$K$518,0))="","—",INDEX(Database!$BG$5:$BG$518,MATCH(LARGE('Calc (scoring engine)'!$K$5:$K$518,6),'Calc (scoring engine)'!$K$5:$K$518,0)))),""))</f>
        <v/>
      </c>
      <c r="BF26" s="24">
        <f>IF(OR(6&gt;MAX(3,MIN(15,N($D$18))),IFERROR(LARGE('Calc (scoring engine)'!$K$5:$K$518,6),-999999)&lt;=-900000),"",IFERROR(IFERROR(BDP(TEXT(INDEX(Database!$A$5:$A$518,MATCH(LARGE('Calc (scoring engine)'!$K$5:$K$518,6),'Calc (scoring engine)'!$K$5:$K$518,0)),"0")&amp;" HK Equity","PX_TO_SALES_RATIO"),IF(INDEX(Database!$BH$5:$BH$518,MATCH(LARGE('Calc (scoring engine)'!$K$5:$K$518,6),'Calc (scoring engine)'!$K$5:$K$518,0))="","—",INDEX(Database!$BH$5:$BH$518,MATCH(LARGE('Calc (scoring engine)'!$K$5:$K$518,6),'Calc (scoring engine)'!$K$5:$K$518,0)))),""))</f>
        <v/>
      </c>
      <c r="BG26" s="10">
        <f>IF(OR(6&gt;MAX(3,MIN(15,N($D$18))),IFERROR(LARGE('Calc (scoring engine)'!$K$5:$K$518,6),-999999)&lt;=-900000),"",IFERROR(IF(INDEX(Database!$BJ$5:$BJ$518,MATCH(LARGE('Calc (scoring engine)'!$K$5:$K$518,6),'Calc (scoring engine)'!$K$5:$K$518,0))="","—",INDEX(Database!$BJ$5:$BJ$518,MATCH(LARGE('Calc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23">
        <f>IF(OR(6&gt;MAX(3,MIN(15,N($D$18))),IFERROR(LARGE('Calc (scoring engine)'!$K$5:$K$518,6),-999999)&lt;=-900000),"",IFERROR(IF(INDEX(Database!$BL$5:$BL$518,MATCH(LARGE('Calc (scoring engine)'!$K$5:$K$518,6),'Calc (scoring engine)'!$K$5:$K$518,0))="","—",INDEX(Database!$BL$5:$BL$518,MATCH(LARGE('Calc (scoring engine)'!$K$5:$K$518,6),'Calc (scoring engine)'!$K$5:$K$518,0))),""))</f>
        <v/>
      </c>
      <c r="BJ26" s="40">
        <f>IF(OR(6&gt;MAX(3,MIN(15,N($D$18))),IFERROR(LARGE('Calc (scoring engine)'!$K$5:$K$518,6),-999999)&lt;=-900000),"",IFERROR(IF(INDEX(Database!$BM$5:$BM$518,MATCH(LARGE('Calc (scoring engine)'!$K$5:$K$518,6),'Calc (scoring engine)'!$K$5:$K$518,0))="","—",INDEX(Database!$BM$5:$BM$518,MATCH(LARGE('Calc (scoring engine)'!$K$5:$K$518,6),'Calc (scoring engine)'!$K$5:$K$518,0))),""))</f>
        <v/>
      </c>
      <c r="BK26" s="43">
        <f>IF(OR(6&gt;MAX(3,MIN(15,N($D$18))),IFERROR(LARGE('Calc (scoring engine)'!$K$5:$K$518,6),-999999)&lt;=-900000),"",IFERROR(IF(INDEX(Database!$BN$5:$BN$518,MATCH(LARGE('Calc (scoring engine)'!$K$5:$K$518,6),'Calc (scoring engine)'!$K$5:$K$518,0))="","—",INDEX(Database!$BN$5:$BN$518,MATCH(LARGE('Calc (scoring engine)'!$K$5:$K$518,6),'Calc (scoring engine)'!$K$5:$K$518,0))),""))</f>
        <v/>
      </c>
      <c r="BL26" s="18">
        <f>IF(OR(6&gt;MAX(3,MIN(15,N($D$18))),IFERROR(LARGE('Calc (scoring engine)'!$K$5:$K$518,6),-999999)&lt;=-900000),"",IFERROR(IF(INDEX(Database!$BO$5:$BO$518,MATCH(LARGE('Calc (scoring engine)'!$K$5:$K$518,6),'Calc (scoring engine)'!$K$5:$K$518,0))="","—",INDEX(Database!$BO$5:$BO$518,MATCH(LARGE('Calc (scoring engine)'!$K$5:$K$518,6),'Calc (scoring engine)'!$K$5:$K$518,0))),""))</f>
        <v/>
      </c>
      <c r="BM26" s="24">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10">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engine)'!$K$5:$K$518,6),-999999)&lt;=-900000),"",IFERROR(IF(INDEX(Database!$BT$5:$BT$518,MATCH(LARGE('Calc (scoring engine)'!$K$5:$K$518,6),'Calc (scoring engine)'!$K$5:$K$518,0))="","—",INDEX(Database!$BT$5:$BT$518,MATCH(LARGE('Calc (scoring engine)'!$K$5:$K$518,6),'Calc (scoring engine)'!$K$5:$K$518,0))),""))</f>
        <v/>
      </c>
      <c r="BQ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R26" s="10">
        <f>IF(OR(6&gt;MAX(3,MIN(15,N($D$18))),IFERROR(LARGE('Calc (scoring engine)'!$K$5:$K$518,6),-999999)&lt;=-900000),"",IF(IFERROR(INDEX('Calc (scoring engine)'!$B$5:$B$518,MATCH(LARGE('Calc (scoring engine)'!$K$5:$K$518,6),'Calc (scoring engine)'!$K$5:$K$518,0)),0)=1,"same subsector","sector only"))</f>
        <v/>
      </c>
      <c r="BS26" s="44">
        <f>IF(OR(6&gt;MAX(3,MIN(15,N($D$18))),IFERROR(LARGE('Calc (scoring engine)'!$K$5:$K$518,6),-999999)&lt;=-900000),"",ROUND(IFERROR(LARGE('Calc (scoring engine)'!$K$5:$K$518,6),0),0))</f>
        <v/>
      </c>
      <c r="BT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23">
        <f>IF(OR(7&gt;MAX(3,MIN(15,N($D$18))),IFERROR(LARGE('Calc (scoring engine)'!$K$5:$K$518,7),-999999)&lt;=-900000),"",IFERROR(IF(INDEX(Database!$AB$5:$AB$518,MATCH(LARGE('Calc (scoring engine)'!$K$5:$K$518,7),'Calc (scoring engine)'!$K$5:$K$518,0))="","—",INDEX(Database!$AB$5:$AB$518,MATCH(LARGE('Calc (scoring engine)'!$K$5:$K$518,7),'Calc (scoring engine)'!$K$5:$K$518,0))),""))</f>
        <v/>
      </c>
      <c r="Z27" s="40">
        <f>IF(OR(7&gt;MAX(3,MIN(15,N($D$18))),IFERROR(LARGE('Calc (scoring engine)'!$K$5:$K$518,7),-999999)&lt;=-900000),"",IFERROR(IF(INDEX(Database!$AC$5:$AC$518,MATCH(LARGE('Calc (scoring engine)'!$K$5:$K$518,7),'Calc (scoring engine)'!$K$5:$K$518,0))="","—",INDEX(Database!$AC$5:$AC$518,MATCH(LARGE('Calc (scoring engine)'!$K$5:$K$518,7),'Calc (scoring engine)'!$K$5:$K$518,0))),""))</f>
        <v/>
      </c>
      <c r="AA27" s="23">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10">
        <f>IF(OR(7&gt;MAX(3,MIN(15,N($D$18))),IFERROR(LARGE('Calc (scoring engine)'!$K$5:$K$518,7),-999999)&lt;=-900000),"",IFERROR(IF(INDEX(Database!$AF$5:$AF$518,MATCH(LARGE('Calc (scoring engine)'!$K$5:$K$518,7),'Calc (scoring engine)'!$K$5:$K$518,0))="","—",INDEX(Database!$AF$5:$AF$518,MATCH(LARGE('Calc (scoring engine)'!$K$5:$K$518,7),'Calc (scoring engine)'!$K$5:$K$518,0))),""))</f>
        <v/>
      </c>
      <c r="AD27" s="10">
        <f>IF(OR(7&gt;MAX(3,MIN(15,N($D$18))),IFERROR(LARGE('Calc (scoring engine)'!$K$5:$K$518,7),-999999)&lt;=-900000),"",IFERROR(IF(INDEX(Database!$AG$5:$AG$518,MATCH(LARGE('Calc (scoring engine)'!$K$5:$K$518,7),'Calc (scoring engine)'!$K$5:$K$518,0))="","—",INDEX(Database!$AG$5:$AG$518,MATCH(LARGE('Calc (scoring engine)'!$K$5:$K$518,7),'Calc (scoring engine)'!$K$5:$K$518,0))),""))</f>
        <v/>
      </c>
      <c r="AE27" s="10">
        <f>IF(OR(7&gt;MAX(3,MIN(15,N($D$18))),IFERROR(LARGE('Calc (scoring engine)'!$K$5:$K$518,7),-999999)&lt;=-900000),"",IFERROR(IF(INDEX(Database!$AH$5:$AH$518,MATCH(LARGE('Calc (scoring engine)'!$K$5:$K$518,7),'Calc (scoring engine)'!$K$5:$K$518,0))="","—",INDEX(Database!$AH$5:$AH$518,MATCH(LARGE('Calc (scoring engine)'!$K$5:$K$518,7),'Calc (scoring engine)'!$K$5:$K$518,0))),""))</f>
        <v/>
      </c>
      <c r="AF27" s="10">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engine)'!$K$5:$K$518,7),-999999)&lt;=-900000),"",IFERROR(IF(INDEX(Database!$AZ$5:$AZ$518,MATCH(LARGE('Calc (scoring engine)'!$K$5:$K$518,7),'Calc (scoring engine)'!$K$5:$K$518,0))="","—",INDEX(Database!$AZ$5:$AZ$518,MATCH(LARGE('Calc (scoring engine)'!$K$5:$K$518,7),'Calc (scoring engine)'!$K$5:$K$518,0))),""))</f>
        <v/>
      </c>
      <c r="AW27" s="18">
        <f>IF(OR(7&gt;MAX(3,MIN(15,N($D$18))),IFERROR(LARGE('Calc (scoring engine)'!$K$5:$K$518,7),-999999)&lt;=-900000),"",IFERROR(IF(INDEX(Database!$BB$5:$BB$518,MATCH(LARGE('Calc (scoring engine)'!$K$5:$K$518,7),'Calc (scoring engine)'!$K$5:$K$518,0))="","—",INDEX(Database!$BB$5:$BB$518,MATCH(LARGE('Calc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0">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engine)'!$K$5:$K$518,7),-999999)&lt;=-900000),"",IFERROR(IF(N(INDEX(Database!$BE$5:$BE$518,MATCH(LARGE('Calc (scoring engine)'!$K$5:$K$518,7),'Calc (scoring engine)'!$K$5:$K$518,0)))&lt;=0,IF(INDEX(Database!$BD$5:$BD$518,MATCH(LARGE('Calc (scoring engine)'!$K$5:$K$518,7),'Calc (scoring engine)'!$K$5:$K$518,0))="N","n/m","—"),INDEX(Database!$BE$5:$BE$518,MATCH(LARGE('Calc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engine)'!$K$5:$K$518,7),-999999)&lt;=-900000),"",IFERROR(IFERROR(BDP(TEXT(INDEX(Database!$A$5:$A$518,MATCH(LARGE('Calc (scoring engine)'!$K$5:$K$518,7),'Calc (scoring engine)'!$K$5:$K$518,0)),"0")&amp;" HK Equity","PE_RATIO"),IF(INDEX(Database!$BG$5:$BG$518,MATCH(LARGE('Calc (scoring engine)'!$K$5:$K$518,7),'Calc (scoring engine)'!$K$5:$K$518,0))="","—",INDEX(Database!$BG$5:$BG$518,MATCH(LARGE('Calc (scoring engine)'!$K$5:$K$518,7),'Calc (scoring engine)'!$K$5:$K$518,0)))),""))</f>
        <v/>
      </c>
      <c r="BF27" s="24">
        <f>IF(OR(7&gt;MAX(3,MIN(15,N($D$18))),IFERROR(LARGE('Calc (scoring engine)'!$K$5:$K$518,7),-999999)&lt;=-900000),"",IFERROR(IFERROR(BDP(TEXT(INDEX(Database!$A$5:$A$518,MATCH(LARGE('Calc (scoring engine)'!$K$5:$K$518,7),'Calc (scoring engine)'!$K$5:$K$518,0)),"0")&amp;" HK Equity","PX_TO_SALES_RATIO"),IF(INDEX(Database!$BH$5:$BH$518,MATCH(LARGE('Calc (scoring engine)'!$K$5:$K$518,7),'Calc (scoring engine)'!$K$5:$K$518,0))="","—",INDEX(Database!$BH$5:$BH$518,MATCH(LARGE('Calc (scoring engine)'!$K$5:$K$518,7),'Calc (scoring engine)'!$K$5:$K$518,0)))),""))</f>
        <v/>
      </c>
      <c r="BG27" s="10">
        <f>IF(OR(7&gt;MAX(3,MIN(15,N($D$18))),IFERROR(LARGE('Calc (scoring engine)'!$K$5:$K$518,7),-999999)&lt;=-900000),"",IFERROR(IF(INDEX(Database!$BJ$5:$BJ$518,MATCH(LARGE('Calc (scoring engine)'!$K$5:$K$518,7),'Calc (scoring engine)'!$K$5:$K$518,0))="","—",INDEX(Database!$BJ$5:$BJ$518,MATCH(LARGE('Calc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23">
        <f>IF(OR(7&gt;MAX(3,MIN(15,N($D$18))),IFERROR(LARGE('Calc (scoring engine)'!$K$5:$K$518,7),-999999)&lt;=-900000),"",IFERROR(IF(INDEX(Database!$BL$5:$BL$518,MATCH(LARGE('Calc (scoring engine)'!$K$5:$K$518,7),'Calc (scoring engine)'!$K$5:$K$518,0))="","—",INDEX(Database!$BL$5:$BL$518,MATCH(LARGE('Calc (scoring engine)'!$K$5:$K$518,7),'Calc (scoring engine)'!$K$5:$K$518,0))),""))</f>
        <v/>
      </c>
      <c r="BJ27" s="40">
        <f>IF(OR(7&gt;MAX(3,MIN(15,N($D$18))),IFERROR(LARGE('Calc (scoring engine)'!$K$5:$K$518,7),-999999)&lt;=-900000),"",IFERROR(IF(INDEX(Database!$BM$5:$BM$518,MATCH(LARGE('Calc (scoring engine)'!$K$5:$K$518,7),'Calc (scoring engine)'!$K$5:$K$518,0))="","—",INDEX(Database!$BM$5:$BM$518,MATCH(LARGE('Calc (scoring engine)'!$K$5:$K$518,7),'Calc (scoring engine)'!$K$5:$K$518,0))),""))</f>
        <v/>
      </c>
      <c r="BK27" s="43">
        <f>IF(OR(7&gt;MAX(3,MIN(15,N($D$18))),IFERROR(LARGE('Calc (scoring engine)'!$K$5:$K$518,7),-999999)&lt;=-900000),"",IFERROR(IF(INDEX(Database!$BN$5:$BN$518,MATCH(LARGE('Calc (scoring engine)'!$K$5:$K$518,7),'Calc (scoring engine)'!$K$5:$K$518,0))="","—",INDEX(Database!$BN$5:$BN$518,MATCH(LARGE('Calc (scoring engine)'!$K$5:$K$518,7),'Calc (scoring engine)'!$K$5:$K$518,0))),""))</f>
        <v/>
      </c>
      <c r="BL27" s="18">
        <f>IF(OR(7&gt;MAX(3,MIN(15,N($D$18))),IFERROR(LARGE('Calc (scoring engine)'!$K$5:$K$518,7),-999999)&lt;=-900000),"",IFERROR(IF(INDEX(Database!$BO$5:$BO$518,MATCH(LARGE('Calc (scoring engine)'!$K$5:$K$518,7),'Calc (scoring engine)'!$K$5:$K$518,0))="","—",INDEX(Database!$BO$5:$BO$518,MATCH(LARGE('Calc (scoring engine)'!$K$5:$K$518,7),'Calc (scoring engine)'!$K$5:$K$518,0))),""))</f>
        <v/>
      </c>
      <c r="BM27" s="24">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10">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engine)'!$K$5:$K$518,7),-999999)&lt;=-900000),"",IFERROR(IF(INDEX(Database!$BT$5:$BT$518,MATCH(LARGE('Calc (scoring engine)'!$K$5:$K$518,7),'Calc (scoring engine)'!$K$5:$K$518,0))="","—",INDEX(Database!$BT$5:$BT$518,MATCH(LARGE('Calc (scoring engine)'!$K$5:$K$518,7),'Calc (scoring engine)'!$K$5:$K$518,0))),""))</f>
        <v/>
      </c>
      <c r="BQ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R27" s="10">
        <f>IF(OR(7&gt;MAX(3,MIN(15,N($D$18))),IFERROR(LARGE('Calc (scoring engine)'!$K$5:$K$518,7),-999999)&lt;=-900000),"",IF(IFERROR(INDEX('Calc (scoring engine)'!$B$5:$B$518,MATCH(LARGE('Calc (scoring engine)'!$K$5:$K$518,7),'Calc (scoring engine)'!$K$5:$K$518,0)),0)=1,"same subsector","sector only"))</f>
        <v/>
      </c>
      <c r="BS27" s="44">
        <f>IF(OR(7&gt;MAX(3,MIN(15,N($D$18))),IFERROR(LARGE('Calc (scoring engine)'!$K$5:$K$518,7),-999999)&lt;=-900000),"",ROUND(IFERROR(LARGE('Calc (scoring engine)'!$K$5:$K$518,7),0),0))</f>
        <v/>
      </c>
      <c r="BT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23">
        <f>IF(OR(8&gt;MAX(3,MIN(15,N($D$18))),IFERROR(LARGE('Calc (scoring engine)'!$K$5:$K$518,8),-999999)&lt;=-900000),"",IFERROR(IF(INDEX(Database!$AB$5:$AB$518,MATCH(LARGE('Calc (scoring engine)'!$K$5:$K$518,8),'Calc (scoring engine)'!$K$5:$K$518,0))="","—",INDEX(Database!$AB$5:$AB$518,MATCH(LARGE('Calc (scoring engine)'!$K$5:$K$518,8),'Calc (scoring engine)'!$K$5:$K$518,0))),""))</f>
        <v/>
      </c>
      <c r="Z28" s="40">
        <f>IF(OR(8&gt;MAX(3,MIN(15,N($D$18))),IFERROR(LARGE('Calc (scoring engine)'!$K$5:$K$518,8),-999999)&lt;=-900000),"",IFERROR(IF(INDEX(Database!$AC$5:$AC$518,MATCH(LARGE('Calc (scoring engine)'!$K$5:$K$518,8),'Calc (scoring engine)'!$K$5:$K$518,0))="","—",INDEX(Database!$AC$5:$AC$518,MATCH(LARGE('Calc (scoring engine)'!$K$5:$K$518,8),'Calc (scoring engine)'!$K$5:$K$518,0))),""))</f>
        <v/>
      </c>
      <c r="AA28" s="23">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10">
        <f>IF(OR(8&gt;MAX(3,MIN(15,N($D$18))),IFERROR(LARGE('Calc (scoring engine)'!$K$5:$K$518,8),-999999)&lt;=-900000),"",IFERROR(IF(INDEX(Database!$AF$5:$AF$518,MATCH(LARGE('Calc (scoring engine)'!$K$5:$K$518,8),'Calc (scoring engine)'!$K$5:$K$518,0))="","—",INDEX(Database!$AF$5:$AF$518,MATCH(LARGE('Calc (scoring engine)'!$K$5:$K$518,8),'Calc (scoring engine)'!$K$5:$K$518,0))),""))</f>
        <v/>
      </c>
      <c r="AD28" s="10">
        <f>IF(OR(8&gt;MAX(3,MIN(15,N($D$18))),IFERROR(LARGE('Calc (scoring engine)'!$K$5:$K$518,8),-999999)&lt;=-900000),"",IFERROR(IF(INDEX(Database!$AG$5:$AG$518,MATCH(LARGE('Calc (scoring engine)'!$K$5:$K$518,8),'Calc (scoring engine)'!$K$5:$K$518,0))="","—",INDEX(Database!$AG$5:$AG$518,MATCH(LARGE('Calc (scoring engine)'!$K$5:$K$518,8),'Calc (scoring engine)'!$K$5:$K$518,0))),""))</f>
        <v/>
      </c>
      <c r="AE28" s="10">
        <f>IF(OR(8&gt;MAX(3,MIN(15,N($D$18))),IFERROR(LARGE('Calc (scoring engine)'!$K$5:$K$518,8),-999999)&lt;=-900000),"",IFERROR(IF(INDEX(Database!$AH$5:$AH$518,MATCH(LARGE('Calc (scoring engine)'!$K$5:$K$518,8),'Calc (scoring engine)'!$K$5:$K$518,0))="","—",INDEX(Database!$AH$5:$AH$518,MATCH(LARGE('Calc (scoring engine)'!$K$5:$K$518,8),'Calc (scoring engine)'!$K$5:$K$518,0))),""))</f>
        <v/>
      </c>
      <c r="AF28" s="10">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engine)'!$K$5:$K$518,8),-999999)&lt;=-900000),"",IFERROR(IF(INDEX(Database!$AZ$5:$AZ$518,MATCH(LARGE('Calc (scoring engine)'!$K$5:$K$518,8),'Calc (scoring engine)'!$K$5:$K$518,0))="","—",INDEX(Database!$AZ$5:$AZ$518,MATCH(LARGE('Calc (scoring engine)'!$K$5:$K$518,8),'Calc (scoring engine)'!$K$5:$K$518,0))),""))</f>
        <v/>
      </c>
      <c r="AW28" s="18">
        <f>IF(OR(8&gt;MAX(3,MIN(15,N($D$18))),IFERROR(LARGE('Calc (scoring engine)'!$K$5:$K$518,8),-999999)&lt;=-900000),"",IFERROR(IF(INDEX(Database!$BB$5:$BB$518,MATCH(LARGE('Calc (scoring engine)'!$K$5:$K$518,8),'Calc (scoring engine)'!$K$5:$K$518,0))="","—",INDEX(Database!$BB$5:$BB$518,MATCH(LARGE('Calc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0">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engine)'!$K$5:$K$518,8),-999999)&lt;=-900000),"",IFERROR(IF(N(INDEX(Database!$BE$5:$BE$518,MATCH(LARGE('Calc (scoring engine)'!$K$5:$K$518,8),'Calc (scoring engine)'!$K$5:$K$518,0)))&lt;=0,IF(INDEX(Database!$BD$5:$BD$518,MATCH(LARGE('Calc (scoring engine)'!$K$5:$K$518,8),'Calc (scoring engine)'!$K$5:$K$518,0))="N","n/m","—"),INDEX(Database!$BE$5:$BE$518,MATCH(LARGE('Calc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engine)'!$K$5:$K$518,8),-999999)&lt;=-900000),"",IFERROR(IFERROR(BDP(TEXT(INDEX(Database!$A$5:$A$518,MATCH(LARGE('Calc (scoring engine)'!$K$5:$K$518,8),'Calc (scoring engine)'!$K$5:$K$518,0)),"0")&amp;" HK Equity","PE_RATIO"),IF(INDEX(Database!$BG$5:$BG$518,MATCH(LARGE('Calc (scoring engine)'!$K$5:$K$518,8),'Calc (scoring engine)'!$K$5:$K$518,0))="","—",INDEX(Database!$BG$5:$BG$518,MATCH(LARGE('Calc (scoring engine)'!$K$5:$K$518,8),'Calc (scoring engine)'!$K$5:$K$518,0)))),""))</f>
        <v/>
      </c>
      <c r="BF28" s="24">
        <f>IF(OR(8&gt;MAX(3,MIN(15,N($D$18))),IFERROR(LARGE('Calc (scoring engine)'!$K$5:$K$518,8),-999999)&lt;=-900000),"",IFERROR(IFERROR(BDP(TEXT(INDEX(Database!$A$5:$A$518,MATCH(LARGE('Calc (scoring engine)'!$K$5:$K$518,8),'Calc (scoring engine)'!$K$5:$K$518,0)),"0")&amp;" HK Equity","PX_TO_SALES_RATIO"),IF(INDEX(Database!$BH$5:$BH$518,MATCH(LARGE('Calc (scoring engine)'!$K$5:$K$518,8),'Calc (scoring engine)'!$K$5:$K$518,0))="","—",INDEX(Database!$BH$5:$BH$518,MATCH(LARGE('Calc (scoring engine)'!$K$5:$K$518,8),'Calc (scoring engine)'!$K$5:$K$518,0)))),""))</f>
        <v/>
      </c>
      <c r="BG28" s="10">
        <f>IF(OR(8&gt;MAX(3,MIN(15,N($D$18))),IFERROR(LARGE('Calc (scoring engine)'!$K$5:$K$518,8),-999999)&lt;=-900000),"",IFERROR(IF(INDEX(Database!$BJ$5:$BJ$518,MATCH(LARGE('Calc (scoring engine)'!$K$5:$K$518,8),'Calc (scoring engine)'!$K$5:$K$518,0))="","—",INDEX(Database!$BJ$5:$BJ$518,MATCH(LARGE('Calc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23">
        <f>IF(OR(8&gt;MAX(3,MIN(15,N($D$18))),IFERROR(LARGE('Calc (scoring engine)'!$K$5:$K$518,8),-999999)&lt;=-900000),"",IFERROR(IF(INDEX(Database!$BL$5:$BL$518,MATCH(LARGE('Calc (scoring engine)'!$K$5:$K$518,8),'Calc (scoring engine)'!$K$5:$K$518,0))="","—",INDEX(Database!$BL$5:$BL$518,MATCH(LARGE('Calc (scoring engine)'!$K$5:$K$518,8),'Calc (scoring engine)'!$K$5:$K$518,0))),""))</f>
        <v/>
      </c>
      <c r="BJ28" s="40">
        <f>IF(OR(8&gt;MAX(3,MIN(15,N($D$18))),IFERROR(LARGE('Calc (scoring engine)'!$K$5:$K$518,8),-999999)&lt;=-900000),"",IFERROR(IF(INDEX(Database!$BM$5:$BM$518,MATCH(LARGE('Calc (scoring engine)'!$K$5:$K$518,8),'Calc (scoring engine)'!$K$5:$K$518,0))="","—",INDEX(Database!$BM$5:$BM$518,MATCH(LARGE('Calc (scoring engine)'!$K$5:$K$518,8),'Calc (scoring engine)'!$K$5:$K$518,0))),""))</f>
        <v/>
      </c>
      <c r="BK28" s="43">
        <f>IF(OR(8&gt;MAX(3,MIN(15,N($D$18))),IFERROR(LARGE('Calc (scoring engine)'!$K$5:$K$518,8),-999999)&lt;=-900000),"",IFERROR(IF(INDEX(Database!$BN$5:$BN$518,MATCH(LARGE('Calc (scoring engine)'!$K$5:$K$518,8),'Calc (scoring engine)'!$K$5:$K$518,0))="","—",INDEX(Database!$BN$5:$BN$518,MATCH(LARGE('Calc (scoring engine)'!$K$5:$K$518,8),'Calc (scoring engine)'!$K$5:$K$518,0))),""))</f>
        <v/>
      </c>
      <c r="BL28" s="18">
        <f>IF(OR(8&gt;MAX(3,MIN(15,N($D$18))),IFERROR(LARGE('Calc (scoring engine)'!$K$5:$K$518,8),-999999)&lt;=-900000),"",IFERROR(IF(INDEX(Database!$BO$5:$BO$518,MATCH(LARGE('Calc (scoring engine)'!$K$5:$K$518,8),'Calc (scoring engine)'!$K$5:$K$518,0))="","—",INDEX(Database!$BO$5:$BO$518,MATCH(LARGE('Calc (scoring engine)'!$K$5:$K$518,8),'Calc (scoring engine)'!$K$5:$K$518,0))),""))</f>
        <v/>
      </c>
      <c r="BM28" s="24">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10">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engine)'!$K$5:$K$518,8),-999999)&lt;=-900000),"",IFERROR(IF(INDEX(Database!$BT$5:$BT$518,MATCH(LARGE('Calc (scoring engine)'!$K$5:$K$518,8),'Calc (scoring engine)'!$K$5:$K$518,0))="","—",INDEX(Database!$BT$5:$BT$518,MATCH(LARGE('Calc (scoring engine)'!$K$5:$K$518,8),'Calc (scoring engine)'!$K$5:$K$518,0))),""))</f>
        <v/>
      </c>
      <c r="BQ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R28" s="10">
        <f>IF(OR(8&gt;MAX(3,MIN(15,N($D$18))),IFERROR(LARGE('Calc (scoring engine)'!$K$5:$K$518,8),-999999)&lt;=-900000),"",IF(IFERROR(INDEX('Calc (scoring engine)'!$B$5:$B$518,MATCH(LARGE('Calc (scoring engine)'!$K$5:$K$518,8),'Calc (scoring engine)'!$K$5:$K$518,0)),0)=1,"same subsector","sector only"))</f>
        <v/>
      </c>
      <c r="BS28" s="44">
        <f>IF(OR(8&gt;MAX(3,MIN(15,N($D$18))),IFERROR(LARGE('Calc (scoring engine)'!$K$5:$K$518,8),-999999)&lt;=-900000),"",ROUND(IFERROR(LARGE('Calc (scoring engine)'!$K$5:$K$518,8),0),0))</f>
        <v/>
      </c>
      <c r="BT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23">
        <f>IF(OR(9&gt;MAX(3,MIN(15,N($D$18))),IFERROR(LARGE('Calc (scoring engine)'!$K$5:$K$518,9),-999999)&lt;=-900000),"",IFERROR(IF(INDEX(Database!$AB$5:$AB$518,MATCH(LARGE('Calc (scoring engine)'!$K$5:$K$518,9),'Calc (scoring engine)'!$K$5:$K$518,0))="","—",INDEX(Database!$AB$5:$AB$518,MATCH(LARGE('Calc (scoring engine)'!$K$5:$K$518,9),'Calc (scoring engine)'!$K$5:$K$518,0))),""))</f>
        <v/>
      </c>
      <c r="Z29" s="40">
        <f>IF(OR(9&gt;MAX(3,MIN(15,N($D$18))),IFERROR(LARGE('Calc (scoring engine)'!$K$5:$K$518,9),-999999)&lt;=-900000),"",IFERROR(IF(INDEX(Database!$AC$5:$AC$518,MATCH(LARGE('Calc (scoring engine)'!$K$5:$K$518,9),'Calc (scoring engine)'!$K$5:$K$518,0))="","—",INDEX(Database!$AC$5:$AC$518,MATCH(LARGE('Calc (scoring engine)'!$K$5:$K$518,9),'Calc (scoring engine)'!$K$5:$K$518,0))),""))</f>
        <v/>
      </c>
      <c r="AA29" s="23">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10">
        <f>IF(OR(9&gt;MAX(3,MIN(15,N($D$18))),IFERROR(LARGE('Calc (scoring engine)'!$K$5:$K$518,9),-999999)&lt;=-900000),"",IFERROR(IF(INDEX(Database!$AF$5:$AF$518,MATCH(LARGE('Calc (scoring engine)'!$K$5:$K$518,9),'Calc (scoring engine)'!$K$5:$K$518,0))="","—",INDEX(Database!$AF$5:$AF$518,MATCH(LARGE('Calc (scoring engine)'!$K$5:$K$518,9),'Calc (scoring engine)'!$K$5:$K$518,0))),""))</f>
        <v/>
      </c>
      <c r="AD29" s="10">
        <f>IF(OR(9&gt;MAX(3,MIN(15,N($D$18))),IFERROR(LARGE('Calc (scoring engine)'!$K$5:$K$518,9),-999999)&lt;=-900000),"",IFERROR(IF(INDEX(Database!$AG$5:$AG$518,MATCH(LARGE('Calc (scoring engine)'!$K$5:$K$518,9),'Calc (scoring engine)'!$K$5:$K$518,0))="","—",INDEX(Database!$AG$5:$AG$518,MATCH(LARGE('Calc (scoring engine)'!$K$5:$K$518,9),'Calc (scoring engine)'!$K$5:$K$518,0))),""))</f>
        <v/>
      </c>
      <c r="AE29" s="10">
        <f>IF(OR(9&gt;MAX(3,MIN(15,N($D$18))),IFERROR(LARGE('Calc (scoring engine)'!$K$5:$K$518,9),-999999)&lt;=-900000),"",IFERROR(IF(INDEX(Database!$AH$5:$AH$518,MATCH(LARGE('Calc (scoring engine)'!$K$5:$K$518,9),'Calc (scoring engine)'!$K$5:$K$518,0))="","—",INDEX(Database!$AH$5:$AH$518,MATCH(LARGE('Calc (scoring engine)'!$K$5:$K$518,9),'Calc (scoring engine)'!$K$5:$K$518,0))),""))</f>
        <v/>
      </c>
      <c r="AF29" s="10">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engine)'!$K$5:$K$518,9),-999999)&lt;=-900000),"",IFERROR(IF(INDEX(Database!$AZ$5:$AZ$518,MATCH(LARGE('Calc (scoring engine)'!$K$5:$K$518,9),'Calc (scoring engine)'!$K$5:$K$518,0))="","—",INDEX(Database!$AZ$5:$AZ$518,MATCH(LARGE('Calc (scoring engine)'!$K$5:$K$518,9),'Calc (scoring engine)'!$K$5:$K$518,0))),""))</f>
        <v/>
      </c>
      <c r="AW29" s="18">
        <f>IF(OR(9&gt;MAX(3,MIN(15,N($D$18))),IFERROR(LARGE('Calc (scoring engine)'!$K$5:$K$518,9),-999999)&lt;=-900000),"",IFERROR(IF(INDEX(Database!$BB$5:$BB$518,MATCH(LARGE('Calc (scoring engine)'!$K$5:$K$518,9),'Calc (scoring engine)'!$K$5:$K$518,0))="","—",INDEX(Database!$BB$5:$BB$518,MATCH(LARGE('Calc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0">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engine)'!$K$5:$K$518,9),-999999)&lt;=-900000),"",IFERROR(IF(N(INDEX(Database!$BE$5:$BE$518,MATCH(LARGE('Calc (scoring engine)'!$K$5:$K$518,9),'Calc (scoring engine)'!$K$5:$K$518,0)))&lt;=0,IF(INDEX(Database!$BD$5:$BD$518,MATCH(LARGE('Calc (scoring engine)'!$K$5:$K$518,9),'Calc (scoring engine)'!$K$5:$K$518,0))="N","n/m","—"),INDEX(Database!$BE$5:$BE$518,MATCH(LARGE('Calc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engine)'!$K$5:$K$518,9),-999999)&lt;=-900000),"",IFERROR(IFERROR(BDP(TEXT(INDEX(Database!$A$5:$A$518,MATCH(LARGE('Calc (scoring engine)'!$K$5:$K$518,9),'Calc (scoring engine)'!$K$5:$K$518,0)),"0")&amp;" HK Equity","PE_RATIO"),IF(INDEX(Database!$BG$5:$BG$518,MATCH(LARGE('Calc (scoring engine)'!$K$5:$K$518,9),'Calc (scoring engine)'!$K$5:$K$518,0))="","—",INDEX(Database!$BG$5:$BG$518,MATCH(LARGE('Calc (scoring engine)'!$K$5:$K$518,9),'Calc (scoring engine)'!$K$5:$K$518,0)))),""))</f>
        <v/>
      </c>
      <c r="BF29" s="24">
        <f>IF(OR(9&gt;MAX(3,MIN(15,N($D$18))),IFERROR(LARGE('Calc (scoring engine)'!$K$5:$K$518,9),-999999)&lt;=-900000),"",IFERROR(IFERROR(BDP(TEXT(INDEX(Database!$A$5:$A$518,MATCH(LARGE('Calc (scoring engine)'!$K$5:$K$518,9),'Calc (scoring engine)'!$K$5:$K$518,0)),"0")&amp;" HK Equity","PX_TO_SALES_RATIO"),IF(INDEX(Database!$BH$5:$BH$518,MATCH(LARGE('Calc (scoring engine)'!$K$5:$K$518,9),'Calc (scoring engine)'!$K$5:$K$518,0))="","—",INDEX(Database!$BH$5:$BH$518,MATCH(LARGE('Calc (scoring engine)'!$K$5:$K$518,9),'Calc (scoring engine)'!$K$5:$K$518,0)))),""))</f>
        <v/>
      </c>
      <c r="BG29" s="10">
        <f>IF(OR(9&gt;MAX(3,MIN(15,N($D$18))),IFERROR(LARGE('Calc (scoring engine)'!$K$5:$K$518,9),-999999)&lt;=-900000),"",IFERROR(IF(INDEX(Database!$BJ$5:$BJ$518,MATCH(LARGE('Calc (scoring engine)'!$K$5:$K$518,9),'Calc (scoring engine)'!$K$5:$K$518,0))="","—",INDEX(Database!$BJ$5:$BJ$518,MATCH(LARGE('Calc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23">
        <f>IF(OR(9&gt;MAX(3,MIN(15,N($D$18))),IFERROR(LARGE('Calc (scoring engine)'!$K$5:$K$518,9),-999999)&lt;=-900000),"",IFERROR(IF(INDEX(Database!$BL$5:$BL$518,MATCH(LARGE('Calc (scoring engine)'!$K$5:$K$518,9),'Calc (scoring engine)'!$K$5:$K$518,0))="","—",INDEX(Database!$BL$5:$BL$518,MATCH(LARGE('Calc (scoring engine)'!$K$5:$K$518,9),'Calc (scoring engine)'!$K$5:$K$518,0))),""))</f>
        <v/>
      </c>
      <c r="BJ29" s="40">
        <f>IF(OR(9&gt;MAX(3,MIN(15,N($D$18))),IFERROR(LARGE('Calc (scoring engine)'!$K$5:$K$518,9),-999999)&lt;=-900000),"",IFERROR(IF(INDEX(Database!$BM$5:$BM$518,MATCH(LARGE('Calc (scoring engine)'!$K$5:$K$518,9),'Calc (scoring engine)'!$K$5:$K$518,0))="","—",INDEX(Database!$BM$5:$BM$518,MATCH(LARGE('Calc (scoring engine)'!$K$5:$K$518,9),'Calc (scoring engine)'!$K$5:$K$518,0))),""))</f>
        <v/>
      </c>
      <c r="BK29" s="43">
        <f>IF(OR(9&gt;MAX(3,MIN(15,N($D$18))),IFERROR(LARGE('Calc (scoring engine)'!$K$5:$K$518,9),-999999)&lt;=-900000),"",IFERROR(IF(INDEX(Database!$BN$5:$BN$518,MATCH(LARGE('Calc (scoring engine)'!$K$5:$K$518,9),'Calc (scoring engine)'!$K$5:$K$518,0))="","—",INDEX(Database!$BN$5:$BN$518,MATCH(LARGE('Calc (scoring engine)'!$K$5:$K$518,9),'Calc (scoring engine)'!$K$5:$K$518,0))),""))</f>
        <v/>
      </c>
      <c r="BL29" s="18">
        <f>IF(OR(9&gt;MAX(3,MIN(15,N($D$18))),IFERROR(LARGE('Calc (scoring engine)'!$K$5:$K$518,9),-999999)&lt;=-900000),"",IFERROR(IF(INDEX(Database!$BO$5:$BO$518,MATCH(LARGE('Calc (scoring engine)'!$K$5:$K$518,9),'Calc (scoring engine)'!$K$5:$K$518,0))="","—",INDEX(Database!$BO$5:$BO$518,MATCH(LARGE('Calc (scoring engine)'!$K$5:$K$518,9),'Calc (scoring engine)'!$K$5:$K$518,0))),""))</f>
        <v/>
      </c>
      <c r="BM29" s="24">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10">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engine)'!$K$5:$K$518,9),-999999)&lt;=-900000),"",IFERROR(IF(INDEX(Database!$BT$5:$BT$518,MATCH(LARGE('Calc (scoring engine)'!$K$5:$K$518,9),'Calc (scoring engine)'!$K$5:$K$518,0))="","—",INDEX(Database!$BT$5:$BT$518,MATCH(LARGE('Calc (scoring engine)'!$K$5:$K$518,9),'Calc (scoring engine)'!$K$5:$K$518,0))),""))</f>
        <v/>
      </c>
      <c r="BQ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R29" s="10">
        <f>IF(OR(9&gt;MAX(3,MIN(15,N($D$18))),IFERROR(LARGE('Calc (scoring engine)'!$K$5:$K$518,9),-999999)&lt;=-900000),"",IF(IFERROR(INDEX('Calc (scoring engine)'!$B$5:$B$518,MATCH(LARGE('Calc (scoring engine)'!$K$5:$K$518,9),'Calc (scoring engine)'!$K$5:$K$518,0)),0)=1,"same subsector","sector only"))</f>
        <v/>
      </c>
      <c r="BS29" s="44">
        <f>IF(OR(9&gt;MAX(3,MIN(15,N($D$18))),IFERROR(LARGE('Calc (scoring engine)'!$K$5:$K$518,9),-999999)&lt;=-900000),"",ROUND(IFERROR(LARGE('Calc (scoring engine)'!$K$5:$K$518,9),0),0))</f>
        <v/>
      </c>
      <c r="BT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23">
        <f>IF(OR(10&gt;MAX(3,MIN(15,N($D$18))),IFERROR(LARGE('Calc (scoring engine)'!$K$5:$K$518,10),-999999)&lt;=-900000),"",IFERROR(IF(INDEX(Database!$AB$5:$AB$518,MATCH(LARGE('Calc (scoring engine)'!$K$5:$K$518,10),'Calc (scoring engine)'!$K$5:$K$518,0))="","—",INDEX(Database!$AB$5:$AB$518,MATCH(LARGE('Calc (scoring engine)'!$K$5:$K$518,10),'Calc (scoring engine)'!$K$5:$K$518,0))),""))</f>
        <v/>
      </c>
      <c r="Z30" s="40">
        <f>IF(OR(10&gt;MAX(3,MIN(15,N($D$18))),IFERROR(LARGE('Calc (scoring engine)'!$K$5:$K$518,10),-999999)&lt;=-900000),"",IFERROR(IF(INDEX(Database!$AC$5:$AC$518,MATCH(LARGE('Calc (scoring engine)'!$K$5:$K$518,10),'Calc (scoring engine)'!$K$5:$K$518,0))="","—",INDEX(Database!$AC$5:$AC$518,MATCH(LARGE('Calc (scoring engine)'!$K$5:$K$518,10),'Calc (scoring engine)'!$K$5:$K$518,0))),""))</f>
        <v/>
      </c>
      <c r="AA30" s="23">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10">
        <f>IF(OR(10&gt;MAX(3,MIN(15,N($D$18))),IFERROR(LARGE('Calc (scoring engine)'!$K$5:$K$518,10),-999999)&lt;=-900000),"",IFERROR(IF(INDEX(Database!$AF$5:$AF$518,MATCH(LARGE('Calc (scoring engine)'!$K$5:$K$518,10),'Calc (scoring engine)'!$K$5:$K$518,0))="","—",INDEX(Database!$AF$5:$AF$518,MATCH(LARGE('Calc (scoring engine)'!$K$5:$K$518,10),'Calc (scoring engine)'!$K$5:$K$518,0))),""))</f>
        <v/>
      </c>
      <c r="AD30" s="10">
        <f>IF(OR(10&gt;MAX(3,MIN(15,N($D$18))),IFERROR(LARGE('Calc (scoring engine)'!$K$5:$K$518,10),-999999)&lt;=-900000),"",IFERROR(IF(INDEX(Database!$AG$5:$AG$518,MATCH(LARGE('Calc (scoring engine)'!$K$5:$K$518,10),'Calc (scoring engine)'!$K$5:$K$518,0))="","—",INDEX(Database!$AG$5:$AG$518,MATCH(LARGE('Calc (scoring engine)'!$K$5:$K$518,10),'Calc (scoring engine)'!$K$5:$K$518,0))),""))</f>
        <v/>
      </c>
      <c r="AE30" s="10">
        <f>IF(OR(10&gt;MAX(3,MIN(15,N($D$18))),IFERROR(LARGE('Calc (scoring engine)'!$K$5:$K$518,10),-999999)&lt;=-900000),"",IFERROR(IF(INDEX(Database!$AH$5:$AH$518,MATCH(LARGE('Calc (scoring engine)'!$K$5:$K$518,10),'Calc (scoring engine)'!$K$5:$K$518,0))="","—",INDEX(Database!$AH$5:$AH$518,MATCH(LARGE('Calc (scoring engine)'!$K$5:$K$518,10),'Calc (scoring engine)'!$K$5:$K$518,0))),""))</f>
        <v/>
      </c>
      <c r="AF30" s="10">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engine)'!$K$5:$K$518,10),-999999)&lt;=-900000),"",IFERROR(IF(INDEX(Database!$AZ$5:$AZ$518,MATCH(LARGE('Calc (scoring engine)'!$K$5:$K$518,10),'Calc (scoring engine)'!$K$5:$K$518,0))="","—",INDEX(Database!$AZ$5:$AZ$518,MATCH(LARGE('Calc (scoring engine)'!$K$5:$K$518,10),'Calc (scoring engine)'!$K$5:$K$518,0))),""))</f>
        <v/>
      </c>
      <c r="AW30" s="18">
        <f>IF(OR(10&gt;MAX(3,MIN(15,N($D$18))),IFERROR(LARGE('Calc (scoring engine)'!$K$5:$K$518,10),-999999)&lt;=-900000),"",IFERROR(IF(INDEX(Database!$BB$5:$BB$518,MATCH(LARGE('Calc (scoring engine)'!$K$5:$K$518,10),'Calc (scoring engine)'!$K$5:$K$518,0))="","—",INDEX(Database!$BB$5:$BB$518,MATCH(LARGE('Calc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0">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engine)'!$K$5:$K$518,10),-999999)&lt;=-900000),"",IFERROR(IF(N(INDEX(Database!$BE$5:$BE$518,MATCH(LARGE('Calc (scoring engine)'!$K$5:$K$518,10),'Calc (scoring engine)'!$K$5:$K$518,0)))&lt;=0,IF(INDEX(Database!$BD$5:$BD$518,MATCH(LARGE('Calc (scoring engine)'!$K$5:$K$518,10),'Calc (scoring engine)'!$K$5:$K$518,0))="N","n/m","—"),INDEX(Database!$BE$5:$BE$518,MATCH(LARGE('Calc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engine)'!$K$5:$K$518,10),-999999)&lt;=-900000),"",IFERROR(IFERROR(BDP(TEXT(INDEX(Database!$A$5:$A$518,MATCH(LARGE('Calc (scoring engine)'!$K$5:$K$518,10),'Calc (scoring engine)'!$K$5:$K$518,0)),"0")&amp;" HK Equity","PE_RATIO"),IF(INDEX(Database!$BG$5:$BG$518,MATCH(LARGE('Calc (scoring engine)'!$K$5:$K$518,10),'Calc (scoring engine)'!$K$5:$K$518,0))="","—",INDEX(Database!$BG$5:$BG$518,MATCH(LARGE('Calc (scoring engine)'!$K$5:$K$518,10),'Calc (scoring engine)'!$K$5:$K$518,0)))),""))</f>
        <v/>
      </c>
      <c r="BF30" s="24">
        <f>IF(OR(10&gt;MAX(3,MIN(15,N($D$18))),IFERROR(LARGE('Calc (scoring engine)'!$K$5:$K$518,10),-999999)&lt;=-900000),"",IFERROR(IFERROR(BDP(TEXT(INDEX(Database!$A$5:$A$518,MATCH(LARGE('Calc (scoring engine)'!$K$5:$K$518,10),'Calc (scoring engine)'!$K$5:$K$518,0)),"0")&amp;" HK Equity","PX_TO_SALES_RATIO"),IF(INDEX(Database!$BH$5:$BH$518,MATCH(LARGE('Calc (scoring engine)'!$K$5:$K$518,10),'Calc (scoring engine)'!$K$5:$K$518,0))="","—",INDEX(Database!$BH$5:$BH$518,MATCH(LARGE('Calc (scoring engine)'!$K$5:$K$518,10),'Calc (scoring engine)'!$K$5:$K$518,0)))),""))</f>
        <v/>
      </c>
      <c r="BG30" s="10">
        <f>IF(OR(10&gt;MAX(3,MIN(15,N($D$18))),IFERROR(LARGE('Calc (scoring engine)'!$K$5:$K$518,10),-999999)&lt;=-900000),"",IFERROR(IF(INDEX(Database!$BJ$5:$BJ$518,MATCH(LARGE('Calc (scoring engine)'!$K$5:$K$518,10),'Calc (scoring engine)'!$K$5:$K$518,0))="","—",INDEX(Database!$BJ$5:$BJ$518,MATCH(LARGE('Calc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23">
        <f>IF(OR(10&gt;MAX(3,MIN(15,N($D$18))),IFERROR(LARGE('Calc (scoring engine)'!$K$5:$K$518,10),-999999)&lt;=-900000),"",IFERROR(IF(INDEX(Database!$BL$5:$BL$518,MATCH(LARGE('Calc (scoring engine)'!$K$5:$K$518,10),'Calc (scoring engine)'!$K$5:$K$518,0))="","—",INDEX(Database!$BL$5:$BL$518,MATCH(LARGE('Calc (scoring engine)'!$K$5:$K$518,10),'Calc (scoring engine)'!$K$5:$K$518,0))),""))</f>
        <v/>
      </c>
      <c r="BJ30" s="40">
        <f>IF(OR(10&gt;MAX(3,MIN(15,N($D$18))),IFERROR(LARGE('Calc (scoring engine)'!$K$5:$K$518,10),-999999)&lt;=-900000),"",IFERROR(IF(INDEX(Database!$BM$5:$BM$518,MATCH(LARGE('Calc (scoring engine)'!$K$5:$K$518,10),'Calc (scoring engine)'!$K$5:$K$518,0))="","—",INDEX(Database!$BM$5:$BM$518,MATCH(LARGE('Calc (scoring engine)'!$K$5:$K$518,10),'Calc (scoring engine)'!$K$5:$K$518,0))),""))</f>
        <v/>
      </c>
      <c r="BK30" s="43">
        <f>IF(OR(10&gt;MAX(3,MIN(15,N($D$18))),IFERROR(LARGE('Calc (scoring engine)'!$K$5:$K$518,10),-999999)&lt;=-900000),"",IFERROR(IF(INDEX(Database!$BN$5:$BN$518,MATCH(LARGE('Calc (scoring engine)'!$K$5:$K$518,10),'Calc (scoring engine)'!$K$5:$K$518,0))="","—",INDEX(Database!$BN$5:$BN$518,MATCH(LARGE('Calc (scoring engine)'!$K$5:$K$518,10),'Calc (scoring engine)'!$K$5:$K$518,0))),""))</f>
        <v/>
      </c>
      <c r="BL30" s="18">
        <f>IF(OR(10&gt;MAX(3,MIN(15,N($D$18))),IFERROR(LARGE('Calc (scoring engine)'!$K$5:$K$518,10),-999999)&lt;=-900000),"",IFERROR(IF(INDEX(Database!$BO$5:$BO$518,MATCH(LARGE('Calc (scoring engine)'!$K$5:$K$518,10),'Calc (scoring engine)'!$K$5:$K$518,0))="","—",INDEX(Database!$BO$5:$BO$518,MATCH(LARGE('Calc (scoring engine)'!$K$5:$K$518,10),'Calc (scoring engine)'!$K$5:$K$518,0))),""))</f>
        <v/>
      </c>
      <c r="BM30" s="24">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10">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engine)'!$K$5:$K$518,10),-999999)&lt;=-900000),"",IFERROR(IF(INDEX(Database!$BT$5:$BT$518,MATCH(LARGE('Calc (scoring engine)'!$K$5:$K$518,10),'Calc (scoring engine)'!$K$5:$K$518,0))="","—",INDEX(Database!$BT$5:$BT$518,MATCH(LARGE('Calc (scoring engine)'!$K$5:$K$518,10),'Calc (scoring engine)'!$K$5:$K$518,0))),""))</f>
        <v/>
      </c>
      <c r="BQ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R30" s="10">
        <f>IF(OR(10&gt;MAX(3,MIN(15,N($D$18))),IFERROR(LARGE('Calc (scoring engine)'!$K$5:$K$518,10),-999999)&lt;=-900000),"",IF(IFERROR(INDEX('Calc (scoring engine)'!$B$5:$B$518,MATCH(LARGE('Calc (scoring engine)'!$K$5:$K$518,10),'Calc (scoring engine)'!$K$5:$K$518,0)),0)=1,"same subsector","sector only"))</f>
        <v/>
      </c>
      <c r="BS30" s="44">
        <f>IF(OR(10&gt;MAX(3,MIN(15,N($D$18))),IFERROR(LARGE('Calc (scoring engine)'!$K$5:$K$518,10),-999999)&lt;=-900000),"",ROUND(IFERROR(LARGE('Calc (scoring engine)'!$K$5:$K$518,10),0),0))</f>
        <v/>
      </c>
      <c r="BT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23">
        <f>IF(OR(11&gt;MAX(3,MIN(15,N($D$18))),IFERROR(LARGE('Calc (scoring engine)'!$K$5:$K$518,11),-999999)&lt;=-900000),"",IFERROR(IF(INDEX(Database!$AB$5:$AB$518,MATCH(LARGE('Calc (scoring engine)'!$K$5:$K$518,11),'Calc (scoring engine)'!$K$5:$K$518,0))="","—",INDEX(Database!$AB$5:$AB$518,MATCH(LARGE('Calc (scoring engine)'!$K$5:$K$518,11),'Calc (scoring engine)'!$K$5:$K$518,0))),""))</f>
        <v/>
      </c>
      <c r="Z31" s="40">
        <f>IF(OR(11&gt;MAX(3,MIN(15,N($D$18))),IFERROR(LARGE('Calc (scoring engine)'!$K$5:$K$518,11),-999999)&lt;=-900000),"",IFERROR(IF(INDEX(Database!$AC$5:$AC$518,MATCH(LARGE('Calc (scoring engine)'!$K$5:$K$518,11),'Calc (scoring engine)'!$K$5:$K$518,0))="","—",INDEX(Database!$AC$5:$AC$518,MATCH(LARGE('Calc (scoring engine)'!$K$5:$K$518,11),'Calc (scoring engine)'!$K$5:$K$518,0))),""))</f>
        <v/>
      </c>
      <c r="AA31" s="23">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10">
        <f>IF(OR(11&gt;MAX(3,MIN(15,N($D$18))),IFERROR(LARGE('Calc (scoring engine)'!$K$5:$K$518,11),-999999)&lt;=-900000),"",IFERROR(IF(INDEX(Database!$AF$5:$AF$518,MATCH(LARGE('Calc (scoring engine)'!$K$5:$K$518,11),'Calc (scoring engine)'!$K$5:$K$518,0))="","—",INDEX(Database!$AF$5:$AF$518,MATCH(LARGE('Calc (scoring engine)'!$K$5:$K$518,11),'Calc (scoring engine)'!$K$5:$K$518,0))),""))</f>
        <v/>
      </c>
      <c r="AD31" s="10">
        <f>IF(OR(11&gt;MAX(3,MIN(15,N($D$18))),IFERROR(LARGE('Calc (scoring engine)'!$K$5:$K$518,11),-999999)&lt;=-900000),"",IFERROR(IF(INDEX(Database!$AG$5:$AG$518,MATCH(LARGE('Calc (scoring engine)'!$K$5:$K$518,11),'Calc (scoring engine)'!$K$5:$K$518,0))="","—",INDEX(Database!$AG$5:$AG$518,MATCH(LARGE('Calc (scoring engine)'!$K$5:$K$518,11),'Calc (scoring engine)'!$K$5:$K$518,0))),""))</f>
        <v/>
      </c>
      <c r="AE31" s="10">
        <f>IF(OR(11&gt;MAX(3,MIN(15,N($D$18))),IFERROR(LARGE('Calc (scoring engine)'!$K$5:$K$518,11),-999999)&lt;=-900000),"",IFERROR(IF(INDEX(Database!$AH$5:$AH$518,MATCH(LARGE('Calc (scoring engine)'!$K$5:$K$518,11),'Calc (scoring engine)'!$K$5:$K$518,0))="","—",INDEX(Database!$AH$5:$AH$518,MATCH(LARGE('Calc (scoring engine)'!$K$5:$K$518,11),'Calc (scoring engine)'!$K$5:$K$518,0))),""))</f>
        <v/>
      </c>
      <c r="AF31" s="10">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engine)'!$K$5:$K$518,11),-999999)&lt;=-900000),"",IFERROR(IF(INDEX(Database!$AZ$5:$AZ$518,MATCH(LARGE('Calc (scoring engine)'!$K$5:$K$518,11),'Calc (scoring engine)'!$K$5:$K$518,0))="","—",INDEX(Database!$AZ$5:$AZ$518,MATCH(LARGE('Calc (scoring engine)'!$K$5:$K$518,11),'Calc (scoring engine)'!$K$5:$K$518,0))),""))</f>
        <v/>
      </c>
      <c r="AW31" s="18">
        <f>IF(OR(11&gt;MAX(3,MIN(15,N($D$18))),IFERROR(LARGE('Calc (scoring engine)'!$K$5:$K$518,11),-999999)&lt;=-900000),"",IFERROR(IF(INDEX(Database!$BB$5:$BB$518,MATCH(LARGE('Calc (scoring engine)'!$K$5:$K$518,11),'Calc (scoring engine)'!$K$5:$K$518,0))="","—",INDEX(Database!$BB$5:$BB$518,MATCH(LARGE('Calc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0">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engine)'!$K$5:$K$518,11),-999999)&lt;=-900000),"",IFERROR(IF(N(INDEX(Database!$BE$5:$BE$518,MATCH(LARGE('Calc (scoring engine)'!$K$5:$K$518,11),'Calc (scoring engine)'!$K$5:$K$518,0)))&lt;=0,IF(INDEX(Database!$BD$5:$BD$518,MATCH(LARGE('Calc (scoring engine)'!$K$5:$K$518,11),'Calc (scoring engine)'!$K$5:$K$518,0))="N","n/m","—"),INDEX(Database!$BE$5:$BE$518,MATCH(LARGE('Calc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engine)'!$K$5:$K$518,11),-999999)&lt;=-900000),"",IFERROR(IFERROR(BDP(TEXT(INDEX(Database!$A$5:$A$518,MATCH(LARGE('Calc (scoring engine)'!$K$5:$K$518,11),'Calc (scoring engine)'!$K$5:$K$518,0)),"0")&amp;" HK Equity","PE_RATIO"),IF(INDEX(Database!$BG$5:$BG$518,MATCH(LARGE('Calc (scoring engine)'!$K$5:$K$518,11),'Calc (scoring engine)'!$K$5:$K$518,0))="","—",INDEX(Database!$BG$5:$BG$518,MATCH(LARGE('Calc (scoring engine)'!$K$5:$K$518,11),'Calc (scoring engine)'!$K$5:$K$518,0)))),""))</f>
        <v/>
      </c>
      <c r="BF31" s="24">
        <f>IF(OR(11&gt;MAX(3,MIN(15,N($D$18))),IFERROR(LARGE('Calc (scoring engine)'!$K$5:$K$518,11),-999999)&lt;=-900000),"",IFERROR(IFERROR(BDP(TEXT(INDEX(Database!$A$5:$A$518,MATCH(LARGE('Calc (scoring engine)'!$K$5:$K$518,11),'Calc (scoring engine)'!$K$5:$K$518,0)),"0")&amp;" HK Equity","PX_TO_SALES_RATIO"),IF(INDEX(Database!$BH$5:$BH$518,MATCH(LARGE('Calc (scoring engine)'!$K$5:$K$518,11),'Calc (scoring engine)'!$K$5:$K$518,0))="","—",INDEX(Database!$BH$5:$BH$518,MATCH(LARGE('Calc (scoring engine)'!$K$5:$K$518,11),'Calc (scoring engine)'!$K$5:$K$518,0)))),""))</f>
        <v/>
      </c>
      <c r="BG31" s="10">
        <f>IF(OR(11&gt;MAX(3,MIN(15,N($D$18))),IFERROR(LARGE('Calc (scoring engine)'!$K$5:$K$518,11),-999999)&lt;=-900000),"",IFERROR(IF(INDEX(Database!$BJ$5:$BJ$518,MATCH(LARGE('Calc (scoring engine)'!$K$5:$K$518,11),'Calc (scoring engine)'!$K$5:$K$518,0))="","—",INDEX(Database!$BJ$5:$BJ$518,MATCH(LARGE('Calc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23">
        <f>IF(OR(11&gt;MAX(3,MIN(15,N($D$18))),IFERROR(LARGE('Calc (scoring engine)'!$K$5:$K$518,11),-999999)&lt;=-900000),"",IFERROR(IF(INDEX(Database!$BL$5:$BL$518,MATCH(LARGE('Calc (scoring engine)'!$K$5:$K$518,11),'Calc (scoring engine)'!$K$5:$K$518,0))="","—",INDEX(Database!$BL$5:$BL$518,MATCH(LARGE('Calc (scoring engine)'!$K$5:$K$518,11),'Calc (scoring engine)'!$K$5:$K$518,0))),""))</f>
        <v/>
      </c>
      <c r="BJ31" s="40">
        <f>IF(OR(11&gt;MAX(3,MIN(15,N($D$18))),IFERROR(LARGE('Calc (scoring engine)'!$K$5:$K$518,11),-999999)&lt;=-900000),"",IFERROR(IF(INDEX(Database!$BM$5:$BM$518,MATCH(LARGE('Calc (scoring engine)'!$K$5:$K$518,11),'Calc (scoring engine)'!$K$5:$K$518,0))="","—",INDEX(Database!$BM$5:$BM$518,MATCH(LARGE('Calc (scoring engine)'!$K$5:$K$518,11),'Calc (scoring engine)'!$K$5:$K$518,0))),""))</f>
        <v/>
      </c>
      <c r="BK31" s="43">
        <f>IF(OR(11&gt;MAX(3,MIN(15,N($D$18))),IFERROR(LARGE('Calc (scoring engine)'!$K$5:$K$518,11),-999999)&lt;=-900000),"",IFERROR(IF(INDEX(Database!$BN$5:$BN$518,MATCH(LARGE('Calc (scoring engine)'!$K$5:$K$518,11),'Calc (scoring engine)'!$K$5:$K$518,0))="","—",INDEX(Database!$BN$5:$BN$518,MATCH(LARGE('Calc (scoring engine)'!$K$5:$K$518,11),'Calc (scoring engine)'!$K$5:$K$518,0))),""))</f>
        <v/>
      </c>
      <c r="BL31" s="18">
        <f>IF(OR(11&gt;MAX(3,MIN(15,N($D$18))),IFERROR(LARGE('Calc (scoring engine)'!$K$5:$K$518,11),-999999)&lt;=-900000),"",IFERROR(IF(INDEX(Database!$BO$5:$BO$518,MATCH(LARGE('Calc (scoring engine)'!$K$5:$K$518,11),'Calc (scoring engine)'!$K$5:$K$518,0))="","—",INDEX(Database!$BO$5:$BO$518,MATCH(LARGE('Calc (scoring engine)'!$K$5:$K$518,11),'Calc (scoring engine)'!$K$5:$K$518,0))),""))</f>
        <v/>
      </c>
      <c r="BM31" s="24">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10">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engine)'!$K$5:$K$518,11),-999999)&lt;=-900000),"",IFERROR(IF(INDEX(Database!$BT$5:$BT$518,MATCH(LARGE('Calc (scoring engine)'!$K$5:$K$518,11),'Calc (scoring engine)'!$K$5:$K$518,0))="","—",INDEX(Database!$BT$5:$BT$518,MATCH(LARGE('Calc (scoring engine)'!$K$5:$K$518,11),'Calc (scoring engine)'!$K$5:$K$518,0))),""))</f>
        <v/>
      </c>
      <c r="BQ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R31" s="10">
        <f>IF(OR(11&gt;MAX(3,MIN(15,N($D$18))),IFERROR(LARGE('Calc (scoring engine)'!$K$5:$K$518,11),-999999)&lt;=-900000),"",IF(IFERROR(INDEX('Calc (scoring engine)'!$B$5:$B$518,MATCH(LARGE('Calc (scoring engine)'!$K$5:$K$518,11),'Calc (scoring engine)'!$K$5:$K$518,0)),0)=1,"same subsector","sector only"))</f>
        <v/>
      </c>
      <c r="BS31" s="44">
        <f>IF(OR(11&gt;MAX(3,MIN(15,N($D$18))),IFERROR(LARGE('Calc (scoring engine)'!$K$5:$K$518,11),-999999)&lt;=-900000),"",ROUND(IFERROR(LARGE('Calc (scoring engine)'!$K$5:$K$518,11),0),0))</f>
        <v/>
      </c>
      <c r="BT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23">
        <f>IF(OR(12&gt;MAX(3,MIN(15,N($D$18))),IFERROR(LARGE('Calc (scoring engine)'!$K$5:$K$518,12),-999999)&lt;=-900000),"",IFERROR(IF(INDEX(Database!$AB$5:$AB$518,MATCH(LARGE('Calc (scoring engine)'!$K$5:$K$518,12),'Calc (scoring engine)'!$K$5:$K$518,0))="","—",INDEX(Database!$AB$5:$AB$518,MATCH(LARGE('Calc (scoring engine)'!$K$5:$K$518,12),'Calc (scoring engine)'!$K$5:$K$518,0))),""))</f>
        <v/>
      </c>
      <c r="Z32" s="40">
        <f>IF(OR(12&gt;MAX(3,MIN(15,N($D$18))),IFERROR(LARGE('Calc (scoring engine)'!$K$5:$K$518,12),-999999)&lt;=-900000),"",IFERROR(IF(INDEX(Database!$AC$5:$AC$518,MATCH(LARGE('Calc (scoring engine)'!$K$5:$K$518,12),'Calc (scoring engine)'!$K$5:$K$518,0))="","—",INDEX(Database!$AC$5:$AC$518,MATCH(LARGE('Calc (scoring engine)'!$K$5:$K$518,12),'Calc (scoring engine)'!$K$5:$K$518,0))),""))</f>
        <v/>
      </c>
      <c r="AA32" s="23">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10">
        <f>IF(OR(12&gt;MAX(3,MIN(15,N($D$18))),IFERROR(LARGE('Calc (scoring engine)'!$K$5:$K$518,12),-999999)&lt;=-900000),"",IFERROR(IF(INDEX(Database!$AF$5:$AF$518,MATCH(LARGE('Calc (scoring engine)'!$K$5:$K$518,12),'Calc (scoring engine)'!$K$5:$K$518,0))="","—",INDEX(Database!$AF$5:$AF$518,MATCH(LARGE('Calc (scoring engine)'!$K$5:$K$518,12),'Calc (scoring engine)'!$K$5:$K$518,0))),""))</f>
        <v/>
      </c>
      <c r="AD32" s="10">
        <f>IF(OR(12&gt;MAX(3,MIN(15,N($D$18))),IFERROR(LARGE('Calc (scoring engine)'!$K$5:$K$518,12),-999999)&lt;=-900000),"",IFERROR(IF(INDEX(Database!$AG$5:$AG$518,MATCH(LARGE('Calc (scoring engine)'!$K$5:$K$518,12),'Calc (scoring engine)'!$K$5:$K$518,0))="","—",INDEX(Database!$AG$5:$AG$518,MATCH(LARGE('Calc (scoring engine)'!$K$5:$K$518,12),'Calc (scoring engine)'!$K$5:$K$518,0))),""))</f>
        <v/>
      </c>
      <c r="AE32" s="10">
        <f>IF(OR(12&gt;MAX(3,MIN(15,N($D$18))),IFERROR(LARGE('Calc (scoring engine)'!$K$5:$K$518,12),-999999)&lt;=-900000),"",IFERROR(IF(INDEX(Database!$AH$5:$AH$518,MATCH(LARGE('Calc (scoring engine)'!$K$5:$K$518,12),'Calc (scoring engine)'!$K$5:$K$518,0))="","—",INDEX(Database!$AH$5:$AH$518,MATCH(LARGE('Calc (scoring engine)'!$K$5:$K$518,12),'Calc (scoring engine)'!$K$5:$K$518,0))),""))</f>
        <v/>
      </c>
      <c r="AF32" s="10">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engine)'!$K$5:$K$518,12),-999999)&lt;=-900000),"",IFERROR(IF(INDEX(Database!$AZ$5:$AZ$518,MATCH(LARGE('Calc (scoring engine)'!$K$5:$K$518,12),'Calc (scoring engine)'!$K$5:$K$518,0))="","—",INDEX(Database!$AZ$5:$AZ$518,MATCH(LARGE('Calc (scoring engine)'!$K$5:$K$518,12),'Calc (scoring engine)'!$K$5:$K$518,0))),""))</f>
        <v/>
      </c>
      <c r="AW32" s="18">
        <f>IF(OR(12&gt;MAX(3,MIN(15,N($D$18))),IFERROR(LARGE('Calc (scoring engine)'!$K$5:$K$518,12),-999999)&lt;=-900000),"",IFERROR(IF(INDEX(Database!$BB$5:$BB$518,MATCH(LARGE('Calc (scoring engine)'!$K$5:$K$518,12),'Calc (scoring engine)'!$K$5:$K$518,0))="","—",INDEX(Database!$BB$5:$BB$518,MATCH(LARGE('Calc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0">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engine)'!$K$5:$K$518,12),-999999)&lt;=-900000),"",IFERROR(IF(N(INDEX(Database!$BE$5:$BE$518,MATCH(LARGE('Calc (scoring engine)'!$K$5:$K$518,12),'Calc (scoring engine)'!$K$5:$K$518,0)))&lt;=0,IF(INDEX(Database!$BD$5:$BD$518,MATCH(LARGE('Calc (scoring engine)'!$K$5:$K$518,12),'Calc (scoring engine)'!$K$5:$K$518,0))="N","n/m","—"),INDEX(Database!$BE$5:$BE$518,MATCH(LARGE('Calc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engine)'!$K$5:$K$518,12),-999999)&lt;=-900000),"",IFERROR(IFERROR(BDP(TEXT(INDEX(Database!$A$5:$A$518,MATCH(LARGE('Calc (scoring engine)'!$K$5:$K$518,12),'Calc (scoring engine)'!$K$5:$K$518,0)),"0")&amp;" HK Equity","PE_RATIO"),IF(INDEX(Database!$BG$5:$BG$518,MATCH(LARGE('Calc (scoring engine)'!$K$5:$K$518,12),'Calc (scoring engine)'!$K$5:$K$518,0))="","—",INDEX(Database!$BG$5:$BG$518,MATCH(LARGE('Calc (scoring engine)'!$K$5:$K$518,12),'Calc (scoring engine)'!$K$5:$K$518,0)))),""))</f>
        <v/>
      </c>
      <c r="BF32" s="24">
        <f>IF(OR(12&gt;MAX(3,MIN(15,N($D$18))),IFERROR(LARGE('Calc (scoring engine)'!$K$5:$K$518,12),-999999)&lt;=-900000),"",IFERROR(IFERROR(BDP(TEXT(INDEX(Database!$A$5:$A$518,MATCH(LARGE('Calc (scoring engine)'!$K$5:$K$518,12),'Calc (scoring engine)'!$K$5:$K$518,0)),"0")&amp;" HK Equity","PX_TO_SALES_RATIO"),IF(INDEX(Database!$BH$5:$BH$518,MATCH(LARGE('Calc (scoring engine)'!$K$5:$K$518,12),'Calc (scoring engine)'!$K$5:$K$518,0))="","—",INDEX(Database!$BH$5:$BH$518,MATCH(LARGE('Calc (scoring engine)'!$K$5:$K$518,12),'Calc (scoring engine)'!$K$5:$K$518,0)))),""))</f>
        <v/>
      </c>
      <c r="BG32" s="10">
        <f>IF(OR(12&gt;MAX(3,MIN(15,N($D$18))),IFERROR(LARGE('Calc (scoring engine)'!$K$5:$K$518,12),-999999)&lt;=-900000),"",IFERROR(IF(INDEX(Database!$BJ$5:$BJ$518,MATCH(LARGE('Calc (scoring engine)'!$K$5:$K$518,12),'Calc (scoring engine)'!$K$5:$K$518,0))="","—",INDEX(Database!$BJ$5:$BJ$518,MATCH(LARGE('Calc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23">
        <f>IF(OR(12&gt;MAX(3,MIN(15,N($D$18))),IFERROR(LARGE('Calc (scoring engine)'!$K$5:$K$518,12),-999999)&lt;=-900000),"",IFERROR(IF(INDEX(Database!$BL$5:$BL$518,MATCH(LARGE('Calc (scoring engine)'!$K$5:$K$518,12),'Calc (scoring engine)'!$K$5:$K$518,0))="","—",INDEX(Database!$BL$5:$BL$518,MATCH(LARGE('Calc (scoring engine)'!$K$5:$K$518,12),'Calc (scoring engine)'!$K$5:$K$518,0))),""))</f>
        <v/>
      </c>
      <c r="BJ32" s="40">
        <f>IF(OR(12&gt;MAX(3,MIN(15,N($D$18))),IFERROR(LARGE('Calc (scoring engine)'!$K$5:$K$518,12),-999999)&lt;=-900000),"",IFERROR(IF(INDEX(Database!$BM$5:$BM$518,MATCH(LARGE('Calc (scoring engine)'!$K$5:$K$518,12),'Calc (scoring engine)'!$K$5:$K$518,0))="","—",INDEX(Database!$BM$5:$BM$518,MATCH(LARGE('Calc (scoring engine)'!$K$5:$K$518,12),'Calc (scoring engine)'!$K$5:$K$518,0))),""))</f>
        <v/>
      </c>
      <c r="BK32" s="43">
        <f>IF(OR(12&gt;MAX(3,MIN(15,N($D$18))),IFERROR(LARGE('Calc (scoring engine)'!$K$5:$K$518,12),-999999)&lt;=-900000),"",IFERROR(IF(INDEX(Database!$BN$5:$BN$518,MATCH(LARGE('Calc (scoring engine)'!$K$5:$K$518,12),'Calc (scoring engine)'!$K$5:$K$518,0))="","—",INDEX(Database!$BN$5:$BN$518,MATCH(LARGE('Calc (scoring engine)'!$K$5:$K$518,12),'Calc (scoring engine)'!$K$5:$K$518,0))),""))</f>
        <v/>
      </c>
      <c r="BL32" s="18">
        <f>IF(OR(12&gt;MAX(3,MIN(15,N($D$18))),IFERROR(LARGE('Calc (scoring engine)'!$K$5:$K$518,12),-999999)&lt;=-900000),"",IFERROR(IF(INDEX(Database!$BO$5:$BO$518,MATCH(LARGE('Calc (scoring engine)'!$K$5:$K$518,12),'Calc (scoring engine)'!$K$5:$K$518,0))="","—",INDEX(Database!$BO$5:$BO$518,MATCH(LARGE('Calc (scoring engine)'!$K$5:$K$518,12),'Calc (scoring engine)'!$K$5:$K$518,0))),""))</f>
        <v/>
      </c>
      <c r="BM32" s="24">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10">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engine)'!$K$5:$K$518,12),-999999)&lt;=-900000),"",IFERROR(IF(INDEX(Database!$BT$5:$BT$518,MATCH(LARGE('Calc (scoring engine)'!$K$5:$K$518,12),'Calc (scoring engine)'!$K$5:$K$518,0))="","—",INDEX(Database!$BT$5:$BT$518,MATCH(LARGE('Calc (scoring engine)'!$K$5:$K$518,12),'Calc (scoring engine)'!$K$5:$K$518,0))),""))</f>
        <v/>
      </c>
      <c r="BQ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R32" s="10">
        <f>IF(OR(12&gt;MAX(3,MIN(15,N($D$18))),IFERROR(LARGE('Calc (scoring engine)'!$K$5:$K$518,12),-999999)&lt;=-900000),"",IF(IFERROR(INDEX('Calc (scoring engine)'!$B$5:$B$518,MATCH(LARGE('Calc (scoring engine)'!$K$5:$K$518,12),'Calc (scoring engine)'!$K$5:$K$518,0)),0)=1,"same subsector","sector only"))</f>
        <v/>
      </c>
      <c r="BS32" s="44">
        <f>IF(OR(12&gt;MAX(3,MIN(15,N($D$18))),IFERROR(LARGE('Calc (scoring engine)'!$K$5:$K$518,12),-999999)&lt;=-900000),"",ROUND(IFERROR(LARGE('Calc (scoring engine)'!$K$5:$K$518,12),0),0))</f>
        <v/>
      </c>
      <c r="BT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23">
        <f>IF(OR(13&gt;MAX(3,MIN(15,N($D$18))),IFERROR(LARGE('Calc (scoring engine)'!$K$5:$K$518,13),-999999)&lt;=-900000),"",IFERROR(IF(INDEX(Database!$AB$5:$AB$518,MATCH(LARGE('Calc (scoring engine)'!$K$5:$K$518,13),'Calc (scoring engine)'!$K$5:$K$518,0))="","—",INDEX(Database!$AB$5:$AB$518,MATCH(LARGE('Calc (scoring engine)'!$K$5:$K$518,13),'Calc (scoring engine)'!$K$5:$K$518,0))),""))</f>
        <v/>
      </c>
      <c r="Z33" s="40">
        <f>IF(OR(13&gt;MAX(3,MIN(15,N($D$18))),IFERROR(LARGE('Calc (scoring engine)'!$K$5:$K$518,13),-999999)&lt;=-900000),"",IFERROR(IF(INDEX(Database!$AC$5:$AC$518,MATCH(LARGE('Calc (scoring engine)'!$K$5:$K$518,13),'Calc (scoring engine)'!$K$5:$K$518,0))="","—",INDEX(Database!$AC$5:$AC$518,MATCH(LARGE('Calc (scoring engine)'!$K$5:$K$518,13),'Calc (scoring engine)'!$K$5:$K$518,0))),""))</f>
        <v/>
      </c>
      <c r="AA33" s="23">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10">
        <f>IF(OR(13&gt;MAX(3,MIN(15,N($D$18))),IFERROR(LARGE('Calc (scoring engine)'!$K$5:$K$518,13),-999999)&lt;=-900000),"",IFERROR(IF(INDEX(Database!$AF$5:$AF$518,MATCH(LARGE('Calc (scoring engine)'!$K$5:$K$518,13),'Calc (scoring engine)'!$K$5:$K$518,0))="","—",INDEX(Database!$AF$5:$AF$518,MATCH(LARGE('Calc (scoring engine)'!$K$5:$K$518,13),'Calc (scoring engine)'!$K$5:$K$518,0))),""))</f>
        <v/>
      </c>
      <c r="AD33" s="10">
        <f>IF(OR(13&gt;MAX(3,MIN(15,N($D$18))),IFERROR(LARGE('Calc (scoring engine)'!$K$5:$K$518,13),-999999)&lt;=-900000),"",IFERROR(IF(INDEX(Database!$AG$5:$AG$518,MATCH(LARGE('Calc (scoring engine)'!$K$5:$K$518,13),'Calc (scoring engine)'!$K$5:$K$518,0))="","—",INDEX(Database!$AG$5:$AG$518,MATCH(LARGE('Calc (scoring engine)'!$K$5:$K$518,13),'Calc (scoring engine)'!$K$5:$K$518,0))),""))</f>
        <v/>
      </c>
      <c r="AE33" s="10">
        <f>IF(OR(13&gt;MAX(3,MIN(15,N($D$18))),IFERROR(LARGE('Calc (scoring engine)'!$K$5:$K$518,13),-999999)&lt;=-900000),"",IFERROR(IF(INDEX(Database!$AH$5:$AH$518,MATCH(LARGE('Calc (scoring engine)'!$K$5:$K$518,13),'Calc (scoring engine)'!$K$5:$K$518,0))="","—",INDEX(Database!$AH$5:$AH$518,MATCH(LARGE('Calc (scoring engine)'!$K$5:$K$518,13),'Calc (scoring engine)'!$K$5:$K$518,0))),""))</f>
        <v/>
      </c>
      <c r="AF33" s="10">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engine)'!$K$5:$K$518,13),-999999)&lt;=-900000),"",IFERROR(IF(INDEX(Database!$AZ$5:$AZ$518,MATCH(LARGE('Calc (scoring engine)'!$K$5:$K$518,13),'Calc (scoring engine)'!$K$5:$K$518,0))="","—",INDEX(Database!$AZ$5:$AZ$518,MATCH(LARGE('Calc (scoring engine)'!$K$5:$K$518,13),'Calc (scoring engine)'!$K$5:$K$518,0))),""))</f>
        <v/>
      </c>
      <c r="AW33" s="18">
        <f>IF(OR(13&gt;MAX(3,MIN(15,N($D$18))),IFERROR(LARGE('Calc (scoring engine)'!$K$5:$K$518,13),-999999)&lt;=-900000),"",IFERROR(IF(INDEX(Database!$BB$5:$BB$518,MATCH(LARGE('Calc (scoring engine)'!$K$5:$K$518,13),'Calc (scoring engine)'!$K$5:$K$518,0))="","—",INDEX(Database!$BB$5:$BB$518,MATCH(LARGE('Calc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0">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engine)'!$K$5:$K$518,13),-999999)&lt;=-900000),"",IFERROR(IF(N(INDEX(Database!$BE$5:$BE$518,MATCH(LARGE('Calc (scoring engine)'!$K$5:$K$518,13),'Calc (scoring engine)'!$K$5:$K$518,0)))&lt;=0,IF(INDEX(Database!$BD$5:$BD$518,MATCH(LARGE('Calc (scoring engine)'!$K$5:$K$518,13),'Calc (scoring engine)'!$K$5:$K$518,0))="N","n/m","—"),INDEX(Database!$BE$5:$BE$518,MATCH(LARGE('Calc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engine)'!$K$5:$K$518,13),-999999)&lt;=-900000),"",IFERROR(IFERROR(BDP(TEXT(INDEX(Database!$A$5:$A$518,MATCH(LARGE('Calc (scoring engine)'!$K$5:$K$518,13),'Calc (scoring engine)'!$K$5:$K$518,0)),"0")&amp;" HK Equity","PE_RATIO"),IF(INDEX(Database!$BG$5:$BG$518,MATCH(LARGE('Calc (scoring engine)'!$K$5:$K$518,13),'Calc (scoring engine)'!$K$5:$K$518,0))="","—",INDEX(Database!$BG$5:$BG$518,MATCH(LARGE('Calc (scoring engine)'!$K$5:$K$518,13),'Calc (scoring engine)'!$K$5:$K$518,0)))),""))</f>
        <v/>
      </c>
      <c r="BF33" s="24">
        <f>IF(OR(13&gt;MAX(3,MIN(15,N($D$18))),IFERROR(LARGE('Calc (scoring engine)'!$K$5:$K$518,13),-999999)&lt;=-900000),"",IFERROR(IFERROR(BDP(TEXT(INDEX(Database!$A$5:$A$518,MATCH(LARGE('Calc (scoring engine)'!$K$5:$K$518,13),'Calc (scoring engine)'!$K$5:$K$518,0)),"0")&amp;" HK Equity","PX_TO_SALES_RATIO"),IF(INDEX(Database!$BH$5:$BH$518,MATCH(LARGE('Calc (scoring engine)'!$K$5:$K$518,13),'Calc (scoring engine)'!$K$5:$K$518,0))="","—",INDEX(Database!$BH$5:$BH$518,MATCH(LARGE('Calc (scoring engine)'!$K$5:$K$518,13),'Calc (scoring engine)'!$K$5:$K$518,0)))),""))</f>
        <v/>
      </c>
      <c r="BG33" s="10">
        <f>IF(OR(13&gt;MAX(3,MIN(15,N($D$18))),IFERROR(LARGE('Calc (scoring engine)'!$K$5:$K$518,13),-999999)&lt;=-900000),"",IFERROR(IF(INDEX(Database!$BJ$5:$BJ$518,MATCH(LARGE('Calc (scoring engine)'!$K$5:$K$518,13),'Calc (scoring engine)'!$K$5:$K$518,0))="","—",INDEX(Database!$BJ$5:$BJ$518,MATCH(LARGE('Calc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23">
        <f>IF(OR(13&gt;MAX(3,MIN(15,N($D$18))),IFERROR(LARGE('Calc (scoring engine)'!$K$5:$K$518,13),-999999)&lt;=-900000),"",IFERROR(IF(INDEX(Database!$BL$5:$BL$518,MATCH(LARGE('Calc (scoring engine)'!$K$5:$K$518,13),'Calc (scoring engine)'!$K$5:$K$518,0))="","—",INDEX(Database!$BL$5:$BL$518,MATCH(LARGE('Calc (scoring engine)'!$K$5:$K$518,13),'Calc (scoring engine)'!$K$5:$K$518,0))),""))</f>
        <v/>
      </c>
      <c r="BJ33" s="40">
        <f>IF(OR(13&gt;MAX(3,MIN(15,N($D$18))),IFERROR(LARGE('Calc (scoring engine)'!$K$5:$K$518,13),-999999)&lt;=-900000),"",IFERROR(IF(INDEX(Database!$BM$5:$BM$518,MATCH(LARGE('Calc (scoring engine)'!$K$5:$K$518,13),'Calc (scoring engine)'!$K$5:$K$518,0))="","—",INDEX(Database!$BM$5:$BM$518,MATCH(LARGE('Calc (scoring engine)'!$K$5:$K$518,13),'Calc (scoring engine)'!$K$5:$K$518,0))),""))</f>
        <v/>
      </c>
      <c r="BK33" s="43">
        <f>IF(OR(13&gt;MAX(3,MIN(15,N($D$18))),IFERROR(LARGE('Calc (scoring engine)'!$K$5:$K$518,13),-999999)&lt;=-900000),"",IFERROR(IF(INDEX(Database!$BN$5:$BN$518,MATCH(LARGE('Calc (scoring engine)'!$K$5:$K$518,13),'Calc (scoring engine)'!$K$5:$K$518,0))="","—",INDEX(Database!$BN$5:$BN$518,MATCH(LARGE('Calc (scoring engine)'!$K$5:$K$518,13),'Calc (scoring engine)'!$K$5:$K$518,0))),""))</f>
        <v/>
      </c>
      <c r="BL33" s="18">
        <f>IF(OR(13&gt;MAX(3,MIN(15,N($D$18))),IFERROR(LARGE('Calc (scoring engine)'!$K$5:$K$518,13),-999999)&lt;=-900000),"",IFERROR(IF(INDEX(Database!$BO$5:$BO$518,MATCH(LARGE('Calc (scoring engine)'!$K$5:$K$518,13),'Calc (scoring engine)'!$K$5:$K$518,0))="","—",INDEX(Database!$BO$5:$BO$518,MATCH(LARGE('Calc (scoring engine)'!$K$5:$K$518,13),'Calc (scoring engine)'!$K$5:$K$518,0))),""))</f>
        <v/>
      </c>
      <c r="BM33" s="24">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10">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engine)'!$K$5:$K$518,13),-999999)&lt;=-900000),"",IFERROR(IF(INDEX(Database!$BT$5:$BT$518,MATCH(LARGE('Calc (scoring engine)'!$K$5:$K$518,13),'Calc (scoring engine)'!$K$5:$K$518,0))="","—",INDEX(Database!$BT$5:$BT$518,MATCH(LARGE('Calc (scoring engine)'!$K$5:$K$518,13),'Calc (scoring engine)'!$K$5:$K$518,0))),""))</f>
        <v/>
      </c>
      <c r="BQ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R33" s="10">
        <f>IF(OR(13&gt;MAX(3,MIN(15,N($D$18))),IFERROR(LARGE('Calc (scoring engine)'!$K$5:$K$518,13),-999999)&lt;=-900000),"",IF(IFERROR(INDEX('Calc (scoring engine)'!$B$5:$B$518,MATCH(LARGE('Calc (scoring engine)'!$K$5:$K$518,13),'Calc (scoring engine)'!$K$5:$K$518,0)),0)=1,"same subsector","sector only"))</f>
        <v/>
      </c>
      <c r="BS33" s="44">
        <f>IF(OR(13&gt;MAX(3,MIN(15,N($D$18))),IFERROR(LARGE('Calc (scoring engine)'!$K$5:$K$518,13),-999999)&lt;=-900000),"",ROUND(IFERROR(LARGE('Calc (scoring engine)'!$K$5:$K$518,13),0),0))</f>
        <v/>
      </c>
      <c r="BT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23">
        <f>IF(OR(14&gt;MAX(3,MIN(15,N($D$18))),IFERROR(LARGE('Calc (scoring engine)'!$K$5:$K$518,14),-999999)&lt;=-900000),"",IFERROR(IF(INDEX(Database!$AB$5:$AB$518,MATCH(LARGE('Calc (scoring engine)'!$K$5:$K$518,14),'Calc (scoring engine)'!$K$5:$K$518,0))="","—",INDEX(Database!$AB$5:$AB$518,MATCH(LARGE('Calc (scoring engine)'!$K$5:$K$518,14),'Calc (scoring engine)'!$K$5:$K$518,0))),""))</f>
        <v/>
      </c>
      <c r="Z34" s="40">
        <f>IF(OR(14&gt;MAX(3,MIN(15,N($D$18))),IFERROR(LARGE('Calc (scoring engine)'!$K$5:$K$518,14),-999999)&lt;=-900000),"",IFERROR(IF(INDEX(Database!$AC$5:$AC$518,MATCH(LARGE('Calc (scoring engine)'!$K$5:$K$518,14),'Calc (scoring engine)'!$K$5:$K$518,0))="","—",INDEX(Database!$AC$5:$AC$518,MATCH(LARGE('Calc (scoring engine)'!$K$5:$K$518,14),'Calc (scoring engine)'!$K$5:$K$518,0))),""))</f>
        <v/>
      </c>
      <c r="AA34" s="23">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10">
        <f>IF(OR(14&gt;MAX(3,MIN(15,N($D$18))),IFERROR(LARGE('Calc (scoring engine)'!$K$5:$K$518,14),-999999)&lt;=-900000),"",IFERROR(IF(INDEX(Database!$AF$5:$AF$518,MATCH(LARGE('Calc (scoring engine)'!$K$5:$K$518,14),'Calc (scoring engine)'!$K$5:$K$518,0))="","—",INDEX(Database!$AF$5:$AF$518,MATCH(LARGE('Calc (scoring engine)'!$K$5:$K$518,14),'Calc (scoring engine)'!$K$5:$K$518,0))),""))</f>
        <v/>
      </c>
      <c r="AD34" s="10">
        <f>IF(OR(14&gt;MAX(3,MIN(15,N($D$18))),IFERROR(LARGE('Calc (scoring engine)'!$K$5:$K$518,14),-999999)&lt;=-900000),"",IFERROR(IF(INDEX(Database!$AG$5:$AG$518,MATCH(LARGE('Calc (scoring engine)'!$K$5:$K$518,14),'Calc (scoring engine)'!$K$5:$K$518,0))="","—",INDEX(Database!$AG$5:$AG$518,MATCH(LARGE('Calc (scoring engine)'!$K$5:$K$518,14),'Calc (scoring engine)'!$K$5:$K$518,0))),""))</f>
        <v/>
      </c>
      <c r="AE34" s="10">
        <f>IF(OR(14&gt;MAX(3,MIN(15,N($D$18))),IFERROR(LARGE('Calc (scoring engine)'!$K$5:$K$518,14),-999999)&lt;=-900000),"",IFERROR(IF(INDEX(Database!$AH$5:$AH$518,MATCH(LARGE('Calc (scoring engine)'!$K$5:$K$518,14),'Calc (scoring engine)'!$K$5:$K$518,0))="","—",INDEX(Database!$AH$5:$AH$518,MATCH(LARGE('Calc (scoring engine)'!$K$5:$K$518,14),'Calc (scoring engine)'!$K$5:$K$518,0))),""))</f>
        <v/>
      </c>
      <c r="AF34" s="10">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engine)'!$K$5:$K$518,14),-999999)&lt;=-900000),"",IFERROR(IF(INDEX(Database!$AZ$5:$AZ$518,MATCH(LARGE('Calc (scoring engine)'!$K$5:$K$518,14),'Calc (scoring engine)'!$K$5:$K$518,0))="","—",INDEX(Database!$AZ$5:$AZ$518,MATCH(LARGE('Calc (scoring engine)'!$K$5:$K$518,14),'Calc (scoring engine)'!$K$5:$K$518,0))),""))</f>
        <v/>
      </c>
      <c r="AW34" s="18">
        <f>IF(OR(14&gt;MAX(3,MIN(15,N($D$18))),IFERROR(LARGE('Calc (scoring engine)'!$K$5:$K$518,14),-999999)&lt;=-900000),"",IFERROR(IF(INDEX(Database!$BB$5:$BB$518,MATCH(LARGE('Calc (scoring engine)'!$K$5:$K$518,14),'Calc (scoring engine)'!$K$5:$K$518,0))="","—",INDEX(Database!$BB$5:$BB$518,MATCH(LARGE('Calc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0">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engine)'!$K$5:$K$518,14),-999999)&lt;=-900000),"",IFERROR(IF(N(INDEX(Database!$BE$5:$BE$518,MATCH(LARGE('Calc (scoring engine)'!$K$5:$K$518,14),'Calc (scoring engine)'!$K$5:$K$518,0)))&lt;=0,IF(INDEX(Database!$BD$5:$BD$518,MATCH(LARGE('Calc (scoring engine)'!$K$5:$K$518,14),'Calc (scoring engine)'!$K$5:$K$518,0))="N","n/m","—"),INDEX(Database!$BE$5:$BE$518,MATCH(LARGE('Calc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engine)'!$K$5:$K$518,14),-999999)&lt;=-900000),"",IFERROR(IFERROR(BDP(TEXT(INDEX(Database!$A$5:$A$518,MATCH(LARGE('Calc (scoring engine)'!$K$5:$K$518,14),'Calc (scoring engine)'!$K$5:$K$518,0)),"0")&amp;" HK Equity","PE_RATIO"),IF(INDEX(Database!$BG$5:$BG$518,MATCH(LARGE('Calc (scoring engine)'!$K$5:$K$518,14),'Calc (scoring engine)'!$K$5:$K$518,0))="","—",INDEX(Database!$BG$5:$BG$518,MATCH(LARGE('Calc (scoring engine)'!$K$5:$K$518,14),'Calc (scoring engine)'!$K$5:$K$518,0)))),""))</f>
        <v/>
      </c>
      <c r="BF34" s="24">
        <f>IF(OR(14&gt;MAX(3,MIN(15,N($D$18))),IFERROR(LARGE('Calc (scoring engine)'!$K$5:$K$518,14),-999999)&lt;=-900000),"",IFERROR(IFERROR(BDP(TEXT(INDEX(Database!$A$5:$A$518,MATCH(LARGE('Calc (scoring engine)'!$K$5:$K$518,14),'Calc (scoring engine)'!$K$5:$K$518,0)),"0")&amp;" HK Equity","PX_TO_SALES_RATIO"),IF(INDEX(Database!$BH$5:$BH$518,MATCH(LARGE('Calc (scoring engine)'!$K$5:$K$518,14),'Calc (scoring engine)'!$K$5:$K$518,0))="","—",INDEX(Database!$BH$5:$BH$518,MATCH(LARGE('Calc (scoring engine)'!$K$5:$K$518,14),'Calc (scoring engine)'!$K$5:$K$518,0)))),""))</f>
        <v/>
      </c>
      <c r="BG34" s="10">
        <f>IF(OR(14&gt;MAX(3,MIN(15,N($D$18))),IFERROR(LARGE('Calc (scoring engine)'!$K$5:$K$518,14),-999999)&lt;=-900000),"",IFERROR(IF(INDEX(Database!$BJ$5:$BJ$518,MATCH(LARGE('Calc (scoring engine)'!$K$5:$K$518,14),'Calc (scoring engine)'!$K$5:$K$518,0))="","—",INDEX(Database!$BJ$5:$BJ$518,MATCH(LARGE('Calc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23">
        <f>IF(OR(14&gt;MAX(3,MIN(15,N($D$18))),IFERROR(LARGE('Calc (scoring engine)'!$K$5:$K$518,14),-999999)&lt;=-900000),"",IFERROR(IF(INDEX(Database!$BL$5:$BL$518,MATCH(LARGE('Calc (scoring engine)'!$K$5:$K$518,14),'Calc (scoring engine)'!$K$5:$K$518,0))="","—",INDEX(Database!$BL$5:$BL$518,MATCH(LARGE('Calc (scoring engine)'!$K$5:$K$518,14),'Calc (scoring engine)'!$K$5:$K$518,0))),""))</f>
        <v/>
      </c>
      <c r="BJ34" s="40">
        <f>IF(OR(14&gt;MAX(3,MIN(15,N($D$18))),IFERROR(LARGE('Calc (scoring engine)'!$K$5:$K$518,14),-999999)&lt;=-900000),"",IFERROR(IF(INDEX(Database!$BM$5:$BM$518,MATCH(LARGE('Calc (scoring engine)'!$K$5:$K$518,14),'Calc (scoring engine)'!$K$5:$K$518,0))="","—",INDEX(Database!$BM$5:$BM$518,MATCH(LARGE('Calc (scoring engine)'!$K$5:$K$518,14),'Calc (scoring engine)'!$K$5:$K$518,0))),""))</f>
        <v/>
      </c>
      <c r="BK34" s="43">
        <f>IF(OR(14&gt;MAX(3,MIN(15,N($D$18))),IFERROR(LARGE('Calc (scoring engine)'!$K$5:$K$518,14),-999999)&lt;=-900000),"",IFERROR(IF(INDEX(Database!$BN$5:$BN$518,MATCH(LARGE('Calc (scoring engine)'!$K$5:$K$518,14),'Calc (scoring engine)'!$K$5:$K$518,0))="","—",INDEX(Database!$BN$5:$BN$518,MATCH(LARGE('Calc (scoring engine)'!$K$5:$K$518,14),'Calc (scoring engine)'!$K$5:$K$518,0))),""))</f>
        <v/>
      </c>
      <c r="BL34" s="18">
        <f>IF(OR(14&gt;MAX(3,MIN(15,N($D$18))),IFERROR(LARGE('Calc (scoring engine)'!$K$5:$K$518,14),-999999)&lt;=-900000),"",IFERROR(IF(INDEX(Database!$BO$5:$BO$518,MATCH(LARGE('Calc (scoring engine)'!$K$5:$K$518,14),'Calc (scoring engine)'!$K$5:$K$518,0))="","—",INDEX(Database!$BO$5:$BO$518,MATCH(LARGE('Calc (scoring engine)'!$K$5:$K$518,14),'Calc (scoring engine)'!$K$5:$K$518,0))),""))</f>
        <v/>
      </c>
      <c r="BM34" s="24">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10">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engine)'!$K$5:$K$518,14),-999999)&lt;=-900000),"",IFERROR(IF(INDEX(Database!$BT$5:$BT$518,MATCH(LARGE('Calc (scoring engine)'!$K$5:$K$518,14),'Calc (scoring engine)'!$K$5:$K$518,0))="","—",INDEX(Database!$BT$5:$BT$518,MATCH(LARGE('Calc (scoring engine)'!$K$5:$K$518,14),'Calc (scoring engine)'!$K$5:$K$518,0))),""))</f>
        <v/>
      </c>
      <c r="BQ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R34" s="10">
        <f>IF(OR(14&gt;MAX(3,MIN(15,N($D$18))),IFERROR(LARGE('Calc (scoring engine)'!$K$5:$K$518,14),-999999)&lt;=-900000),"",IF(IFERROR(INDEX('Calc (scoring engine)'!$B$5:$B$518,MATCH(LARGE('Calc (scoring engine)'!$K$5:$K$518,14),'Calc (scoring engine)'!$K$5:$K$518,0)),0)=1,"same subsector","sector only"))</f>
        <v/>
      </c>
      <c r="BS34" s="44">
        <f>IF(OR(14&gt;MAX(3,MIN(15,N($D$18))),IFERROR(LARGE('Calc (scoring engine)'!$K$5:$K$518,14),-999999)&lt;=-900000),"",ROUND(IFERROR(LARGE('Calc (scoring engine)'!$K$5:$K$518,14),0),0))</f>
        <v/>
      </c>
      <c r="BT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23">
        <f>IF(OR(15&gt;MAX(3,MIN(15,N($D$18))),IFERROR(LARGE('Calc (scoring engine)'!$K$5:$K$518,15),-999999)&lt;=-900000),"",IFERROR(IF(INDEX(Database!$AB$5:$AB$518,MATCH(LARGE('Calc (scoring engine)'!$K$5:$K$518,15),'Calc (scoring engine)'!$K$5:$K$518,0))="","—",INDEX(Database!$AB$5:$AB$518,MATCH(LARGE('Calc (scoring engine)'!$K$5:$K$518,15),'Calc (scoring engine)'!$K$5:$K$518,0))),""))</f>
        <v/>
      </c>
      <c r="Z35" s="40">
        <f>IF(OR(15&gt;MAX(3,MIN(15,N($D$18))),IFERROR(LARGE('Calc (scoring engine)'!$K$5:$K$518,15),-999999)&lt;=-900000),"",IFERROR(IF(INDEX(Database!$AC$5:$AC$518,MATCH(LARGE('Calc (scoring engine)'!$K$5:$K$518,15),'Calc (scoring engine)'!$K$5:$K$518,0))="","—",INDEX(Database!$AC$5:$AC$518,MATCH(LARGE('Calc (scoring engine)'!$K$5:$K$518,15),'Calc (scoring engine)'!$K$5:$K$518,0))),""))</f>
        <v/>
      </c>
      <c r="AA35" s="23">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10">
        <f>IF(OR(15&gt;MAX(3,MIN(15,N($D$18))),IFERROR(LARGE('Calc (scoring engine)'!$K$5:$K$518,15),-999999)&lt;=-900000),"",IFERROR(IF(INDEX(Database!$AF$5:$AF$518,MATCH(LARGE('Calc (scoring engine)'!$K$5:$K$518,15),'Calc (scoring engine)'!$K$5:$K$518,0))="","—",INDEX(Database!$AF$5:$AF$518,MATCH(LARGE('Calc (scoring engine)'!$K$5:$K$518,15),'Calc (scoring engine)'!$K$5:$K$518,0))),""))</f>
        <v/>
      </c>
      <c r="AD35" s="10">
        <f>IF(OR(15&gt;MAX(3,MIN(15,N($D$18))),IFERROR(LARGE('Calc (scoring engine)'!$K$5:$K$518,15),-999999)&lt;=-900000),"",IFERROR(IF(INDEX(Database!$AG$5:$AG$518,MATCH(LARGE('Calc (scoring engine)'!$K$5:$K$518,15),'Calc (scoring engine)'!$K$5:$K$518,0))="","—",INDEX(Database!$AG$5:$AG$518,MATCH(LARGE('Calc (scoring engine)'!$K$5:$K$518,15),'Calc (scoring engine)'!$K$5:$K$518,0))),""))</f>
        <v/>
      </c>
      <c r="AE35" s="10">
        <f>IF(OR(15&gt;MAX(3,MIN(15,N($D$18))),IFERROR(LARGE('Calc (scoring engine)'!$K$5:$K$518,15),-999999)&lt;=-900000),"",IFERROR(IF(INDEX(Database!$AH$5:$AH$518,MATCH(LARGE('Calc (scoring engine)'!$K$5:$K$518,15),'Calc (scoring engine)'!$K$5:$K$518,0))="","—",INDEX(Database!$AH$5:$AH$518,MATCH(LARGE('Calc (scoring engine)'!$K$5:$K$518,15),'Calc (scoring engine)'!$K$5:$K$518,0))),""))</f>
        <v/>
      </c>
      <c r="AF35" s="10">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engine)'!$K$5:$K$518,15),-999999)&lt;=-900000),"",IFERROR(IF(INDEX(Database!$AZ$5:$AZ$518,MATCH(LARGE('Calc (scoring engine)'!$K$5:$K$518,15),'Calc (scoring engine)'!$K$5:$K$518,0))="","—",INDEX(Database!$AZ$5:$AZ$518,MATCH(LARGE('Calc (scoring engine)'!$K$5:$K$518,15),'Calc (scoring engine)'!$K$5:$K$518,0))),""))</f>
        <v/>
      </c>
      <c r="AW35" s="18">
        <f>IF(OR(15&gt;MAX(3,MIN(15,N($D$18))),IFERROR(LARGE('Calc (scoring engine)'!$K$5:$K$518,15),-999999)&lt;=-900000),"",IFERROR(IF(INDEX(Database!$BB$5:$BB$518,MATCH(LARGE('Calc (scoring engine)'!$K$5:$K$518,15),'Calc (scoring engine)'!$K$5:$K$518,0))="","—",INDEX(Database!$BB$5:$BB$518,MATCH(LARGE('Calc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0">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engine)'!$K$5:$K$518,15),-999999)&lt;=-900000),"",IFERROR(IF(N(INDEX(Database!$BE$5:$BE$518,MATCH(LARGE('Calc (scoring engine)'!$K$5:$K$518,15),'Calc (scoring engine)'!$K$5:$K$518,0)))&lt;=0,IF(INDEX(Database!$BD$5:$BD$518,MATCH(LARGE('Calc (scoring engine)'!$K$5:$K$518,15),'Calc (scoring engine)'!$K$5:$K$518,0))="N","n/m","—"),INDEX(Database!$BE$5:$BE$518,MATCH(LARGE('Calc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engine)'!$K$5:$K$518,15),-999999)&lt;=-900000),"",IFERROR(IFERROR(BDP(TEXT(INDEX(Database!$A$5:$A$518,MATCH(LARGE('Calc (scoring engine)'!$K$5:$K$518,15),'Calc (scoring engine)'!$K$5:$K$518,0)),"0")&amp;" HK Equity","PE_RATIO"),IF(INDEX(Database!$BG$5:$BG$518,MATCH(LARGE('Calc (scoring engine)'!$K$5:$K$518,15),'Calc (scoring engine)'!$K$5:$K$518,0))="","—",INDEX(Database!$BG$5:$BG$518,MATCH(LARGE('Calc (scoring engine)'!$K$5:$K$518,15),'Calc (scoring engine)'!$K$5:$K$518,0)))),""))</f>
        <v/>
      </c>
      <c r="BF35" s="24">
        <f>IF(OR(15&gt;MAX(3,MIN(15,N($D$18))),IFERROR(LARGE('Calc (scoring engine)'!$K$5:$K$518,15),-999999)&lt;=-900000),"",IFERROR(IFERROR(BDP(TEXT(INDEX(Database!$A$5:$A$518,MATCH(LARGE('Calc (scoring engine)'!$K$5:$K$518,15),'Calc (scoring engine)'!$K$5:$K$518,0)),"0")&amp;" HK Equity","PX_TO_SALES_RATIO"),IF(INDEX(Database!$BH$5:$BH$518,MATCH(LARGE('Calc (scoring engine)'!$K$5:$K$518,15),'Calc (scoring engine)'!$K$5:$K$518,0))="","—",INDEX(Database!$BH$5:$BH$518,MATCH(LARGE('Calc (scoring engine)'!$K$5:$K$518,15),'Calc (scoring engine)'!$K$5:$K$518,0)))),""))</f>
        <v/>
      </c>
      <c r="BG35" s="10">
        <f>IF(OR(15&gt;MAX(3,MIN(15,N($D$18))),IFERROR(LARGE('Calc (scoring engine)'!$K$5:$K$518,15),-999999)&lt;=-900000),"",IFERROR(IF(INDEX(Database!$BJ$5:$BJ$518,MATCH(LARGE('Calc (scoring engine)'!$K$5:$K$518,15),'Calc (scoring engine)'!$K$5:$K$518,0))="","—",INDEX(Database!$BJ$5:$BJ$518,MATCH(LARGE('Calc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23">
        <f>IF(OR(15&gt;MAX(3,MIN(15,N($D$18))),IFERROR(LARGE('Calc (scoring engine)'!$K$5:$K$518,15),-999999)&lt;=-900000),"",IFERROR(IF(INDEX(Database!$BL$5:$BL$518,MATCH(LARGE('Calc (scoring engine)'!$K$5:$K$518,15),'Calc (scoring engine)'!$K$5:$K$518,0))="","—",INDEX(Database!$BL$5:$BL$518,MATCH(LARGE('Calc (scoring engine)'!$K$5:$K$518,15),'Calc (scoring engine)'!$K$5:$K$518,0))),""))</f>
        <v/>
      </c>
      <c r="BJ35" s="40">
        <f>IF(OR(15&gt;MAX(3,MIN(15,N($D$18))),IFERROR(LARGE('Calc (scoring engine)'!$K$5:$K$518,15),-999999)&lt;=-900000),"",IFERROR(IF(INDEX(Database!$BM$5:$BM$518,MATCH(LARGE('Calc (scoring engine)'!$K$5:$K$518,15),'Calc (scoring engine)'!$K$5:$K$518,0))="","—",INDEX(Database!$BM$5:$BM$518,MATCH(LARGE('Calc (scoring engine)'!$K$5:$K$518,15),'Calc (scoring engine)'!$K$5:$K$518,0))),""))</f>
        <v/>
      </c>
      <c r="BK35" s="43">
        <f>IF(OR(15&gt;MAX(3,MIN(15,N($D$18))),IFERROR(LARGE('Calc (scoring engine)'!$K$5:$K$518,15),-999999)&lt;=-900000),"",IFERROR(IF(INDEX(Database!$BN$5:$BN$518,MATCH(LARGE('Calc (scoring engine)'!$K$5:$K$518,15),'Calc (scoring engine)'!$K$5:$K$518,0))="","—",INDEX(Database!$BN$5:$BN$518,MATCH(LARGE('Calc (scoring engine)'!$K$5:$K$518,15),'Calc (scoring engine)'!$K$5:$K$518,0))),""))</f>
        <v/>
      </c>
      <c r="BL35" s="18">
        <f>IF(OR(15&gt;MAX(3,MIN(15,N($D$18))),IFERROR(LARGE('Calc (scoring engine)'!$K$5:$K$518,15),-999999)&lt;=-900000),"",IFERROR(IF(INDEX(Database!$BO$5:$BO$518,MATCH(LARGE('Calc (scoring engine)'!$K$5:$K$518,15),'Calc (scoring engine)'!$K$5:$K$518,0))="","—",INDEX(Database!$BO$5:$BO$518,MATCH(LARGE('Calc (scoring engine)'!$K$5:$K$518,15),'Calc (scoring engine)'!$K$5:$K$518,0))),""))</f>
        <v/>
      </c>
      <c r="BM35" s="24">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10">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engine)'!$K$5:$K$518,15),-999999)&lt;=-900000),"",IFERROR(IF(INDEX(Database!$BT$5:$BT$518,MATCH(LARGE('Calc (scoring engine)'!$K$5:$K$518,15),'Calc (scoring engine)'!$K$5:$K$518,0))="","—",INDEX(Database!$BT$5:$BT$518,MATCH(LARGE('Calc (scoring engine)'!$K$5:$K$518,15),'Calc (scoring engine)'!$K$5:$K$518,0))),""))</f>
        <v/>
      </c>
      <c r="BQ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R35" s="10">
        <f>IF(OR(15&gt;MAX(3,MIN(15,N($D$18))),IFERROR(LARGE('Calc (scoring engine)'!$K$5:$K$518,15),-999999)&lt;=-900000),"",IF(IFERROR(INDEX('Calc (scoring engine)'!$B$5:$B$518,MATCH(LARGE('Calc (scoring engine)'!$K$5:$K$518,15),'Calc (scoring engine)'!$K$5:$K$518,0)),0)=1,"same subsector","sector only"))</f>
        <v/>
      </c>
      <c r="BS35" s="44">
        <f>IF(OR(15&gt;MAX(3,MIN(15,N($D$18))),IFERROR(LARGE('Calc (scoring engine)'!$K$5:$K$518,15),-999999)&lt;=-900000),"",ROUND(IFERROR(LARGE('Calc (scoring engine)'!$K$5:$K$518,15),0),0))</f>
        <v/>
      </c>
      <c r="BT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Y37" s="23">
        <f>IFERROR(MEDIAN(Y21:Y35),"")</f>
        <v/>
      </c>
      <c r="Z37" s="40">
        <f>IFERROR(MEDIAN(Z21:Z35),"")</f>
        <v/>
      </c>
      <c r="AA37" s="23">
        <f>IFERROR(MEDIAN(AA21:AA35),"")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18">
        <f>IFERROR(MEDIAN(AW21:AW35),"")</f>
        <v/>
      </c>
      <c r="AX37" s="18">
        <f>IFERROR(MEDIAN(AX21:AX35),"")</f>
        <v/>
      </c>
      <c r="AZ37" s="24">
        <f>IFERROR(MEDIAN(AZ21:AZ35),"")</f>
        <v/>
      </c>
      <c r="BA37" s="24">
        <f>IFERROR(MEDIAN(BA21:BA35),"")</f>
        <v/>
      </c>
      <c r="BB37" s="24">
        <f>IFERROR(MEDIAN(BB21:BB35),"")</f>
        <v/>
      </c>
      <c r="BC37" s="24">
        <f>IFERROR(MEDIAN(BC21:BC35),"")</f>
        <v/>
      </c>
      <c r="BD37" s="24">
        <f>IFERROR(MEDIAN(BD21:BD35),"")</f>
        <v/>
      </c>
      <c r="BE37" s="24">
        <f>IFERROR(MEDIAN(BE21:BE35),"")</f>
        <v/>
      </c>
      <c r="BF37" s="24">
        <f>IFERROR(MEDIAN(BF21:BF35),"")</f>
        <v/>
      </c>
      <c r="BI37" s="23">
        <f>IFERROR(MEDIAN(BI21:BI35),"")</f>
        <v/>
      </c>
      <c r="BJ37" s="40">
        <f>IFERROR(MEDIAN(BJ21:BJ35),"")</f>
        <v/>
      </c>
      <c r="BK37" s="43">
        <f>IFERROR(MEDIAN(BK21:BK35),"")</f>
        <v/>
      </c>
      <c r="BL37" s="18">
        <f>IFERROR(MEDIAN(BL21:BL35),"")</f>
        <v/>
      </c>
      <c r="BM37" s="24">
        <f>IFERROR(MEDIAN(BM21:BM35),"")</f>
        <v/>
      </c>
      <c r="BN37" s="24">
        <f>IFERROR(MEDIAN(BN21:BN35),"")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IFERROR($AZ$21,"")</f>
        <v/>
      </c>
      <c r="D45" s="10">
        <f>IFERROR($AZ$37,"")</f>
        <v/>
      </c>
    </row>
    <row r="46">
      <c r="A46" s="16" t="inlineStr">
        <is>
          <t>Public sub (x)</t>
        </is>
      </c>
      <c r="B46" s="10">
        <f>"—"</f>
        <v/>
      </c>
      <c r="C46" s="10">
        <f>IFERROR($Q$21,"")</f>
        <v/>
      </c>
      <c r="D46" s="10">
        <f>IFERROR($Q$37,"")</f>
        <v/>
      </c>
    </row>
    <row r="47">
      <c r="A47" s="16" t="inlineStr">
        <is>
          <t>Day-1</t>
        </is>
      </c>
      <c r="B47" s="10">
        <f>"—"</f>
        <v/>
      </c>
      <c r="C47" s="10">
        <f>IFERROR($AG$21,"")</f>
        <v/>
      </c>
      <c r="D47" s="10">
        <f>IFERROR($AG$37,"")</f>
        <v/>
      </c>
    </row>
    <row r="48">
      <c r="A48" s="16" t="inlineStr">
        <is>
          <t>1-month</t>
        </is>
      </c>
      <c r="B48" s="10">
        <f>"—"</f>
        <v/>
      </c>
      <c r="C48" s="10">
        <f>IFERROR($AK$21,"")</f>
        <v/>
      </c>
      <c r="D48" s="10">
        <f>IFERROR($AK$37,"")</f>
        <v/>
      </c>
    </row>
    <row r="49">
      <c r="A49" s="16" t="inlineStr">
        <is>
          <t>3-month</t>
        </is>
      </c>
      <c r="B49" s="10">
        <f>"—"</f>
        <v/>
      </c>
      <c r="C49" s="10">
        <f>IFERROR($AL$21,"")</f>
        <v/>
      </c>
      <c r="D49" s="10">
        <f>IFERROR($AL$37,"")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IFERROR(INDEX(Database!$BK$5:$BK$518,MATCH($B$5,Database!$B$5:$B$518,0)),IFERROR(INDEX(Pipeline!$S$6:$S$17,MATCH($B$5,Pipeline!$B$6:$B$17,0)),""))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Equity",""),"PE_RATIO"),IFERROR(INDEX(Database!$BG$5:$BG$518,MATCH($B$5,Database!$B$5:$B$518,0)),"run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Equity",""),"PX_TO_SALES_RATIO"),IFERROR(INDEX(Database!$BH$5:$BH$518,MATCH($B$5,Database!$B$5:$B$518,0)),"run on terminal")))</f>
        <v/>
      </c>
      <c r="C60" s="2" t="inlineStr">
        <is>
          <t>live BDP; falls back to P/S at IPO</t>
        </is>
      </c>
    </row>
    <row r="61">
      <c r="A61" s="16" t="inlineStr">
        <is>
          <t>A-line company mkt cap (HK$m)</t>
        </is>
      </c>
      <c r="B61" s="18">
        <f>IF($F$54="","no A line",IFERROR(BDP($F$54,"CUR_MKT_CAP")*IF(N(A_FX)&gt;0,A_FX,1.10)/1000000,IFERROR(INDEX(Database!$BO$5:$BO$518,MATCH($B$5,Database!$B$5:$B$518,0)),"run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Q19:BT19"/>
    <mergeCell ref="Q19:AF19"/>
    <mergeCell ref="AG19:AV19"/>
    <mergeCell ref="AW19:BF19"/>
    <mergeCell ref="I19:P19"/>
    <mergeCell ref="A19:H19"/>
    <mergeCell ref="BO19:BP19"/>
    <mergeCell ref="BG19:BN19"/>
  </mergeCells>
  <conditionalFormatting sqref="A21:BT21">
    <cfRule type="expression" priority="24" dxfId="0">
      <formula>$BR21="same subsector"</formula>
    </cfRule>
    <cfRule type="expression" priority="25" dxfId="1">
      <formula>$BR21="sector only"</formula>
    </cfRule>
  </conditionalFormatting>
  <conditionalFormatting sqref="A22:BT22">
    <cfRule type="expression" priority="26" dxfId="0">
      <formula>$BR22="same subsector"</formula>
    </cfRule>
    <cfRule type="expression" priority="27" dxfId="1">
      <formula>$BR22="sector only"</formula>
    </cfRule>
  </conditionalFormatting>
  <conditionalFormatting sqref="A23:BT23">
    <cfRule type="expression" priority="28" dxfId="0">
      <formula>$BR23="same subsector"</formula>
    </cfRule>
    <cfRule type="expression" priority="29" dxfId="1">
      <formula>$BR23="sector only"</formula>
    </cfRule>
  </conditionalFormatting>
  <conditionalFormatting sqref="A24:BT24">
    <cfRule type="expression" priority="30" dxfId="0">
      <formula>$BR24="same subsector"</formula>
    </cfRule>
    <cfRule type="expression" priority="31" dxfId="1">
      <formula>$BR24="sector only"</formula>
    </cfRule>
  </conditionalFormatting>
  <conditionalFormatting sqref="A25:BT25">
    <cfRule type="expression" priority="32" dxfId="0">
      <formula>$BR25="same subsector"</formula>
    </cfRule>
    <cfRule type="expression" priority="33" dxfId="1">
      <formula>$BR25="sector only"</formula>
    </cfRule>
  </conditionalFormatting>
  <conditionalFormatting sqref="A26:BT26">
    <cfRule type="expression" priority="34" dxfId="0">
      <formula>$BR26="same subsector"</formula>
    </cfRule>
    <cfRule type="expression" priority="35" dxfId="1">
      <formula>$BR26="sector only"</formula>
    </cfRule>
  </conditionalFormatting>
  <conditionalFormatting sqref="A27:BT27">
    <cfRule type="expression" priority="36" dxfId="0">
      <formula>$BR27="same subsector"</formula>
    </cfRule>
    <cfRule type="expression" priority="37" dxfId="1">
      <formula>$BR27="sector only"</formula>
    </cfRule>
  </conditionalFormatting>
  <conditionalFormatting sqref="A28:BT28">
    <cfRule type="expression" priority="38" dxfId="0">
      <formula>$BR28="same subsector"</formula>
    </cfRule>
    <cfRule type="expression" priority="39" dxfId="1">
      <formula>$BR28="sector only"</formula>
    </cfRule>
  </conditionalFormatting>
  <conditionalFormatting sqref="A29:BT29">
    <cfRule type="expression" priority="40" dxfId="0">
      <formula>$BR29="same subsector"</formula>
    </cfRule>
    <cfRule type="expression" priority="41" dxfId="1">
      <formula>$BR29="sector only"</formula>
    </cfRule>
  </conditionalFormatting>
  <conditionalFormatting sqref="A30:BT30">
    <cfRule type="expression" priority="42" dxfId="0">
      <formula>$BR30="same subsector"</formula>
    </cfRule>
    <cfRule type="expression" priority="43" dxfId="1">
      <formula>$BR30="sector only"</formula>
    </cfRule>
  </conditionalFormatting>
  <conditionalFormatting sqref="A31:BT31">
    <cfRule type="expression" priority="44" dxfId="0">
      <formula>$BR31="same subsector"</formula>
    </cfRule>
    <cfRule type="expression" priority="45" dxfId="1">
      <formula>$BR31="sector only"</formula>
    </cfRule>
  </conditionalFormatting>
  <conditionalFormatting sqref="A32:BT32">
    <cfRule type="expression" priority="46" dxfId="0">
      <formula>$BR32="same subsector"</formula>
    </cfRule>
    <cfRule type="expression" priority="47" dxfId="1">
      <formula>$BR32="sector only"</formula>
    </cfRule>
  </conditionalFormatting>
  <conditionalFormatting sqref="A33:BT33">
    <cfRule type="expression" priority="48" dxfId="0">
      <formula>$BR33="same subsector"</formula>
    </cfRule>
    <cfRule type="expression" priority="49" dxfId="1">
      <formula>$BR33="sector only"</formula>
    </cfRule>
  </conditionalFormatting>
  <conditionalFormatting sqref="A34:BT34">
    <cfRule type="expression" priority="50" dxfId="0">
      <formula>$BR34="same subsector"</formula>
    </cfRule>
    <cfRule type="expression" priority="51" dxfId="1">
      <formula>$BR34="sector only"</formula>
    </cfRule>
  </conditionalFormatting>
  <conditionalFormatting sqref="A35:BT35">
    <cfRule type="expression" priority="52" dxfId="0">
      <formula>$BR35="same subsector"</formula>
    </cfRule>
    <cfRule type="expression" priority="53" dxfId="1">
      <formula>$BR35="sector only"</formula>
    </cfRule>
  </conditionalFormatting>
  <conditionalFormatting sqref="AU21:AU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AK21:AK35">
    <cfRule type="colorScale" priority="3">
      <colorScale>
        <cfvo type="num" val="-60"/>
        <cfvo type="num" val="0"/>
        <cfvo type="num" val="60"/>
        <color rgb="00F8696B"/>
        <color rgb="00FFFFFF"/>
        <color rgb="0063BE7B"/>
      </colorScale>
    </cfRule>
  </conditionalFormatting>
  <conditionalFormatting sqref="BI21:BI35">
    <cfRule type="colorScale" priority="4">
      <colorScale>
        <cfvo type="num" val="-60"/>
        <cfvo type="num" val="0"/>
        <cfvo type="num" val="60"/>
        <color rgb="00F8696B"/>
        <color rgb="00FFFFFF"/>
        <color rgb="0063BE7B"/>
      </colorScale>
    </cfRule>
  </conditionalFormatting>
  <conditionalFormatting sqref="AP21:AP35">
    <cfRule type="colorScale" priority="5">
      <colorScale>
        <cfvo type="num" val="-60"/>
        <cfvo type="num" val="0"/>
        <cfvo type="num" val="60"/>
        <color rgb="00F8696B"/>
        <color rgb="00FFFFFF"/>
        <color rgb="0063BE7B"/>
      </colorScale>
    </cfRule>
  </conditionalFormatting>
  <conditionalFormatting sqref="BK21:BK35">
    <cfRule type="colorScale" priority="6">
      <colorScale>
        <cfvo type="num" val="-60"/>
        <cfvo type="num" val="0"/>
        <cfvo type="num" val="60"/>
        <color rgb="00F8696B"/>
        <color rgb="00FFFFFF"/>
        <color rgb="0063BE7B"/>
      </colorScale>
    </cfRule>
  </conditionalFormatting>
  <conditionalFormatting sqref="Y21:Y35">
    <cfRule type="colorScale" priority="7">
      <colorScale>
        <cfvo type="num" val="-60"/>
        <cfvo type="num" val="0"/>
        <cfvo type="num" val="60"/>
        <color rgb="00F8696B"/>
        <color rgb="00FFFFFF"/>
        <color rgb="0063BE7B"/>
      </colorScale>
    </cfRule>
  </conditionalFormatting>
  <conditionalFormatting sqref="AL21:AL35">
    <cfRule type="colorScale" priority="8">
      <colorScale>
        <cfvo type="num" val="-60"/>
        <cfvo type="num" val="0"/>
        <cfvo type="num" val="60"/>
        <color rgb="00F8696B"/>
        <color rgb="00FFFFFF"/>
        <color rgb="0063BE7B"/>
      </colorScale>
    </cfRule>
  </conditionalFormatting>
  <conditionalFormatting sqref="AO21:AO35">
    <cfRule type="colorScale" priority="9">
      <colorScale>
        <cfvo type="num" val="-60"/>
        <cfvo type="num" val="0"/>
        <cfvo type="num" val="60"/>
        <color rgb="00F8696B"/>
        <color rgb="00FFFFFF"/>
        <color rgb="0063BE7B"/>
      </colorScale>
    </cfRule>
  </conditionalFormatting>
  <conditionalFormatting sqref="AH21:AH35">
    <cfRule type="colorScale" priority="10">
      <colorScale>
        <cfvo type="num" val="-60"/>
        <cfvo type="num" val="0"/>
        <cfvo type="num" val="60"/>
        <color rgb="00F8696B"/>
        <color rgb="00FFFFFF"/>
        <color rgb="0063BE7B"/>
      </colorScale>
    </cfRule>
  </conditionalFormatting>
  <conditionalFormatting sqref="AR21:AR35">
    <cfRule type="colorScale" priority="11">
      <colorScale>
        <cfvo type="num" val="-60"/>
        <cfvo type="num" val="0"/>
        <cfvo type="num" val="60"/>
        <color rgb="00F8696B"/>
        <color rgb="00FFFFFF"/>
        <color rgb="0063BE7B"/>
      </colorScale>
    </cfRule>
  </conditionalFormatting>
  <conditionalFormatting sqref="AN21:AN35">
    <cfRule type="colorScale" priority="12">
      <colorScale>
        <cfvo type="num" val="-60"/>
        <cfvo type="num" val="0"/>
        <cfvo type="num" val="60"/>
        <color rgb="00F8696B"/>
        <color rgb="00FFFFFF"/>
        <color rgb="0063BE7B"/>
      </colorScale>
    </cfRule>
  </conditionalFormatting>
  <conditionalFormatting sqref="AV21:AV35">
    <cfRule type="colorScale" priority="13">
      <colorScale>
        <cfvo type="num" val="-60"/>
        <cfvo type="num" val="0"/>
        <cfvo type="num" val="60"/>
        <color rgb="00F8696B"/>
        <color rgb="00FFFFFF"/>
        <color rgb="0063BE7B"/>
      </colorScale>
    </cfRule>
  </conditionalFormatting>
  <conditionalFormatting sqref="AS21:AS35">
    <cfRule type="colorScale" priority="14">
      <colorScale>
        <cfvo type="num" val="-60"/>
        <cfvo type="num" val="0"/>
        <cfvo type="num" val="60"/>
        <color rgb="00F8696B"/>
        <color rgb="00FFFFFF"/>
        <color rgb="0063BE7B"/>
      </colorScale>
    </cfRule>
  </conditionalFormatting>
  <conditionalFormatting sqref="AM21:AM35">
    <cfRule type="colorScale" priority="15">
      <colorScale>
        <cfvo type="num" val="-60"/>
        <cfvo type="num" val="0"/>
        <cfvo type="num" val="60"/>
        <color rgb="00F8696B"/>
        <color rgb="00FFFFFF"/>
        <color rgb="0063BE7B"/>
      </colorScale>
    </cfRule>
  </conditionalFormatting>
  <conditionalFormatting sqref="AT21:AT35">
    <cfRule type="colorScale" priority="16">
      <colorScale>
        <cfvo type="num" val="-60"/>
        <cfvo type="num" val="0"/>
        <cfvo type="num" val="60"/>
        <color rgb="00F8696B"/>
        <color rgb="00FFFFFF"/>
        <color rgb="0063BE7B"/>
      </colorScale>
    </cfRule>
  </conditionalFormatting>
  <conditionalFormatting sqref="AG21:AG35">
    <cfRule type="colorScale" priority="17">
      <colorScale>
        <cfvo type="num" val="-60"/>
        <cfvo type="num" val="0"/>
        <cfvo type="num" val="60"/>
        <color rgb="00F8696B"/>
        <color rgb="00FFFFFF"/>
        <color rgb="0063BE7B"/>
      </colorScale>
    </cfRule>
  </conditionalFormatting>
  <conditionalFormatting sqref="AI21:AI35">
    <cfRule type="colorScale" priority="18">
      <colorScale>
        <cfvo type="num" val="-60"/>
        <cfvo type="num" val="0"/>
        <cfvo type="num" val="60"/>
        <color rgb="00F8696B"/>
        <color rgb="00FFFFFF"/>
        <color rgb="0063BE7B"/>
      </colorScale>
    </cfRule>
  </conditionalFormatting>
  <conditionalFormatting sqref="AJ21:AJ35">
    <cfRule type="colorScale" priority="19">
      <colorScale>
        <cfvo type="num" val="-60"/>
        <cfvo type="num" val="0"/>
        <cfvo type="num" val="60"/>
        <color rgb="00F8696B"/>
        <color rgb="00FFFFFF"/>
        <color rgb="0063BE7B"/>
      </colorScale>
    </cfRule>
  </conditionalFormatting>
  <conditionalFormatting sqref="AQ21:AQ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T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Z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4" customWidth="1" min="28" max="28"/>
    <col width="12" customWidth="1" min="29" max="29"/>
    <col width="12" customWidth="1" min="30" max="30"/>
    <col width="13" customWidth="1" min="31" max="31"/>
    <col width="17" customWidth="1" min="32" max="32"/>
    <col width="13" customWidth="1" min="33" max="33"/>
    <col width="34" customWidth="1" min="34" max="34"/>
    <col width="14" customWidth="1" min="35" max="35"/>
    <col width="9" customWidth="1" min="36" max="36"/>
    <col width="10" customWidth="1" min="37" max="37"/>
    <col width="11" customWidth="1" min="38" max="38"/>
    <col width="9" customWidth="1" min="39" max="39"/>
    <col width="9" customWidth="1" min="40" max="40"/>
    <col width="9" customWidth="1" min="41" max="41"/>
    <col width="9" customWidth="1" min="42" max="42"/>
    <col width="9" customWidth="1" min="43" max="43"/>
    <col width="9" customWidth="1" min="44" max="44"/>
    <col width="10" customWidth="1" min="45" max="45"/>
    <col width="10" customWidth="1" min="46" max="46"/>
    <col width="10" customWidth="1" min="47" max="47"/>
    <col width="10" customWidth="1" min="48" max="48"/>
    <col width="11" customWidth="1" min="49" max="49"/>
    <col width="11" customWidth="1" min="50" max="50"/>
    <col width="22" customWidth="1" min="51" max="51"/>
    <col width="10" customWidth="1" min="52" max="52"/>
    <col width="11" customWidth="1" min="53" max="53"/>
    <col width="11" customWidth="1" min="54" max="54"/>
    <col width="11" customWidth="1" min="55" max="55"/>
    <col width="8" customWidth="1" min="56" max="56"/>
    <col width="8" customWidth="1" min="57" max="57"/>
    <col width="10" customWidth="1" min="58" max="58"/>
    <col width="10" customWidth="1" min="59" max="59"/>
    <col width="8" customWidth="1" min="60" max="60"/>
    <col width="11" customWidth="1" min="61" max="61"/>
    <col width="8" customWidth="1" min="62" max="62"/>
    <col width="11" customWidth="1" min="63" max="63"/>
    <col width="11" customWidth="1" min="64" max="64"/>
    <col width="10" customWidth="1" min="65" max="65"/>
    <col width="11" customWidth="1" min="66" max="66"/>
    <col width="14" customWidth="1" min="67" max="67"/>
    <col width="11" customWidth="1" min="68" max="68"/>
    <col width="11" customWidth="1" min="69" max="69"/>
    <col width="30" customWidth="1" min="70" max="70"/>
    <col width="30" customWidth="1" min="71" max="71"/>
    <col width="34" customWidth="1" min="72" max="72"/>
    <col width="34" customWidth="1" min="73" max="73"/>
    <col width="11" customWidth="1" min="74" max="74"/>
    <col width="13" customWidth="1" min="75" max="75"/>
    <col width="15" customWidth="1" min="76" max="76"/>
    <col width="40" customWidth="1" min="77" max="77"/>
    <col width="64" customWidth="1" min="78" max="78"/>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4" t="n"/>
      <c r="AF3" s="34" t="n"/>
      <c r="AG3" s="34" t="n"/>
      <c r="AH3" s="34" t="n"/>
      <c r="AI3" s="35" t="n"/>
      <c r="AJ3" s="56" t="inlineStr">
        <is>
          <t>PERFORMANCE</t>
        </is>
      </c>
      <c r="AK3" s="34" t="n"/>
      <c r="AL3" s="34" t="n"/>
      <c r="AM3" s="34" t="n"/>
      <c r="AN3" s="34" t="n"/>
      <c r="AO3" s="34" t="n"/>
      <c r="AP3" s="34" t="n"/>
      <c r="AQ3" s="34" t="n"/>
      <c r="AR3" s="34" t="n"/>
      <c r="AS3" s="34" t="n"/>
      <c r="AT3" s="34" t="n"/>
      <c r="AU3" s="34" t="n"/>
      <c r="AV3" s="34" t="n"/>
      <c r="AW3" s="34" t="n"/>
      <c r="AX3" s="34" t="n"/>
      <c r="AY3" s="34" t="n"/>
      <c r="AZ3" s="34" t="n"/>
      <c r="BA3" s="35" t="n"/>
      <c r="BB3" s="59" t="inlineStr">
        <is>
          <t>FUNDAMENTALS</t>
        </is>
      </c>
      <c r="BC3" s="34" t="n"/>
      <c r="BD3" s="34" t="n"/>
      <c r="BE3" s="34" t="n"/>
      <c r="BF3" s="34" t="n"/>
      <c r="BG3" s="34" t="n"/>
      <c r="BH3" s="34" t="n"/>
      <c r="BI3" s="35" t="n"/>
      <c r="BJ3" s="60" t="inlineStr">
        <is>
          <t>A / H</t>
        </is>
      </c>
      <c r="BK3" s="34" t="n"/>
      <c r="BL3" s="34" t="n"/>
      <c r="BM3" s="34" t="n"/>
      <c r="BN3" s="34" t="n"/>
      <c r="BO3" s="34" t="n"/>
      <c r="BP3" s="34" t="n"/>
      <c r="BQ3" s="35" t="n"/>
      <c r="BR3" s="61" t="inlineStr">
        <is>
          <t>BANKS &amp; DOCS</t>
        </is>
      </c>
      <c r="BS3" s="34" t="n"/>
      <c r="BT3" s="34" t="n"/>
      <c r="BU3" s="34" t="n"/>
      <c r="BV3" s="34" t="n"/>
      <c r="BW3" s="34" t="n"/>
      <c r="BX3" s="35" t="n"/>
      <c r="BY3" s="59" t="inlineStr">
        <is>
          <t>NOTES</t>
        </is>
      </c>
      <c r="BZ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Grey mkt % vs offer</t>
        </is>
      </c>
      <c r="AC4" s="36" t="inlineStr">
        <is>
          <t>Grey mkt close</t>
        </is>
      </c>
      <c r="AD4" s="36" t="inlineStr">
        <is>
          <t>Grey → day-1</t>
        </is>
      </c>
      <c r="AE4" s="36" t="inlineStr">
        <is>
          <t>Grey called day-1</t>
        </is>
      </c>
      <c r="AF4" s="36" t="inlineStr">
        <is>
          <t>Shoe outcome (final)</t>
        </is>
      </c>
      <c r="AG4" s="36" t="inlineStr">
        <is>
          <t>Shoe ends (filed)</t>
        </is>
      </c>
      <c r="AH4" s="36" t="inlineStr">
        <is>
          <t>Stabilising manager</t>
        </is>
      </c>
      <c r="AI4" s="36" t="inlineStr">
        <is>
          <t>SM key</t>
        </is>
      </c>
      <c r="AJ4" s="36" t="inlineStr">
        <is>
          <t>Day-1</t>
        </is>
      </c>
      <c r="AK4" s="36" t="inlineStr">
        <is>
          <t>Day-1 open pop</t>
        </is>
      </c>
      <c r="AL4" s="37" t="inlineStr">
        <is>
          <t>Day-1 open→close</t>
        </is>
      </c>
      <c r="AM4" s="36" t="inlineStr">
        <is>
          <t>1-week</t>
        </is>
      </c>
      <c r="AN4" s="36" t="inlineStr">
        <is>
          <t>1-month</t>
        </is>
      </c>
      <c r="AO4" s="36" t="inlineStr">
        <is>
          <t>3-month</t>
        </is>
      </c>
      <c r="AP4" s="37" t="inlineStr">
        <is>
          <t>1w ex-pop</t>
        </is>
      </c>
      <c r="AQ4" s="37" t="inlineStr">
        <is>
          <t>1m ex-pop</t>
        </is>
      </c>
      <c r="AR4" s="37" t="inlineStr">
        <is>
          <t>3m ex-pop</t>
        </is>
      </c>
      <c r="AS4" s="36" t="inlineStr">
        <is>
          <t>Alpha 1w vs index</t>
        </is>
      </c>
      <c r="AT4" s="36" t="inlineStr">
        <is>
          <t>Alpha 1m vs index</t>
        </is>
      </c>
      <c r="AU4" s="36" t="inlineStr">
        <is>
          <t>Alpha 3m vs index</t>
        </is>
      </c>
      <c r="AV4" s="37" t="inlineStr">
        <is>
          <t>Alpha 1m ex-pop</t>
        </is>
      </c>
      <c r="AW4" s="36" t="inlineStr">
        <is>
          <t>Index, IPO→1m</t>
        </is>
      </c>
      <c r="AX4" s="36" t="inlineStr">
        <is>
          <t>Index, d1→1m</t>
        </is>
      </c>
      <c r="AY4" s="36" t="inlineStr">
        <is>
          <t>Benchmark</t>
        </is>
      </c>
      <c r="AZ4" s="36" t="inlineStr">
        <is>
          <t>Since IPO</t>
        </is>
      </c>
      <c r="BA4" s="36" t="inlineStr">
        <is>
          <t>Prices as of</t>
        </is>
      </c>
      <c r="BB4" s="36" t="inlineStr">
        <is>
          <t>Latest FY rev (HK$m)</t>
        </is>
      </c>
      <c r="BC4" s="36" t="inlineStr">
        <is>
          <t>Latest FY NI (HK$m)</t>
        </is>
      </c>
      <c r="BD4" s="36" t="inlineStr">
        <is>
          <t>Profitable</t>
        </is>
      </c>
      <c r="BE4" s="36" t="inlineStr">
        <is>
          <t>P/E at IPO</t>
        </is>
      </c>
      <c r="BF4" s="36" t="inlineStr">
        <is>
          <t>P/E at IPO (BBG)</t>
        </is>
      </c>
      <c r="BG4" s="36" t="inlineStr">
        <is>
          <t>P/E today (BBG)</t>
        </is>
      </c>
      <c r="BH4" s="36" t="inlineStr">
        <is>
          <t>P/S at IPO</t>
        </is>
      </c>
      <c r="BI4" s="36" t="inlineStr">
        <is>
          <t>P/S today (BBG)</t>
        </is>
      </c>
      <c r="BJ4" s="36" t="inlineStr">
        <is>
          <t>A/H pair</t>
        </is>
      </c>
      <c r="BK4" s="36" t="inlineStr">
        <is>
          <t>A-share code</t>
        </is>
      </c>
      <c r="BL4" s="36" t="inlineStr">
        <is>
          <t>A prem vs H at IPO</t>
        </is>
      </c>
      <c r="BM4" s="36" t="inlineStr">
        <is>
          <t>A close used (HK$)</t>
        </is>
      </c>
      <c r="BN4" s="36" t="inlineStr">
        <is>
          <t>A premium (today)</t>
        </is>
      </c>
      <c r="BO4" s="36" t="inlineStr">
        <is>
          <t>A-line mkt cap now (HK$m)</t>
        </is>
      </c>
      <c r="BP4" s="36" t="inlineStr">
        <is>
          <t>A P/E @H-IPO (BBG)</t>
        </is>
      </c>
      <c r="BQ4" s="36" t="inlineStr">
        <is>
          <t>HSAHP @IPO (BBG)</t>
        </is>
      </c>
      <c r="BR4" s="36" t="inlineStr">
        <is>
          <t>Sponsors</t>
        </is>
      </c>
      <c r="BS4" s="36" t="inlineStr">
        <is>
          <t>Sponsors (AAStocks)</t>
        </is>
      </c>
      <c r="BT4" s="36" t="inlineStr">
        <is>
          <t>Bookrunners</t>
        </is>
      </c>
      <c r="BU4" s="36" t="inlineStr">
        <is>
          <t>Underwriters (AAStocks)</t>
        </is>
      </c>
      <c r="BV4" s="36" t="inlineStr">
        <is>
          <t>Prospectus</t>
        </is>
      </c>
      <c r="BW4" s="36" t="inlineStr">
        <is>
          <t>Allotment result</t>
        </is>
      </c>
      <c r="BX4" s="36" t="inlineStr">
        <is>
          <t>Stabilisation notice</t>
        </is>
      </c>
      <c r="BY4" s="36" t="inlineStr">
        <is>
          <t>Valuation notes</t>
        </is>
      </c>
      <c r="BZ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72" t="n"/>
      <c r="AC5" s="66" t="n"/>
      <c r="AD5" s="72" t="n"/>
      <c r="AE5" s="63" t="n"/>
      <c r="AF5" s="63" t="inlineStr">
        <is>
          <t>lapsed</t>
        </is>
      </c>
      <c r="AG5" s="63" t="n"/>
      <c r="AH5" s="63" t="inlineStr">
        <is>
          <t>Mont Avenir Capital Limited</t>
        </is>
      </c>
      <c r="AI5" s="63" t="inlineStr">
        <is>
          <t>Mont Avenir</t>
        </is>
      </c>
      <c r="AJ5" s="73" t="n">
        <v>-5.96</v>
      </c>
      <c r="AK5" s="72" t="n">
        <v>-5.5</v>
      </c>
      <c r="AL5" s="72" t="n">
        <v>-0.49</v>
      </c>
      <c r="AM5" s="72" t="n">
        <v>-11.24</v>
      </c>
      <c r="AN5" s="72" t="n">
        <v>-27.98</v>
      </c>
      <c r="AO5" s="72" t="n">
        <v>-50.23</v>
      </c>
      <c r="AP5" s="72" t="n">
        <v>-5.61</v>
      </c>
      <c r="AQ5" s="72" t="n">
        <v>-23.42</v>
      </c>
      <c r="AR5" s="72" t="n">
        <v>-47.08</v>
      </c>
      <c r="AS5" s="72" t="n">
        <v>-14.15</v>
      </c>
      <c r="AT5" s="72" t="n">
        <v>-41.54</v>
      </c>
      <c r="AU5" s="72" t="n">
        <v>-46.95</v>
      </c>
      <c r="AV5" s="72" t="n">
        <v>-37.11</v>
      </c>
      <c r="AW5" s="72" t="n">
        <v>13.56</v>
      </c>
      <c r="AX5" s="72" t="n">
        <v>13.69</v>
      </c>
      <c r="AY5" s="63" t="inlineStr">
        <is>
          <t>China Biotech ETF (HS biotech proxy)</t>
        </is>
      </c>
      <c r="AZ5" s="72" t="n">
        <v>-96.72</v>
      </c>
      <c r="BA5" s="64" t="inlineStr">
        <is>
          <t>2026-08-28</t>
        </is>
      </c>
      <c r="BB5" s="65" t="n">
        <v>163.9</v>
      </c>
      <c r="BC5" s="68" t="n">
        <v>36.4</v>
      </c>
      <c r="BD5" s="63" t="inlineStr">
        <is>
          <t>Y</t>
        </is>
      </c>
      <c r="BE5" s="74" t="n">
        <v>95.8</v>
      </c>
      <c r="BF5" s="74" t="n"/>
      <c r="BG5" s="74" t="n"/>
      <c r="BH5" s="74" t="n">
        <v>21.3</v>
      </c>
      <c r="BI5" s="75">
        <f>IF('BBG Verify'!S5="","not filed — run on terminal",'BBG Verify'!S5)</f>
        <v/>
      </c>
      <c r="BJ5" s="76" t="inlineStr">
        <is>
          <t>N</t>
        </is>
      </c>
      <c r="BK5" s="77">
        <f>IF('BBG Verify'!K5="","not filed — run on terminal",'BBG Verify'!K5)</f>
        <v/>
      </c>
      <c r="BL5" s="63" t="inlineStr">
        <is>
          <t>N/A</t>
        </is>
      </c>
      <c r="BM5" s="63" t="inlineStr">
        <is>
          <t>N/A</t>
        </is>
      </c>
      <c r="BN5" s="63" t="inlineStr">
        <is>
          <t>N/A</t>
        </is>
      </c>
      <c r="BO5" s="63" t="inlineStr">
        <is>
          <t>N/A</t>
        </is>
      </c>
      <c r="BP5" s="63" t="inlineStr">
        <is>
          <t>N/A</t>
        </is>
      </c>
      <c r="BQ5" s="63" t="inlineStr">
        <is>
          <t>N/A</t>
        </is>
      </c>
      <c r="BR5" s="76" t="inlineStr">
        <is>
          <t>Mont Avenir Capital Limited</t>
        </is>
      </c>
      <c r="BS5" s="63" t="inlineStr">
        <is>
          <t>Mont Avenir Capital Limited</t>
        </is>
      </c>
      <c r="BT5" s="63" t="inlineStr">
        <is>
          <t>Mont Avenir Capital Limited; SPDB International Capital Limited; Futu Securities International (Hong Kong) Limited; AMTD Global Markets Limited; China Merchants Securities (HK) Co., Limited</t>
        </is>
      </c>
      <c r="BU5" s="63" t="inlineStr">
        <is>
          <t>AMTD Global Markets Limited; China Merchants Securities (HK) Company Limited; Futu Securities International (Hong Kong) Limited; Mont Avenir Capital Limited; SPDB International Capital Limited</t>
        </is>
      </c>
      <c r="BV5" s="78">
        <f>HYPERLINK("https://www1.hkexnews.hk/listedco/listconews/sehk/2020/1221/2020122100005.pdf","prospectus")</f>
        <v/>
      </c>
      <c r="BW5" s="78">
        <f>HYPERLINK("https://www1.hkexnews.hk/listedco/listconews/sehk/2021/0105/2021010500020.htm","allotment")</f>
        <v/>
      </c>
      <c r="BX5" s="78">
        <f>HYPERLINK("https://www1.hkexnews.hk/listedco/listconews/sehk/2021/0124/2021012400011.pdf","stabilisation")</f>
        <v/>
      </c>
      <c r="BY5" s="76" t="n"/>
      <c r="BZ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72" t="n"/>
      <c r="AC6" s="66" t="n"/>
      <c r="AD6" s="72" t="n"/>
      <c r="AE6" s="63" t="n"/>
      <c r="AF6" s="63" t="inlineStr">
        <is>
          <t>lapsed</t>
        </is>
      </c>
      <c r="AG6" s="63" t="n"/>
      <c r="AH6" s="63" t="inlineStr">
        <is>
          <t>China Tonghai Securities Limited</t>
        </is>
      </c>
      <c r="AI6" s="63" t="inlineStr">
        <is>
          <t>China Tonghai</t>
        </is>
      </c>
      <c r="AJ6" s="73" t="n">
        <v>2.5</v>
      </c>
      <c r="AK6" s="72" t="n">
        <v>-0.5</v>
      </c>
      <c r="AL6" s="72" t="n">
        <v>3.02</v>
      </c>
      <c r="AM6" s="72" t="n">
        <v>-5</v>
      </c>
      <c r="AN6" s="72" t="n">
        <v>-5</v>
      </c>
      <c r="AO6" s="72" t="n">
        <v>3.5</v>
      </c>
      <c r="AP6" s="72" t="n">
        <v>-7.32</v>
      </c>
      <c r="AQ6" s="72" t="n">
        <v>-7.32</v>
      </c>
      <c r="AR6" s="72" t="n">
        <v>0.98</v>
      </c>
      <c r="AS6" s="72" t="n">
        <v>-5.71</v>
      </c>
      <c r="AT6" s="72" t="n">
        <v>-15.56</v>
      </c>
      <c r="AU6" s="72" t="n">
        <v>3.47</v>
      </c>
      <c r="AV6" s="72" t="n">
        <v>-16.88</v>
      </c>
      <c r="AW6" s="72" t="n">
        <v>10.56</v>
      </c>
      <c r="AX6" s="72" t="n">
        <v>9.56</v>
      </c>
      <c r="AY6" s="63" t="inlineStr">
        <is>
          <t>Hang Seng Commerce &amp; Industry sub-index</t>
        </is>
      </c>
      <c r="AZ6" s="72" t="n">
        <v>-72.09999999999999</v>
      </c>
      <c r="BA6" s="64" t="inlineStr">
        <is>
          <t>2026-08-31</t>
        </is>
      </c>
      <c r="BB6" s="65" t="n">
        <v>987.2</v>
      </c>
      <c r="BC6" s="68" t="n">
        <v>54.4</v>
      </c>
      <c r="BD6" s="63" t="inlineStr">
        <is>
          <t>Y</t>
        </is>
      </c>
      <c r="BE6" s="74" t="n">
        <v>10.9</v>
      </c>
      <c r="BF6" s="74" t="n"/>
      <c r="BG6" s="74" t="n">
        <v>5.7</v>
      </c>
      <c r="BH6" s="74" t="n">
        <v>0.6</v>
      </c>
      <c r="BI6" s="75">
        <f>IF('BBG Verify'!S6="","not filed — run on terminal",'BBG Verify'!S6)</f>
        <v/>
      </c>
      <c r="BJ6" s="76" t="inlineStr">
        <is>
          <t>N</t>
        </is>
      </c>
      <c r="BK6" s="77">
        <f>IF('BBG Verify'!K6="","not filed — run on terminal",'BBG Verify'!K6)</f>
        <v/>
      </c>
      <c r="BL6" s="63" t="inlineStr">
        <is>
          <t>N/A</t>
        </is>
      </c>
      <c r="BM6" s="63" t="inlineStr">
        <is>
          <t>N/A</t>
        </is>
      </c>
      <c r="BN6" s="63" t="inlineStr">
        <is>
          <t>N/A</t>
        </is>
      </c>
      <c r="BO6" s="63" t="inlineStr">
        <is>
          <t>N/A</t>
        </is>
      </c>
      <c r="BP6" s="63" t="inlineStr">
        <is>
          <t>N/A</t>
        </is>
      </c>
      <c r="BQ6" s="63" t="inlineStr">
        <is>
          <t>N/A</t>
        </is>
      </c>
      <c r="BR6" s="76" t="n"/>
      <c r="BS6" s="63" t="inlineStr">
        <is>
          <t>China Tonghai Capital Limited</t>
        </is>
      </c>
      <c r="BT6" s="63" t="inlineStr">
        <is>
          <t>Central China International Capital Limited; China Tonghai Securities Limited; CMBC Securities Company Limited; Elstone Securities Limited; Eddid Securities and Futures Limited; Realord Asia Pacific Securities Limited</t>
        </is>
      </c>
      <c r="BU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V6" s="78">
        <f>HYPERLINK("https://www1.hkexnews.hk/listedco/listconews/sehk/2020/1222/2020122200050.htm","prospectus")</f>
        <v/>
      </c>
      <c r="BW6" s="78">
        <f>HYPERLINK("https://www1.hkexnews.hk/listedco/listconews/sehk/2021/0105/2021010500038.htm","allotment")</f>
        <v/>
      </c>
      <c r="BX6" s="78">
        <f>HYPERLINK("https://www1.hkexnews.hk/listedco/listconews/sehk/2021/0203/2021020300669.pdf","stabilisation")</f>
        <v/>
      </c>
      <c r="BY6" s="76" t="n"/>
      <c r="BZ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72" t="n"/>
      <c r="AC7" s="66" t="n"/>
      <c r="AD7" s="72" t="n"/>
      <c r="AE7" s="63" t="n"/>
      <c r="AF7" s="63" t="n"/>
      <c r="AG7" s="63" t="inlineStr">
        <is>
          <t>2021-01-30</t>
        </is>
      </c>
      <c r="AH7" s="63" t="inlineStr">
        <is>
          <t>Dakin Securities Limited</t>
        </is>
      </c>
      <c r="AI7" s="63" t="inlineStr">
        <is>
          <t>Dakin</t>
        </is>
      </c>
      <c r="AJ7" s="73" t="n">
        <v>3.75</v>
      </c>
      <c r="AK7" s="72" t="n">
        <v>5</v>
      </c>
      <c r="AL7" s="72" t="n">
        <v>-1.19</v>
      </c>
      <c r="AM7" s="72" t="n">
        <v>25</v>
      </c>
      <c r="AN7" s="72" t="n">
        <v>60</v>
      </c>
      <c r="AO7" s="72" t="n">
        <v>22.5</v>
      </c>
      <c r="AP7" s="72" t="n">
        <v>20.48</v>
      </c>
      <c r="AQ7" s="72" t="n">
        <v>54.22</v>
      </c>
      <c r="AR7" s="72" t="n">
        <v>18.07</v>
      </c>
      <c r="AS7" s="72" t="n">
        <v>15.11</v>
      </c>
      <c r="AT7" s="72" t="n">
        <v>45.86</v>
      </c>
      <c r="AU7" s="72" t="n">
        <v>20.13</v>
      </c>
      <c r="AV7" s="72" t="n">
        <v>40.18</v>
      </c>
      <c r="AW7" s="72" t="n">
        <v>14.14</v>
      </c>
      <c r="AX7" s="72" t="n">
        <v>14.04</v>
      </c>
      <c r="AY7" s="63" t="inlineStr">
        <is>
          <t>Hang Seng Commerce &amp; Industry sub-index</t>
        </is>
      </c>
      <c r="AZ7" s="72" t="n">
        <v>3525</v>
      </c>
      <c r="BA7" s="64" t="inlineStr">
        <is>
          <t>2026-08-28</t>
        </is>
      </c>
      <c r="BB7" s="65" t="n">
        <v>223.8</v>
      </c>
      <c r="BC7" s="68" t="n">
        <v>46</v>
      </c>
      <c r="BD7" s="63" t="inlineStr">
        <is>
          <t>Y</t>
        </is>
      </c>
      <c r="BE7" s="74" t="n">
        <v>12.2</v>
      </c>
      <c r="BF7" s="74" t="n"/>
      <c r="BG7" s="74" t="n"/>
      <c r="BH7" s="74" t="n">
        <v>2.5</v>
      </c>
      <c r="BI7" s="75">
        <f>IF('BBG Verify'!S7="","not filed — run on terminal",'BBG Verify'!S7)</f>
        <v/>
      </c>
      <c r="BJ7" s="76" t="inlineStr">
        <is>
          <t>N</t>
        </is>
      </c>
      <c r="BK7" s="77">
        <f>IF('BBG Verify'!K7="","not filed — run on terminal",'BBG Verify'!K7)</f>
        <v/>
      </c>
      <c r="BL7" s="63" t="inlineStr">
        <is>
          <t>N/A</t>
        </is>
      </c>
      <c r="BM7" s="63" t="inlineStr">
        <is>
          <t>N/A</t>
        </is>
      </c>
      <c r="BN7" s="63" t="inlineStr">
        <is>
          <t>N/A</t>
        </is>
      </c>
      <c r="BO7" s="63" t="inlineStr">
        <is>
          <t>N/A</t>
        </is>
      </c>
      <c r="BP7" s="63" t="inlineStr">
        <is>
          <t>N/A</t>
        </is>
      </c>
      <c r="BQ7" s="63" t="inlineStr">
        <is>
          <t>N/A</t>
        </is>
      </c>
      <c r="BR7" s="76" t="inlineStr">
        <is>
          <t>Dakin Capital Limited</t>
        </is>
      </c>
      <c r="BS7" s="63" t="inlineStr">
        <is>
          <t>Dakin Capital Limited</t>
        </is>
      </c>
      <c r="BT7" s="63" t="inlineStr">
        <is>
          <t>Dakin Securities Limited; BOCOM International Securities Limited</t>
        </is>
      </c>
      <c r="BU7" s="63" t="inlineStr">
        <is>
          <t>Beta International Securities Limited; CCB International Capital Limited; Dakin Securities Limited; I Win Securities Limited; Red Eagle Securities Limited; Yuzhou Financial Holdings Limited</t>
        </is>
      </c>
      <c r="BV7" s="78">
        <f>HYPERLINK("https://www1.hkexnews.hk/listedco/listconews/sehk/2020/1228/2020122800063.pdf","prospectus")</f>
        <v/>
      </c>
      <c r="BW7" s="78">
        <f>HYPERLINK("https://www1.hkexnews.hk/listedco/listconews/sehk/2021/0112/2021011200008.htm","allotment")</f>
        <v/>
      </c>
      <c r="BX7" s="63" t="n"/>
      <c r="BY7" s="76" t="n"/>
      <c r="BZ7"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72" t="n"/>
      <c r="AC8" s="66" t="n"/>
      <c r="AD8" s="72" t="n"/>
      <c r="AE8" s="63" t="n"/>
      <c r="AF8" s="63" t="n"/>
      <c r="AG8" s="63" t="n"/>
      <c r="AH8" s="63" t="inlineStr">
        <is>
          <t>Alpha Financial Group Limited</t>
        </is>
      </c>
      <c r="AI8" s="63" t="inlineStr">
        <is>
          <t>Alpha</t>
        </is>
      </c>
      <c r="AJ8" s="73" t="n">
        <v>-12.5</v>
      </c>
      <c r="AK8" s="72" t="n">
        <v>15</v>
      </c>
      <c r="AL8" s="72" t="n">
        <v>-23.91</v>
      </c>
      <c r="AM8" s="72" t="n">
        <v>-31.25</v>
      </c>
      <c r="AN8" s="72" t="n">
        <v>-42</v>
      </c>
      <c r="AO8" s="72" t="n">
        <v>-55</v>
      </c>
      <c r="AP8" s="72" t="n">
        <v>-21.43</v>
      </c>
      <c r="AQ8" s="72" t="n">
        <v>-33.71</v>
      </c>
      <c r="AR8" s="72" t="n">
        <v>-48.57</v>
      </c>
      <c r="AS8" s="72" t="n">
        <v>-41.14</v>
      </c>
      <c r="AT8" s="72" t="n">
        <v>-56.14</v>
      </c>
      <c r="AU8" s="72" t="n">
        <v>-57.37</v>
      </c>
      <c r="AV8" s="72" t="n">
        <v>-47.75</v>
      </c>
      <c r="AW8" s="72" t="n">
        <v>14.14</v>
      </c>
      <c r="AX8" s="72" t="n">
        <v>14.04</v>
      </c>
      <c r="AY8" s="63" t="inlineStr">
        <is>
          <t>Hang Seng Commerce &amp; Industry sub-index</t>
        </is>
      </c>
      <c r="AZ8" s="72" t="n">
        <v>-47.25</v>
      </c>
      <c r="BA8" s="64" t="inlineStr">
        <is>
          <t>2026-08-28</t>
        </is>
      </c>
      <c r="BB8" s="65" t="n">
        <v>248.9</v>
      </c>
      <c r="BC8" s="68" t="n">
        <v>34.5</v>
      </c>
      <c r="BD8" s="63" t="inlineStr">
        <is>
          <t>Y</t>
        </is>
      </c>
      <c r="BE8" s="74" t="n">
        <v>17.8</v>
      </c>
      <c r="BF8" s="74" t="n"/>
      <c r="BG8" s="74" t="n"/>
      <c r="BH8" s="74" t="n">
        <v>2.5</v>
      </c>
      <c r="BI8" s="75">
        <f>IF('BBG Verify'!S8="","not filed — run on terminal",'BBG Verify'!S8)</f>
        <v/>
      </c>
      <c r="BJ8" s="76" t="inlineStr">
        <is>
          <t>N</t>
        </is>
      </c>
      <c r="BK8" s="77">
        <f>IF('BBG Verify'!K8="","not filed — run on terminal",'BBG Verify'!K8)</f>
        <v/>
      </c>
      <c r="BL8" s="63" t="inlineStr">
        <is>
          <t>N/A</t>
        </is>
      </c>
      <c r="BM8" s="63" t="inlineStr">
        <is>
          <t>N/A</t>
        </is>
      </c>
      <c r="BN8" s="63" t="inlineStr">
        <is>
          <t>N/A</t>
        </is>
      </c>
      <c r="BO8" s="63" t="inlineStr">
        <is>
          <t>N/A</t>
        </is>
      </c>
      <c r="BP8" s="63" t="inlineStr">
        <is>
          <t>N/A</t>
        </is>
      </c>
      <c r="BQ8" s="63" t="inlineStr">
        <is>
          <t>N/A</t>
        </is>
      </c>
      <c r="BR8" s="76" t="n"/>
      <c r="BS8" s="63" t="inlineStr">
        <is>
          <t>Ample Capital Limited</t>
        </is>
      </c>
      <c r="BT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U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V8" s="78">
        <f>HYPERLINK("https://www1.hkexnews.hk/listedco/listconews/sehk/2020/1230/2020123000007.pdf","prospectus")</f>
        <v/>
      </c>
      <c r="BW8" s="78">
        <f>HYPERLINK("https://www1.hkexnews.hk/listedco/listconews/sehk/2021/0112/2021011200024.htm","allotment")</f>
        <v/>
      </c>
      <c r="BX8" s="63" t="n"/>
      <c r="BY8" s="76" t="n"/>
      <c r="BZ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72" t="n"/>
      <c r="AC9" s="66" t="n"/>
      <c r="AD9" s="72" t="n"/>
      <c r="AE9" s="63" t="n"/>
      <c r="AF9" s="63" t="inlineStr">
        <is>
          <t>lapsed</t>
        </is>
      </c>
      <c r="AG9" s="63" t="n"/>
      <c r="AH9" s="63" t="inlineStr">
        <is>
          <t>Fortune</t>
        </is>
      </c>
      <c r="AI9" s="63" t="inlineStr">
        <is>
          <t>Fortune</t>
        </is>
      </c>
      <c r="AJ9" s="73" t="n">
        <v>-8.67</v>
      </c>
      <c r="AK9" s="72" t="n">
        <v>-19.08</v>
      </c>
      <c r="AL9" s="72" t="n">
        <v>12.86</v>
      </c>
      <c r="AM9" s="72" t="n">
        <v>5.78</v>
      </c>
      <c r="AN9" s="72" t="n">
        <v>-13.87</v>
      </c>
      <c r="AO9" s="72" t="n">
        <v>-13.29</v>
      </c>
      <c r="AP9" s="72" t="n">
        <v>15.82</v>
      </c>
      <c r="AQ9" s="72" t="n">
        <v>-5.69</v>
      </c>
      <c r="AR9" s="72" t="n">
        <v>-5.06</v>
      </c>
      <c r="AS9" s="72" t="n">
        <v>-4.11</v>
      </c>
      <c r="AT9" s="72" t="n">
        <v>-28.01</v>
      </c>
      <c r="AU9" s="72" t="n">
        <v>-15.66</v>
      </c>
      <c r="AV9" s="72" t="n">
        <v>-19.73</v>
      </c>
      <c r="AW9" s="72" t="n">
        <v>14.14</v>
      </c>
      <c r="AX9" s="72" t="n">
        <v>14.04</v>
      </c>
      <c r="AY9" s="63" t="inlineStr">
        <is>
          <t>Hang Seng Commerce &amp; Industry sub-index</t>
        </is>
      </c>
      <c r="AZ9" s="72" t="n">
        <v>-53.47</v>
      </c>
      <c r="BA9" s="64" t="inlineStr">
        <is>
          <t>2026-08-28</t>
        </is>
      </c>
      <c r="BB9" s="65" t="n">
        <v>819.4</v>
      </c>
      <c r="BC9" s="68" t="n">
        <v>84.09999999999999</v>
      </c>
      <c r="BD9" s="63" t="inlineStr">
        <is>
          <t>Y</t>
        </is>
      </c>
      <c r="BE9" s="74" t="n">
        <v>24</v>
      </c>
      <c r="BF9" s="74" t="n"/>
      <c r="BG9" s="74" t="n"/>
      <c r="BH9" s="74" t="n">
        <v>2.5</v>
      </c>
      <c r="BI9" s="75">
        <f>IF('BBG Verify'!S9="","not filed — run on terminal",'BBG Verify'!S9)</f>
        <v/>
      </c>
      <c r="BJ9" s="76" t="inlineStr">
        <is>
          <t>N</t>
        </is>
      </c>
      <c r="BK9" s="77">
        <f>IF('BBG Verify'!K9="","not filed — run on terminal",'BBG Verify'!K9)</f>
        <v/>
      </c>
      <c r="BL9" s="63" t="inlineStr">
        <is>
          <t>N/A</t>
        </is>
      </c>
      <c r="BM9" s="63" t="inlineStr">
        <is>
          <t>N/A</t>
        </is>
      </c>
      <c r="BN9" s="63" t="inlineStr">
        <is>
          <t>N/A</t>
        </is>
      </c>
      <c r="BO9" s="63" t="inlineStr">
        <is>
          <t>N/A</t>
        </is>
      </c>
      <c r="BP9" s="63" t="inlineStr">
        <is>
          <t>N/A</t>
        </is>
      </c>
      <c r="BQ9" s="63" t="inlineStr">
        <is>
          <t>N/A</t>
        </is>
      </c>
      <c r="BR9" s="76" t="inlineStr">
        <is>
          <t>Fortune Financial Capital Limited</t>
        </is>
      </c>
      <c r="BS9" s="63" t="inlineStr">
        <is>
          <t>Fortune Financial Capital Limited</t>
        </is>
      </c>
      <c r="BT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U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V9" s="78">
        <f>HYPERLINK("https://www1.hkexnews.hk/listedco/listconews/sehk/2020/1230/2020123000017.pdf","prospectus")</f>
        <v/>
      </c>
      <c r="BW9" s="78">
        <f>HYPERLINK("https://www1.hkexnews.hk/listedco/listconews/sehk/2021/0112/2021011200086.htm","allotment")</f>
        <v/>
      </c>
      <c r="BX9" s="78">
        <f>HYPERLINK("https://www1.hkexnews.hk/listedco/listconews/sehk/2021/0204/2021020400633.pdf","stabilisation")</f>
        <v/>
      </c>
      <c r="BY9" s="76" t="n"/>
      <c r="BZ9"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72" t="n"/>
      <c r="AC10" s="66" t="n"/>
      <c r="AD10" s="72" t="n"/>
      <c r="AE10" s="63" t="n"/>
      <c r="AF10" s="63" t="n"/>
      <c r="AG10" s="63" t="inlineStr">
        <is>
          <t>2021-02-06</t>
        </is>
      </c>
      <c r="AH10" s="63" t="inlineStr">
        <is>
          <t>Wealth Link Securities Limited</t>
        </is>
      </c>
      <c r="AI10" s="63" t="inlineStr">
        <is>
          <t>Wealth Link</t>
        </is>
      </c>
      <c r="AJ10" s="73" t="n">
        <v>6.78</v>
      </c>
      <c r="AK10" s="72" t="n">
        <v>-0.85</v>
      </c>
      <c r="AL10" s="72" t="n">
        <v>7.7</v>
      </c>
      <c r="AM10" s="72" t="n">
        <v>-11.86</v>
      </c>
      <c r="AN10" s="72" t="n">
        <v>-21.19</v>
      </c>
      <c r="AO10" s="72" t="n">
        <v>-28.81</v>
      </c>
      <c r="AP10" s="72" t="n">
        <v>-17.46</v>
      </c>
      <c r="AQ10" s="72" t="n">
        <v>-26.19</v>
      </c>
      <c r="AR10" s="72" t="n">
        <v>-33.33</v>
      </c>
      <c r="AS10" s="72" t="n">
        <v>-22.93</v>
      </c>
      <c r="AT10" s="72" t="n">
        <v>-36.53</v>
      </c>
      <c r="AU10" s="72" t="n">
        <v>-26.19</v>
      </c>
      <c r="AV10" s="72" t="n">
        <v>-41.99</v>
      </c>
      <c r="AW10" s="72" t="n">
        <v>15.34</v>
      </c>
      <c r="AX10" s="72" t="n">
        <v>15.8</v>
      </c>
      <c r="AY10" s="63" t="inlineStr">
        <is>
          <t>China Biotech ETF (HS biotech proxy)</t>
        </is>
      </c>
      <c r="AZ10" s="72" t="n">
        <v>-30.08</v>
      </c>
      <c r="BA10" s="64" t="inlineStr">
        <is>
          <t>2026-08-28</t>
        </is>
      </c>
      <c r="BB10" s="65" t="n">
        <v>240.6</v>
      </c>
      <c r="BC10" s="68" t="n">
        <v>50.9</v>
      </c>
      <c r="BD10" s="63" t="inlineStr">
        <is>
          <t>Y</t>
        </is>
      </c>
      <c r="BE10" s="74" t="n">
        <v>16</v>
      </c>
      <c r="BF10" s="74" t="n"/>
      <c r="BG10" s="74" t="n"/>
      <c r="BH10" s="74" t="n">
        <v>3.4</v>
      </c>
      <c r="BI10" s="75">
        <f>IF('BBG Verify'!S10="","not filed — run on terminal",'BBG Verify'!S10)</f>
        <v/>
      </c>
      <c r="BJ10" s="76" t="inlineStr">
        <is>
          <t>N</t>
        </is>
      </c>
      <c r="BK10" s="77">
        <f>IF('BBG Verify'!K10="","not filed — run on terminal",'BBG Verify'!K10)</f>
        <v/>
      </c>
      <c r="BL10" s="63" t="inlineStr">
        <is>
          <t>N/A</t>
        </is>
      </c>
      <c r="BM10" s="63" t="inlineStr">
        <is>
          <t>N/A</t>
        </is>
      </c>
      <c r="BN10" s="63" t="inlineStr">
        <is>
          <t>N/A</t>
        </is>
      </c>
      <c r="BO10" s="63" t="inlineStr">
        <is>
          <t>N/A</t>
        </is>
      </c>
      <c r="BP10" s="63" t="inlineStr">
        <is>
          <t>N/A</t>
        </is>
      </c>
      <c r="BQ10" s="63" t="inlineStr">
        <is>
          <t>N/A</t>
        </is>
      </c>
      <c r="BR10" s="76" t="inlineStr">
        <is>
          <t>Soochow Securities International Capital Limited</t>
        </is>
      </c>
      <c r="BS10" s="63" t="inlineStr">
        <is>
          <t>Soochow Securities International Capital Limited</t>
        </is>
      </c>
      <c r="BT10" s="63" t="inlineStr">
        <is>
          <t>SPDB International Capital Limited; BOCOM International Securities Limited; Yue Xiu Securities Company Limited; Shanxi Securities International Limited; Elstone Securities Limited</t>
        </is>
      </c>
      <c r="BU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V10" s="78">
        <f>HYPERLINK("https://www1.hkexnews.hk/listedco/listconews/sehk/2020/1231/2020123100103.pdf","prospectus")</f>
        <v/>
      </c>
      <c r="BW10" s="78">
        <f>HYPERLINK("https://www1.hkexnews.hk/listedco/listconews/sehk/2021/0114/2021011400022.htm","allotment")</f>
        <v/>
      </c>
      <c r="BX10" s="63" t="n"/>
      <c r="BY10" s="76" t="n"/>
      <c r="BZ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72" t="n"/>
      <c r="AC11" s="66" t="n"/>
      <c r="AD11" s="72" t="n"/>
      <c r="AE11" s="63" t="n"/>
      <c r="AF11" s="63" t="inlineStr">
        <is>
          <t>lapsed</t>
        </is>
      </c>
      <c r="AG11" s="63" t="inlineStr">
        <is>
          <t>2021-02-07</t>
        </is>
      </c>
      <c r="AH11" s="63" t="inlineStr">
        <is>
          <t>Huatai Financial Holdings</t>
        </is>
      </c>
      <c r="AI11" s="63" t="inlineStr">
        <is>
          <t>Huatai</t>
        </is>
      </c>
      <c r="AJ11" s="73" t="n">
        <v>-8.17</v>
      </c>
      <c r="AK11" s="72" t="n">
        <v>-4.9</v>
      </c>
      <c r="AL11" s="72" t="n">
        <v>-3.44</v>
      </c>
      <c r="AM11" s="72" t="n">
        <v>-11.59</v>
      </c>
      <c r="AN11" s="72" t="n">
        <v>-34.03</v>
      </c>
      <c r="AO11" s="72" t="n">
        <v>-36.85</v>
      </c>
      <c r="AP11" s="72" t="n">
        <v>-3.72</v>
      </c>
      <c r="AQ11" s="72" t="n">
        <v>-28.16</v>
      </c>
      <c r="AR11" s="72" t="n">
        <v>-31.23</v>
      </c>
      <c r="AS11" s="72" t="n">
        <v>-13.66</v>
      </c>
      <c r="AT11" s="72" t="n">
        <v>-36.68</v>
      </c>
      <c r="AU11" s="72" t="n">
        <v>-47.57</v>
      </c>
      <c r="AV11" s="72" t="n">
        <v>-30.78</v>
      </c>
      <c r="AW11" s="72" t="n">
        <v>2.65</v>
      </c>
      <c r="AX11" s="72" t="n">
        <v>2.62</v>
      </c>
      <c r="AY11" s="63" t="inlineStr">
        <is>
          <t>Hang Seng Properties sub-index</t>
        </is>
      </c>
      <c r="AZ11" s="72" t="n">
        <v>-85.09999999999999</v>
      </c>
      <c r="BA11" s="64" t="inlineStr">
        <is>
          <t>2026-08-28</t>
        </is>
      </c>
      <c r="BB11" s="65" t="n">
        <v>1410.2</v>
      </c>
      <c r="BC11" s="68" t="n">
        <v>124.5</v>
      </c>
      <c r="BD11" s="63" t="inlineStr">
        <is>
          <t>Y</t>
        </is>
      </c>
      <c r="BE11" s="74" t="n">
        <v>51.5</v>
      </c>
      <c r="BF11" s="74" t="n">
        <v>10.7</v>
      </c>
      <c r="BG11" s="74" t="n">
        <v>5.9</v>
      </c>
      <c r="BH11" s="74" t="n">
        <v>4.5</v>
      </c>
      <c r="BI11" s="75">
        <f>IF('BBG Verify'!S11="","not filed — run on terminal",'BBG Verify'!S11)</f>
        <v/>
      </c>
      <c r="BJ11" s="76" t="inlineStr">
        <is>
          <t>N</t>
        </is>
      </c>
      <c r="BK11" s="77">
        <f>IF('BBG Verify'!K11="","not filed — run on terminal",'BBG Verify'!K11)</f>
        <v/>
      </c>
      <c r="BL11" s="63" t="inlineStr">
        <is>
          <t>N/A</t>
        </is>
      </c>
      <c r="BM11" s="63" t="inlineStr">
        <is>
          <t>N/A</t>
        </is>
      </c>
      <c r="BN11" s="63" t="inlineStr">
        <is>
          <t>N/A</t>
        </is>
      </c>
      <c r="BO11" s="63" t="inlineStr">
        <is>
          <t>N/A</t>
        </is>
      </c>
      <c r="BP11" s="63" t="inlineStr">
        <is>
          <t>N/A</t>
        </is>
      </c>
      <c r="BQ11" s="63" t="inlineStr">
        <is>
          <t>N/A</t>
        </is>
      </c>
      <c r="BR11" s="76" t="inlineStr">
        <is>
          <t>Huatai Financial Holdings (Hong Kong) Limited</t>
        </is>
      </c>
      <c r="BS11" s="63" t="inlineStr">
        <is>
          <t>Huatai Financial Holdings (Hong Kong) Limited</t>
        </is>
      </c>
      <c r="BT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U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V11" s="78">
        <f>HYPERLINK("https://www1.hkexnews.hk/listedco/listconews/sehk/2020/1231/2020123100013.pdf","prospectus")</f>
        <v/>
      </c>
      <c r="BW11" s="78">
        <f>HYPERLINK("https://www1.hkexnews.hk/listedco/listconews/sehk/2021/0114/2021011400038.htm","allotment")</f>
        <v/>
      </c>
      <c r="BX11" s="78">
        <f>HYPERLINK("https://www1.hkexnews.hk/listedco/listconews/sehk/2021/0207/2021020700027.pdf","stabilisation")</f>
        <v/>
      </c>
      <c r="BY11" s="76" t="n"/>
      <c r="BZ11" s="63" t="inlineStr">
        <is>
          <t>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72" t="n"/>
      <c r="AC12" s="66" t="n"/>
      <c r="AD12" s="72" t="n"/>
      <c r="AE12" s="63" t="n"/>
      <c r="AF12" s="63" t="inlineStr">
        <is>
          <t>full</t>
        </is>
      </c>
      <c r="AG12" s="63" t="inlineStr">
        <is>
          <t>2021-02-07</t>
        </is>
      </c>
      <c r="AH12" s="63" t="inlineStr">
        <is>
          <t>China Securities</t>
        </is>
      </c>
      <c r="AI12" s="63" t="inlineStr">
        <is>
          <t>China Securities</t>
        </is>
      </c>
      <c r="AJ12" s="73" t="n">
        <v>83.67</v>
      </c>
      <c r="AK12" s="72" t="n">
        <v>19.05</v>
      </c>
      <c r="AL12" s="72" t="n">
        <v>54.28</v>
      </c>
      <c r="AM12" s="72" t="n">
        <v>25.85</v>
      </c>
      <c r="AN12" s="72" t="n">
        <v>32.31</v>
      </c>
      <c r="AO12" s="72" t="n">
        <v>130.95</v>
      </c>
      <c r="AP12" s="72" t="n">
        <v>-31.48</v>
      </c>
      <c r="AQ12" s="72" t="n">
        <v>-27.96</v>
      </c>
      <c r="AR12" s="72" t="n">
        <v>25.74</v>
      </c>
      <c r="AS12" s="72" t="n">
        <v>22.51</v>
      </c>
      <c r="AT12" s="72" t="n">
        <v>23.23</v>
      </c>
      <c r="AU12" s="72" t="n">
        <v>130.51</v>
      </c>
      <c r="AV12" s="72" t="n">
        <v>-36.75</v>
      </c>
      <c r="AW12" s="72" t="n">
        <v>9.08</v>
      </c>
      <c r="AX12" s="72" t="n">
        <v>8.789999999999999</v>
      </c>
      <c r="AY12" s="63" t="inlineStr">
        <is>
          <t>Hang Seng Index</t>
        </is>
      </c>
      <c r="AZ12" s="72" t="n">
        <v>-95.23999999999999</v>
      </c>
      <c r="BA12" s="64" t="inlineStr">
        <is>
          <t>2026-08-28</t>
        </is>
      </c>
      <c r="BB12" s="65" t="n">
        <v>836.3</v>
      </c>
      <c r="BC12" s="68" t="n">
        <v>55.4</v>
      </c>
      <c r="BD12" s="63" t="inlineStr">
        <is>
          <t>Y</t>
        </is>
      </c>
      <c r="BE12" s="74" t="n">
        <v>61</v>
      </c>
      <c r="BF12" s="74" t="n"/>
      <c r="BG12" s="74" t="n"/>
      <c r="BH12" s="74" t="n">
        <v>4</v>
      </c>
      <c r="BI12" s="75">
        <f>IF('BBG Verify'!S12="","not filed — run on terminal",'BBG Verify'!S12)</f>
        <v/>
      </c>
      <c r="BJ12" s="76" t="inlineStr">
        <is>
          <t>N</t>
        </is>
      </c>
      <c r="BK12" s="77">
        <f>IF('BBG Verify'!K12="","not filed — run on terminal",'BBG Verify'!K12)</f>
        <v/>
      </c>
      <c r="BL12" s="63" t="inlineStr">
        <is>
          <t>N/A</t>
        </is>
      </c>
      <c r="BM12" s="63" t="inlineStr">
        <is>
          <t>N/A</t>
        </is>
      </c>
      <c r="BN12" s="63" t="inlineStr">
        <is>
          <t>N/A</t>
        </is>
      </c>
      <c r="BO12" s="63" t="inlineStr">
        <is>
          <t>N/A</t>
        </is>
      </c>
      <c r="BP12" s="63" t="inlineStr">
        <is>
          <t>N/A</t>
        </is>
      </c>
      <c r="BQ12" s="63" t="inlineStr">
        <is>
          <t>N/A</t>
        </is>
      </c>
      <c r="BR12" s="76" t="inlineStr">
        <is>
          <t>China Merchants Securities (HK) Co., Limited; China Securities (International) Corporate Finance Company Limited</t>
        </is>
      </c>
      <c r="BS12" s="63" t="inlineStr">
        <is>
          <t>China Securities (International) Corporate Finance Company Limited; China Merchants Securities (HK) Company Limited</t>
        </is>
      </c>
      <c r="BT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U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V12" s="78">
        <f>HYPERLINK("https://www1.hkexnews.hk/listedco/listconews/sehk/2020/1231/2020123100263.pdf","prospectus")</f>
        <v/>
      </c>
      <c r="BW12" s="78">
        <f>HYPERLINK("https://www1.hkexnews.hk/listedco/listconews/sehk/2021/0114/2021011400088.htm","allotment")</f>
        <v/>
      </c>
      <c r="BX12" s="78">
        <f>HYPERLINK("https://www1.hkexnews.hk/listedco/listconews/sehk/2021/0207/2021020700085.pdf","stabilisation")</f>
        <v/>
      </c>
      <c r="BY12" s="76" t="n"/>
      <c r="BZ12" s="63" t="inlineStr">
        <is>
          <t>A/H: no A-share listing · cornerstone: table parse read 80% but the institutional total implies 40% — parse rejected, the filed aggregate-amount sentence used (40.0%) · grey market: no grey-market headline on file for this deal — AAStocks publishes one per listing but keeps only recent items on the stock's news page, and no public archive of past evening sessions exists; captured from this run onward</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72" t="n"/>
      <c r="AC13" s="66" t="n"/>
      <c r="AD13" s="72" t="n"/>
      <c r="AE13" s="63" t="n"/>
      <c r="AF13" s="63" t="inlineStr">
        <is>
          <t>full</t>
        </is>
      </c>
      <c r="AG13" s="63" t="inlineStr">
        <is>
          <t>2021-02-06</t>
        </is>
      </c>
      <c r="AH13" s="63" t="inlineStr">
        <is>
          <t>Goldman Sachs</t>
        </is>
      </c>
      <c r="AI13" s="63" t="inlineStr">
        <is>
          <t>Goldman Sachs</t>
        </is>
      </c>
      <c r="AJ13" s="73" t="n">
        <v>147.91</v>
      </c>
      <c r="AK13" s="72" t="n">
        <v>121.48</v>
      </c>
      <c r="AL13" s="72" t="n">
        <v>11.93</v>
      </c>
      <c r="AM13" s="72" t="n">
        <v>135.74</v>
      </c>
      <c r="AN13" s="72" t="n">
        <v>136.12</v>
      </c>
      <c r="AO13" s="72" t="n">
        <v>38.78</v>
      </c>
      <c r="AP13" s="72" t="n">
        <v>-4.91</v>
      </c>
      <c r="AQ13" s="72" t="n">
        <v>-4.76</v>
      </c>
      <c r="AR13" s="72" t="n">
        <v>-44.02</v>
      </c>
      <c r="AS13" s="72" t="n">
        <v>124.67</v>
      </c>
      <c r="AT13" s="72" t="n">
        <v>120.78</v>
      </c>
      <c r="AU13" s="72" t="n">
        <v>41.4</v>
      </c>
      <c r="AV13" s="72" t="n">
        <v>-20.56</v>
      </c>
      <c r="AW13" s="72" t="n">
        <v>15.34</v>
      </c>
      <c r="AX13" s="72" t="n">
        <v>15.8</v>
      </c>
      <c r="AY13" s="63" t="inlineStr">
        <is>
          <t>China Biotech ETF (HS biotech proxy)</t>
        </is>
      </c>
      <c r="AZ13" s="72" t="n">
        <v>-85.17</v>
      </c>
      <c r="BA13" s="64" t="inlineStr">
        <is>
          <t>2026-08-28</t>
        </is>
      </c>
      <c r="BB13" s="65" t="n">
        <v>613.9</v>
      </c>
      <c r="BC13" s="68" t="n"/>
      <c r="BD13" s="63" t="n"/>
      <c r="BE13" s="75">
        <f>IF('BBG Verify'!O13="","not filed — run on terminal",'BBG Verify'!O13)</f>
        <v/>
      </c>
      <c r="BF13" s="74" t="n"/>
      <c r="BG13" s="74" t="n">
        <v>51.4</v>
      </c>
      <c r="BH13" s="74" t="n">
        <v>34.5</v>
      </c>
      <c r="BI13" s="75">
        <f>IF('BBG Verify'!S13="","not filed — run on terminal",'BBG Verify'!S13)</f>
        <v/>
      </c>
      <c r="BJ13" s="76" t="inlineStr">
        <is>
          <t>N</t>
        </is>
      </c>
      <c r="BK13" s="77">
        <f>IF('BBG Verify'!K13="","not filed — run on terminal",'BBG Verify'!K13)</f>
        <v/>
      </c>
      <c r="BL13" s="63" t="inlineStr">
        <is>
          <t>N/A</t>
        </is>
      </c>
      <c r="BM13" s="63" t="inlineStr">
        <is>
          <t>N/A</t>
        </is>
      </c>
      <c r="BN13" s="63" t="inlineStr">
        <is>
          <t>N/A</t>
        </is>
      </c>
      <c r="BO13" s="63" t="inlineStr">
        <is>
          <t>N/A</t>
        </is>
      </c>
      <c r="BP13" s="63" t="inlineStr">
        <is>
          <t>N/A</t>
        </is>
      </c>
      <c r="BQ13" s="63" t="inlineStr">
        <is>
          <t>N/A</t>
        </is>
      </c>
      <c r="BR13" s="76" t="inlineStr">
        <is>
          <t>Goldman Sachs (Asia) L.L.C; China International Capital Corporation Hong Kong Securities Limited</t>
        </is>
      </c>
      <c r="BS13" s="63" t="inlineStr">
        <is>
          <t>China International Capital Corporation Hong Kong Securities Limited; Goldman Sachs (Asia) L.L.C.</t>
        </is>
      </c>
      <c r="BT13" s="63" t="inlineStr">
        <is>
          <t>Goldman Sachs (Asia) L.L.C; China International Capital Corporation Hong Kong Securities Limited; Citigroup Global Markets Asia Limited; Citigroup Global Markets Limited</t>
        </is>
      </c>
      <c r="BU13" s="63" t="inlineStr">
        <is>
          <t>Citigroup Global Markets Asia Limited; China International Capital Corporation Hong Kong Securities Limited; China Merchants Securities (HK) Company Limited; Goldman Sachs (Asia) L.L.C.</t>
        </is>
      </c>
      <c r="BV13" s="78">
        <f>HYPERLINK("https://www1.hkexnews.hk/listedco/listconews/sehk/2020/1231/2020123100119.pdf","prospectus")</f>
        <v/>
      </c>
      <c r="BW13" s="78">
        <f>HYPERLINK("https://www1.hkexnews.hk/listedco/listconews/sehk/2021/0114/2021011400064.htm","allotment")</f>
        <v/>
      </c>
      <c r="BX13" s="78">
        <f>HYPERLINK("https://www1.hkexnews.hk/listedco/listconews/sehk/2021/0207/2021020700079.pdf","stabilisation")</f>
        <v/>
      </c>
      <c r="BY13" s="76" t="n"/>
      <c r="BZ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72" t="n"/>
      <c r="AC14" s="66" t="n"/>
      <c r="AD14" s="72" t="n"/>
      <c r="AE14" s="63" t="n"/>
      <c r="AF14" s="63" t="inlineStr">
        <is>
          <t>full</t>
        </is>
      </c>
      <c r="AG14" s="63" t="inlineStr">
        <is>
          <t>2021-02-07</t>
        </is>
      </c>
      <c r="AH14" s="63" t="inlineStr">
        <is>
          <t>ABCI Securities Company Limited</t>
        </is>
      </c>
      <c r="AI14" s="63" t="inlineStr">
        <is>
          <t>ABCI</t>
        </is>
      </c>
      <c r="AJ14" s="73" t="n">
        <v>21.95</v>
      </c>
      <c r="AK14" s="72" t="n">
        <v>38.21</v>
      </c>
      <c r="AL14" s="72" t="n">
        <v>-11.76</v>
      </c>
      <c r="AM14" s="72" t="n">
        <v>10.57</v>
      </c>
      <c r="AN14" s="72" t="n">
        <v>8.130000000000001</v>
      </c>
      <c r="AO14" s="72" t="n">
        <v>21.14</v>
      </c>
      <c r="AP14" s="72" t="n">
        <v>-9.33</v>
      </c>
      <c r="AQ14" s="72" t="n">
        <v>-11.33</v>
      </c>
      <c r="AR14" s="72" t="n">
        <v>-0.66</v>
      </c>
      <c r="AS14" s="72" t="n">
        <v>7.23</v>
      </c>
      <c r="AT14" s="72" t="n">
        <v>-0.95</v>
      </c>
      <c r="AU14" s="72" t="n">
        <v>20.7</v>
      </c>
      <c r="AV14" s="72" t="n">
        <v>-20.12</v>
      </c>
      <c r="AW14" s="72" t="n">
        <v>9.08</v>
      </c>
      <c r="AX14" s="72" t="n">
        <v>8.789999999999999</v>
      </c>
      <c r="AY14" s="63" t="inlineStr">
        <is>
          <t>Hang Seng Index</t>
        </is>
      </c>
      <c r="AZ14" s="72" t="n">
        <v>-79.27</v>
      </c>
      <c r="BA14" s="64" t="inlineStr">
        <is>
          <t>2026-08-28</t>
        </is>
      </c>
      <c r="BB14" s="65" t="n"/>
      <c r="BC14" s="68" t="n">
        <v>52.4</v>
      </c>
      <c r="BD14" s="63" t="inlineStr">
        <is>
          <t>Y</t>
        </is>
      </c>
      <c r="BE14" s="74" t="n">
        <v>27.8</v>
      </c>
      <c r="BF14" s="74" t="n">
        <v>15.1</v>
      </c>
      <c r="BG14" s="74" t="n"/>
      <c r="BH14" s="74" t="n"/>
      <c r="BI14" s="75">
        <f>IF('BBG Verify'!S14="","not filed — run on terminal",'BBG Verify'!S14)</f>
        <v/>
      </c>
      <c r="BJ14" s="76" t="inlineStr">
        <is>
          <t>N</t>
        </is>
      </c>
      <c r="BK14" s="77">
        <f>IF('BBG Verify'!K14="","not filed — run on terminal",'BBG Verify'!K14)</f>
        <v/>
      </c>
      <c r="BL14" s="63" t="inlineStr">
        <is>
          <t>N/A</t>
        </is>
      </c>
      <c r="BM14" s="63" t="inlineStr">
        <is>
          <t>N/A</t>
        </is>
      </c>
      <c r="BN14" s="63" t="inlineStr">
        <is>
          <t>N/A</t>
        </is>
      </c>
      <c r="BO14" s="63" t="inlineStr">
        <is>
          <t>N/A</t>
        </is>
      </c>
      <c r="BP14" s="63" t="inlineStr">
        <is>
          <t>N/A</t>
        </is>
      </c>
      <c r="BQ14" s="63" t="inlineStr">
        <is>
          <t>N/A</t>
        </is>
      </c>
      <c r="BR14" s="76" t="n"/>
      <c r="BS14" s="63" t="inlineStr">
        <is>
          <t>ABCI Capital Limited</t>
        </is>
      </c>
      <c r="BT14" s="63" t="inlineStr">
        <is>
          <t>ABCI Securities Company Limited; Alpha International Securities (HK) Limited; Beta International Securities Limited; China Sky Securities Limited; Fosun Hani Securities Limited; Futu Securities International (Hong Kong) Limited</t>
        </is>
      </c>
      <c r="BU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V14" s="78">
        <f>HYPERLINK("https://www1.hkexnews.hk/listedco/listconews/sehk/2020/1231/2020123100280.htm","prospectus")</f>
        <v/>
      </c>
      <c r="BW14" s="78">
        <f>HYPERLINK("https://www1.hkexnews.hk/listedco/listconews/sehk/2021/0114/2021011400106.htm","allotment")</f>
        <v/>
      </c>
      <c r="BX14" s="78">
        <f>HYPERLINK("https://www1.hkexnews.hk/listedco/listconews/sehk/2021/0207/2021020700025.pdf","stabilisation")</f>
        <v/>
      </c>
      <c r="BY14" s="76" t="n"/>
      <c r="BZ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72" t="n"/>
      <c r="AC15" s="66" t="n"/>
      <c r="AD15" s="72" t="n"/>
      <c r="AE15" s="63" t="n"/>
      <c r="AF15" s="63" t="inlineStr">
        <is>
          <t>lapsed (no over-allocation)</t>
        </is>
      </c>
      <c r="AG15" s="63" t="inlineStr">
        <is>
          <t>2021-02-06</t>
        </is>
      </c>
      <c r="AH15" s="63" t="inlineStr">
        <is>
          <t>Elstone Securities Limited</t>
        </is>
      </c>
      <c r="AI15" s="63" t="inlineStr">
        <is>
          <t>Elstone</t>
        </is>
      </c>
      <c r="AJ15" s="73" t="n">
        <v>-36</v>
      </c>
      <c r="AK15" s="72" t="n">
        <v>-10</v>
      </c>
      <c r="AL15" s="72" t="n">
        <v>-28.89</v>
      </c>
      <c r="AM15" s="72" t="n">
        <v>-48</v>
      </c>
      <c r="AN15" s="72" t="n">
        <v>-50.4</v>
      </c>
      <c r="AO15" s="72" t="n">
        <v>-52.4</v>
      </c>
      <c r="AP15" s="72" t="n">
        <v>-18.75</v>
      </c>
      <c r="AQ15" s="72" t="n">
        <v>-22.5</v>
      </c>
      <c r="AR15" s="72" t="n">
        <v>-25.63</v>
      </c>
      <c r="AS15" s="72" t="n">
        <v>-49.1</v>
      </c>
      <c r="AT15" s="72" t="n">
        <v>-52.84</v>
      </c>
      <c r="AU15" s="72" t="n">
        <v>-63.17</v>
      </c>
      <c r="AV15" s="72" t="n">
        <v>-24.39</v>
      </c>
      <c r="AW15" s="72" t="n">
        <v>2.44</v>
      </c>
      <c r="AX15" s="72" t="n">
        <v>1.89</v>
      </c>
      <c r="AY15" s="63" t="inlineStr">
        <is>
          <t>Hang Seng Properties sub-index</t>
        </is>
      </c>
      <c r="AZ15" s="72" t="n">
        <v>-79.59999999999999</v>
      </c>
      <c r="BA15" s="64" t="inlineStr">
        <is>
          <t>2026-08-28</t>
        </is>
      </c>
      <c r="BB15" s="65" t="n">
        <v>244.7</v>
      </c>
      <c r="BC15" s="68" t="n">
        <v>38.8</v>
      </c>
      <c r="BD15" s="63" t="inlineStr">
        <is>
          <t>Y</t>
        </is>
      </c>
      <c r="BE15" s="74" t="n">
        <v>17.3</v>
      </c>
      <c r="BF15" s="74" t="n"/>
      <c r="BG15" s="74" t="n">
        <v>9.300000000000001</v>
      </c>
      <c r="BH15" s="74" t="n">
        <v>2.7</v>
      </c>
      <c r="BI15" s="75">
        <f>IF('BBG Verify'!S15="","not filed — run on terminal",'BBG Verify'!S15)</f>
        <v/>
      </c>
      <c r="BJ15" s="76" t="inlineStr">
        <is>
          <t>N</t>
        </is>
      </c>
      <c r="BK15" s="77">
        <f>IF('BBG Verify'!K15="","not filed — run on terminal",'BBG Verify'!K15)</f>
        <v/>
      </c>
      <c r="BL15" s="63" t="inlineStr">
        <is>
          <t>N/A</t>
        </is>
      </c>
      <c r="BM15" s="63" t="inlineStr">
        <is>
          <t>N/A</t>
        </is>
      </c>
      <c r="BN15" s="63" t="inlineStr">
        <is>
          <t>N/A</t>
        </is>
      </c>
      <c r="BO15" s="63" t="inlineStr">
        <is>
          <t>N/A</t>
        </is>
      </c>
      <c r="BP15" s="63" t="inlineStr">
        <is>
          <t>N/A</t>
        </is>
      </c>
      <c r="BQ15" s="63" t="inlineStr">
        <is>
          <t>N/A</t>
        </is>
      </c>
      <c r="BR15" s="76" t="inlineStr">
        <is>
          <t>Cinda International Capital Limited</t>
        </is>
      </c>
      <c r="BS15" s="63" t="inlineStr">
        <is>
          <t>Cinda International Capital Limited</t>
        </is>
      </c>
      <c r="BT15" s="63" t="inlineStr">
        <is>
          <t>Cinda International Capital Limited; Elstone Securities Limited; CCB International Capital Limited; Crosby Securities Limited</t>
        </is>
      </c>
      <c r="BU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V15" s="78">
        <f>HYPERLINK("https://www1.hkexnews.hk/listedco/listconews/sehk/2020/1231/2020123100097.pdf","prospectus")</f>
        <v/>
      </c>
      <c r="BW15" s="78">
        <f>HYPERLINK("https://www1.hkexnews.hk/listedco/listconews/sehk/2021/0115/2021011500020.htm","allotment")</f>
        <v/>
      </c>
      <c r="BX15" s="78">
        <f>HYPERLINK("https://www1.hkexnews.hk/listedco/listconews/sehk/2021/0208/2021020800187.pdf","stabilisation")</f>
        <v/>
      </c>
      <c r="BY15" s="76" t="n"/>
      <c r="BZ15"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72" t="n"/>
      <c r="AC16" s="66" t="n"/>
      <c r="AD16" s="72" t="n"/>
      <c r="AE16" s="63" t="n"/>
      <c r="AF16" s="63" t="inlineStr">
        <is>
          <t>lapsed</t>
        </is>
      </c>
      <c r="AG16" s="63" t="n"/>
      <c r="AH16" s="63" t="n"/>
      <c r="AI16" s="63" t="n"/>
      <c r="AJ16" s="73" t="n">
        <v>26.33</v>
      </c>
      <c r="AK16" s="72" t="n">
        <v>33.33</v>
      </c>
      <c r="AL16" s="72" t="n">
        <v>-5.25</v>
      </c>
      <c r="AM16" s="72" t="n">
        <v>24.67</v>
      </c>
      <c r="AN16" s="72" t="n">
        <v>22.67</v>
      </c>
      <c r="AO16" s="72" t="n">
        <v>-8.33</v>
      </c>
      <c r="AP16" s="72" t="n">
        <v>-1.31</v>
      </c>
      <c r="AQ16" s="72" t="n">
        <v>-2.9</v>
      </c>
      <c r="AR16" s="72" t="n">
        <v>-27.44</v>
      </c>
      <c r="AS16" s="72" t="n">
        <v>17.7</v>
      </c>
      <c r="AT16" s="72" t="n">
        <v>14.24</v>
      </c>
      <c r="AU16" s="72" t="n">
        <v>-9.49</v>
      </c>
      <c r="AV16" s="72" t="n">
        <v>-10.16</v>
      </c>
      <c r="AW16" s="72" t="n">
        <v>8.43</v>
      </c>
      <c r="AX16" s="72" t="n">
        <v>7.26</v>
      </c>
      <c r="AY16" s="63" t="inlineStr">
        <is>
          <t>China Biotech ETF (HS biotech proxy)</t>
        </is>
      </c>
      <c r="AZ16" s="72" t="n">
        <v>-42.67</v>
      </c>
      <c r="BA16" s="64" t="inlineStr">
        <is>
          <t>2026-08-28</t>
        </is>
      </c>
      <c r="BB16" s="65" t="n">
        <v>469.9</v>
      </c>
      <c r="BC16" s="68" t="n">
        <v>28.6</v>
      </c>
      <c r="BD16" s="63" t="inlineStr">
        <is>
          <t>Y</t>
        </is>
      </c>
      <c r="BE16" s="74" t="n">
        <v>26.2</v>
      </c>
      <c r="BF16" s="74" t="n"/>
      <c r="BG16" s="74" t="n">
        <v>10.6</v>
      </c>
      <c r="BH16" s="74" t="n">
        <v>1.6</v>
      </c>
      <c r="BI16" s="75">
        <f>IF('BBG Verify'!S16="","not filed — run on terminal",'BBG Verify'!S16)</f>
        <v/>
      </c>
      <c r="BJ16" s="76" t="inlineStr">
        <is>
          <t>N</t>
        </is>
      </c>
      <c r="BK16" s="77">
        <f>IF('BBG Verify'!K16="","not filed — run on terminal",'BBG Verify'!K16)</f>
        <v/>
      </c>
      <c r="BL16" s="63" t="inlineStr">
        <is>
          <t>N/A</t>
        </is>
      </c>
      <c r="BM16" s="63" t="inlineStr">
        <is>
          <t>N/A</t>
        </is>
      </c>
      <c r="BN16" s="63" t="inlineStr">
        <is>
          <t>N/A</t>
        </is>
      </c>
      <c r="BO16" s="63" t="inlineStr">
        <is>
          <t>N/A</t>
        </is>
      </c>
      <c r="BP16" s="63" t="inlineStr">
        <is>
          <t>N/A</t>
        </is>
      </c>
      <c r="BQ16" s="63" t="inlineStr">
        <is>
          <t>N/A</t>
        </is>
      </c>
      <c r="BR16" s="76" t="inlineStr">
        <is>
          <t>CEB International Capital Corporation Limited</t>
        </is>
      </c>
      <c r="BS16" s="63" t="inlineStr">
        <is>
          <t>CEB International Capital Corporation Limited</t>
        </is>
      </c>
      <c r="BT16" s="63" t="inlineStr">
        <is>
          <t>CEB International Capital Corporation Limited; Aristo Securities Limited; BOCOM International Securities Limited; CMBC Securities Company Limited; SPDB International Capital Limited</t>
        </is>
      </c>
      <c r="BU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V16" s="78">
        <f>HYPERLINK("https://www1.hkexnews.hk/listedco/listconews/sehk/2020/1231/2020123100137.pdf","prospectus")</f>
        <v/>
      </c>
      <c r="BW16" s="78">
        <f>HYPERLINK("https://www1.hkexnews.hk/listedco/listconews/sehk/2021/0118/2021011800013.htm","allotment")</f>
        <v/>
      </c>
      <c r="BX16" s="78">
        <f>HYPERLINK("https://www1.hkexnews.hk/listedco/listconews/sehk/2021/0209/2021020900406.pdf","stabilisation")</f>
        <v/>
      </c>
      <c r="BY16" s="76" t="n"/>
      <c r="BZ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72" t="n"/>
      <c r="AC17" s="66" t="n"/>
      <c r="AD17" s="72" t="n"/>
      <c r="AE17" s="63" t="n"/>
      <c r="AF17" s="63" t="inlineStr">
        <is>
          <t>partial</t>
        </is>
      </c>
      <c r="AG17" s="63" t="inlineStr">
        <is>
          <t>2021-02-18</t>
        </is>
      </c>
      <c r="AH17" s="63" t="inlineStr">
        <is>
          <t>CCB International Capital Limited</t>
        </is>
      </c>
      <c r="AI17" s="63" t="inlineStr">
        <is>
          <t>CCB</t>
        </is>
      </c>
      <c r="AJ17" s="73" t="n">
        <v>3.63</v>
      </c>
      <c r="AK17" s="72" t="n">
        <v>13.99</v>
      </c>
      <c r="AL17" s="72" t="n">
        <v>-9.09</v>
      </c>
      <c r="AM17" s="72" t="n">
        <v>3.11</v>
      </c>
      <c r="AN17" s="72" t="n">
        <v>-8.029999999999999</v>
      </c>
      <c r="AO17" s="72" t="n">
        <v>16.58</v>
      </c>
      <c r="AP17" s="72" t="n">
        <v>-0.5</v>
      </c>
      <c r="AQ17" s="72" t="n">
        <v>-11.25</v>
      </c>
      <c r="AR17" s="72" t="n">
        <v>12.5</v>
      </c>
      <c r="AS17" s="72" t="n">
        <v>5.99</v>
      </c>
      <c r="AT17" s="72" t="n">
        <v>-16.36</v>
      </c>
      <c r="AU17" s="72" t="n">
        <v>8.76</v>
      </c>
      <c r="AV17" s="72" t="n">
        <v>-19.34</v>
      </c>
      <c r="AW17" s="72" t="n">
        <v>8.33</v>
      </c>
      <c r="AX17" s="72" t="n">
        <v>8.09</v>
      </c>
      <c r="AY17" s="63" t="inlineStr">
        <is>
          <t>Hang Seng Properties sub-index</t>
        </is>
      </c>
      <c r="AZ17" s="72" t="n">
        <v>-64.38</v>
      </c>
      <c r="BA17" s="64" t="inlineStr">
        <is>
          <t>2026-08-28</t>
        </is>
      </c>
      <c r="BB17" s="65" t="n">
        <v>426</v>
      </c>
      <c r="BC17" s="68" t="n"/>
      <c r="BD17" s="63" t="n"/>
      <c r="BE17" s="75">
        <f>IF('BBG Verify'!O17="","not filed — run on terminal",'BBG Verify'!O17)</f>
        <v/>
      </c>
      <c r="BF17" s="74" t="n"/>
      <c r="BG17" s="74" t="n">
        <v>7.9</v>
      </c>
      <c r="BH17" s="74" t="n">
        <v>8.199999999999999</v>
      </c>
      <c r="BI17" s="75">
        <f>IF('BBG Verify'!S17="","not filed — run on terminal",'BBG Verify'!S17)</f>
        <v/>
      </c>
      <c r="BJ17" s="76" t="inlineStr">
        <is>
          <t>N</t>
        </is>
      </c>
      <c r="BK17" s="77">
        <f>IF('BBG Verify'!K17="","not filed — run on terminal",'BBG Verify'!K17)</f>
        <v/>
      </c>
      <c r="BL17" s="63" t="inlineStr">
        <is>
          <t>N/A</t>
        </is>
      </c>
      <c r="BM17" s="63" t="inlineStr">
        <is>
          <t>N/A</t>
        </is>
      </c>
      <c r="BN17" s="63" t="inlineStr">
        <is>
          <t>N/A</t>
        </is>
      </c>
      <c r="BO17" s="63" t="inlineStr">
        <is>
          <t>N/A</t>
        </is>
      </c>
      <c r="BP17" s="63" t="inlineStr">
        <is>
          <t>N/A</t>
        </is>
      </c>
      <c r="BQ17" s="63" t="inlineStr">
        <is>
          <t>N/A</t>
        </is>
      </c>
      <c r="BR17" s="76" t="inlineStr">
        <is>
          <t>CCB International Capital Limited; China Securities (International) Corporate Finance Company Limited</t>
        </is>
      </c>
      <c r="BS17" s="63" t="inlineStr">
        <is>
          <t>CCB International Capital Limited; China Securities (International) Corporate Finance Company Limited</t>
        </is>
      </c>
      <c r="BT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U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V17" s="78">
        <f>HYPERLINK("https://www1.hkexnews.hk/listedco/listconews/sehk/2021/0114/2021011400003.pdf","prospectus")</f>
        <v/>
      </c>
      <c r="BW17" s="78">
        <f>HYPERLINK("https://www1.hkexnews.hk/listedco/listconews/sehk/2021/0125/2021012500004.htm","allotment")</f>
        <v/>
      </c>
      <c r="BX17" s="78">
        <f>HYPERLINK("https://www1.hkexnews.hk/listedco/listconews/sehk/2021/0218/2021021800882.pdf","stabilisation")</f>
        <v/>
      </c>
      <c r="BY17" s="76" t="n"/>
      <c r="BZ17" s="63" t="inlineStr">
        <is>
          <t>P/E: net income not stated in extractable form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72" t="n"/>
      <c r="AC18" s="66" t="n"/>
      <c r="AD18" s="72" t="n"/>
      <c r="AE18" s="63" t="n"/>
      <c r="AF18" s="63" t="inlineStr">
        <is>
          <t>full</t>
        </is>
      </c>
      <c r="AG18" s="63" t="inlineStr">
        <is>
          <t>2021-02-28</t>
        </is>
      </c>
      <c r="AH18" s="63" t="n"/>
      <c r="AI18" s="63" t="n"/>
      <c r="AJ18" s="73" t="n">
        <v>54.26</v>
      </c>
      <c r="AK18" s="72" t="n">
        <v>76.23</v>
      </c>
      <c r="AL18" s="72" t="n">
        <v>-12.47</v>
      </c>
      <c r="AM18" s="72" t="n">
        <v>59.67</v>
      </c>
      <c r="AN18" s="72" t="n">
        <v>29.51</v>
      </c>
      <c r="AO18" s="72" t="n">
        <v>27.54</v>
      </c>
      <c r="AP18" s="72" t="n">
        <v>3.51</v>
      </c>
      <c r="AQ18" s="72" t="n">
        <v>-16.04</v>
      </c>
      <c r="AR18" s="72" t="n">
        <v>-17.32</v>
      </c>
      <c r="AS18" s="72" t="n">
        <v>53.43</v>
      </c>
      <c r="AT18" s="72" t="n">
        <v>48.39</v>
      </c>
      <c r="AU18" s="72" t="n">
        <v>36.5</v>
      </c>
      <c r="AV18" s="72" t="n">
        <v>2.69</v>
      </c>
      <c r="AW18" s="72" t="n">
        <v>-18.88</v>
      </c>
      <c r="AX18" s="72" t="n">
        <v>-18.73</v>
      </c>
      <c r="AY18" s="63" t="inlineStr">
        <is>
          <t>China Biotech ETF (HS biotech proxy)</t>
        </is>
      </c>
      <c r="AZ18" s="72" t="n">
        <v>-97.90000000000001</v>
      </c>
      <c r="BA18" s="64" t="inlineStr">
        <is>
          <t>2026-08-31</t>
        </is>
      </c>
      <c r="BB18" s="65" t="n">
        <v>53.3</v>
      </c>
      <c r="BC18" s="68" t="n">
        <v>-91.8</v>
      </c>
      <c r="BD18" s="63" t="inlineStr">
        <is>
          <t>N</t>
        </is>
      </c>
      <c r="BE18" s="63" t="inlineStr">
        <is>
          <t>n/m</t>
        </is>
      </c>
      <c r="BF18" s="74" t="n"/>
      <c r="BG18" s="74" t="n"/>
      <c r="BH18" s="74" t="n">
        <v>523.9</v>
      </c>
      <c r="BI18" s="75">
        <f>IF('BBG Verify'!S18="","not filed — run on terminal",'BBG Verify'!S18)</f>
        <v/>
      </c>
      <c r="BJ18" s="76" t="inlineStr">
        <is>
          <t>N</t>
        </is>
      </c>
      <c r="BK18" s="77">
        <f>IF('BBG Verify'!K18="","not filed — run on terminal",'BBG Verify'!K18)</f>
        <v/>
      </c>
      <c r="BL18" s="63" t="inlineStr">
        <is>
          <t>N/A</t>
        </is>
      </c>
      <c r="BM18" s="63" t="inlineStr">
        <is>
          <t>N/A</t>
        </is>
      </c>
      <c r="BN18" s="63" t="inlineStr">
        <is>
          <t>N/A</t>
        </is>
      </c>
      <c r="BO18" s="63" t="inlineStr">
        <is>
          <t>N/A</t>
        </is>
      </c>
      <c r="BP18" s="63" t="inlineStr">
        <is>
          <t>N/A</t>
        </is>
      </c>
      <c r="BQ18" s="63" t="inlineStr">
        <is>
          <t>N/A</t>
        </is>
      </c>
      <c r="BR18" s="76" t="n"/>
      <c r="BS18" s="63" t="inlineStr">
        <is>
          <t>China International Capital Corporation Hong Kong Securities Limited; J.P. Morgan Securities (Far East) Limited; Citigroup Global Markets Asia Limited</t>
        </is>
      </c>
      <c r="BT18" s="63" t="inlineStr">
        <is>
          <t>Citigroup Global Markets Asia Limited; China International Capital Corporation Hong Kong Securities Limited; J.P. Morgan Securities (Asia Pacific) Limited</t>
        </is>
      </c>
      <c r="BU18" s="63" t="inlineStr">
        <is>
          <t>Citigroup Global Markets Asia Limited; China International Capital Corporation Hong Kong Securities Limited; J.P. Morgan Securities (Asia Pacific) Limited</t>
        </is>
      </c>
      <c r="BV18" s="78">
        <f>HYPERLINK("https://www1.hkexnews.hk/listedco/listconews/sehk/2021/0126/2021012600169.htm","prospectus")</f>
        <v/>
      </c>
      <c r="BW18" s="78">
        <f>HYPERLINK("https://www1.hkexnews.hk/listedco/listconews/sehk/2021/0203/2021020300020.htm","allotment")</f>
        <v/>
      </c>
      <c r="BX18" s="78">
        <f>HYPERLINK("https://www1.hkexnews.hk/listedco/listconews/sehk/2021/0228/2021022800029.pdf","stabilisation")</f>
        <v/>
      </c>
      <c r="BY18" s="76" t="n"/>
      <c r="BZ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72" t="n"/>
      <c r="AC19" s="66" t="n"/>
      <c r="AD19" s="72" t="n"/>
      <c r="AE19" s="63" t="n"/>
      <c r="AF19" s="63" t="n"/>
      <c r="AG19" s="63" t="n"/>
      <c r="AH19" s="63" t="n"/>
      <c r="AI19" s="63" t="n"/>
      <c r="AJ19" s="73" t="n">
        <v>80</v>
      </c>
      <c r="AK19" s="72" t="n">
        <v>23.33</v>
      </c>
      <c r="AL19" s="72" t="n">
        <v>45.95</v>
      </c>
      <c r="AM19" s="72" t="n">
        <v>100</v>
      </c>
      <c r="AN19" s="72" t="n">
        <v>21.67</v>
      </c>
      <c r="AO19" s="72" t="n">
        <v>50</v>
      </c>
      <c r="AP19" s="72" t="n">
        <v>11.11</v>
      </c>
      <c r="AQ19" s="72" t="n">
        <v>-32.41</v>
      </c>
      <c r="AR19" s="72" t="n">
        <v>-16.67</v>
      </c>
      <c r="AS19" s="72" t="n">
        <v>93.61</v>
      </c>
      <c r="AT19" s="72" t="n">
        <v>39.37</v>
      </c>
      <c r="AU19" s="72" t="n">
        <v>56.87</v>
      </c>
      <c r="AV19" s="72" t="n">
        <v>-13.88</v>
      </c>
      <c r="AW19" s="72" t="n">
        <v>-17.7</v>
      </c>
      <c r="AX19" s="72" t="n">
        <v>-18.53</v>
      </c>
      <c r="AY19" s="63" t="inlineStr">
        <is>
          <t>China Biotech ETF (HS biotech proxy)</t>
        </is>
      </c>
      <c r="AZ19" s="72" t="n">
        <v>53.33</v>
      </c>
      <c r="BA19" s="64" t="inlineStr">
        <is>
          <t>2026-08-28</t>
        </is>
      </c>
      <c r="BB19" s="65" t="n">
        <v>381.5</v>
      </c>
      <c r="BC19" s="68" t="n">
        <v>44.3</v>
      </c>
      <c r="BD19" s="63" t="inlineStr">
        <is>
          <t>Y</t>
        </is>
      </c>
      <c r="BE19" s="74" t="n">
        <v>24.2</v>
      </c>
      <c r="BF19" s="74" t="n"/>
      <c r="BG19" s="74" t="n">
        <v>7.4</v>
      </c>
      <c r="BH19" s="74" t="n">
        <v>2.8</v>
      </c>
      <c r="BI19" s="75">
        <f>IF('BBG Verify'!S19="","not filed — run on terminal",'BBG Verify'!S19)</f>
        <v/>
      </c>
      <c r="BJ19" s="76" t="inlineStr">
        <is>
          <t>N</t>
        </is>
      </c>
      <c r="BK19" s="77">
        <f>IF('BBG Verify'!K19="","not filed — run on terminal",'BBG Verify'!K19)</f>
        <v/>
      </c>
      <c r="BL19" s="63" t="inlineStr">
        <is>
          <t>N/A</t>
        </is>
      </c>
      <c r="BM19" s="63" t="inlineStr">
        <is>
          <t>N/A</t>
        </is>
      </c>
      <c r="BN19" s="63" t="inlineStr">
        <is>
          <t>N/A</t>
        </is>
      </c>
      <c r="BO19" s="63" t="inlineStr">
        <is>
          <t>N/A</t>
        </is>
      </c>
      <c r="BP19" s="63" t="inlineStr">
        <is>
          <t>N/A</t>
        </is>
      </c>
      <c r="BQ19" s="63" t="inlineStr">
        <is>
          <t>N/A</t>
        </is>
      </c>
      <c r="BR19" s="76" t="n"/>
      <c r="BS19" s="63" t="inlineStr">
        <is>
          <t>China Galaxy International Securities (Hong Kong) Company Limited</t>
        </is>
      </c>
      <c r="BT19" s="63" t="inlineStr">
        <is>
          <t>China Galaxy International Securities (Hong Kong) Company Limited; Cinda International Capital Limited; Eddid Securities and Futures Limited; Fosun Hani Securities Limited; HeungKong Securities Limited; Maxa Capital Limited</t>
        </is>
      </c>
      <c r="BU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V19" s="78">
        <f>HYPERLINK("https://www1.hkexnews.hk/listedco/listconews/sehk/2021/0126/2021012600248.pdf","prospectus")</f>
        <v/>
      </c>
      <c r="BW19" s="78">
        <f>HYPERLINK("https://www1.hkexnews.hk/listedco/listconews/sehk/2021/0204/2021020400012.htm","allotment")</f>
        <v/>
      </c>
      <c r="BX19" s="63" t="n"/>
      <c r="BY19" s="76" t="n"/>
      <c r="BZ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72" t="n"/>
      <c r="AC20" s="66" t="n"/>
      <c r="AD20" s="72" t="n"/>
      <c r="AE20" s="63" t="n"/>
      <c r="AF20" s="63" t="inlineStr">
        <is>
          <t>full</t>
        </is>
      </c>
      <c r="AG20" s="63" t="inlineStr">
        <is>
          <t>2021-02-28</t>
        </is>
      </c>
      <c r="AH20" s="63" t="inlineStr">
        <is>
          <t>Morgan Stanley Asia Limited</t>
        </is>
      </c>
      <c r="AI20" s="63" t="inlineStr">
        <is>
          <t>Morgan Stanley</t>
        </is>
      </c>
      <c r="AJ20" s="73" t="n">
        <v>160.87</v>
      </c>
      <c r="AK20" s="72" t="n">
        <v>193.91</v>
      </c>
      <c r="AL20" s="72" t="n">
        <v>-11.24</v>
      </c>
      <c r="AM20" s="72" t="n">
        <v>250.43</v>
      </c>
      <c r="AN20" s="72" t="n">
        <v>141.91</v>
      </c>
      <c r="AO20" s="72" t="n">
        <v>105.39</v>
      </c>
      <c r="AP20" s="72" t="n">
        <v>34.33</v>
      </c>
      <c r="AQ20" s="72" t="n">
        <v>-7.27</v>
      </c>
      <c r="AR20" s="72" t="n">
        <v>-21.27</v>
      </c>
      <c r="AS20" s="72" t="n">
        <v>242.45</v>
      </c>
      <c r="AT20" s="72" t="n">
        <v>158.43</v>
      </c>
      <c r="AU20" s="72" t="n">
        <v>126.23</v>
      </c>
      <c r="AV20" s="72" t="n">
        <v>8.470000000000001</v>
      </c>
      <c r="AW20" s="72" t="n">
        <v>-16.52</v>
      </c>
      <c r="AX20" s="72" t="n">
        <v>-15.74</v>
      </c>
      <c r="AY20" s="63" t="inlineStr">
        <is>
          <t>HSTECH (Hang Seng TECH ETF)</t>
        </is>
      </c>
      <c r="AZ20" s="72" t="n">
        <v>-70.90000000000001</v>
      </c>
      <c r="BA20" s="64" t="inlineStr">
        <is>
          <t>2026-08-28</t>
        </is>
      </c>
      <c r="BB20" s="65" t="n"/>
      <c r="BC20" s="68" t="n"/>
      <c r="BD20" s="63" t="n"/>
      <c r="BE20" s="75">
        <f>IF('BBG Verify'!O20="","not filed — run on terminal",'BBG Verify'!O20)</f>
        <v/>
      </c>
      <c r="BF20" s="74" t="n"/>
      <c r="BG20" s="74" t="n">
        <v>8</v>
      </c>
      <c r="BH20" s="74" t="n"/>
      <c r="BI20" s="75">
        <f>IF('BBG Verify'!S20="","not filed — run on terminal",'BBG Verify'!S20)</f>
        <v/>
      </c>
      <c r="BJ20" s="76" t="inlineStr">
        <is>
          <t>N</t>
        </is>
      </c>
      <c r="BK20" s="77">
        <f>IF('BBG Verify'!K20="","not filed — run on terminal",'BBG Verify'!K20)</f>
        <v/>
      </c>
      <c r="BL20" s="63" t="inlineStr">
        <is>
          <t>N/A</t>
        </is>
      </c>
      <c r="BM20" s="63" t="inlineStr">
        <is>
          <t>N/A</t>
        </is>
      </c>
      <c r="BN20" s="63" t="inlineStr">
        <is>
          <t>N/A</t>
        </is>
      </c>
      <c r="BO20" s="63" t="inlineStr">
        <is>
          <t>N/A</t>
        </is>
      </c>
      <c r="BP20" s="63" t="inlineStr">
        <is>
          <t>N/A</t>
        </is>
      </c>
      <c r="BQ20" s="63" t="inlineStr">
        <is>
          <t>N/A</t>
        </is>
      </c>
      <c r="BR20" s="76" t="n"/>
      <c r="BS20" s="63" t="inlineStr">
        <is>
          <t>Morgan Stanley Asia Limited; Merrill Lynch Far East Limited; China Renaissance Securities (Hong Kong) Limited</t>
        </is>
      </c>
      <c r="BT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V20" s="78">
        <f>HYPERLINK("https://www1.hkexnews.hk/listedco/listconews/sehk/2021/0126/2021012600093.htm","prospectus")</f>
        <v/>
      </c>
      <c r="BW20" s="78">
        <f>HYPERLINK("https://www1.hkexnews.hk/listedco/listconews/sehk/2021/0204/2021020400034.htm","allotment")</f>
        <v/>
      </c>
      <c r="BX20" s="78">
        <f>HYPERLINK("https://www1.hkexnews.hk/listedco/listconews/sehk/2021/0301/2021030100029.pdf","stabilisation")</f>
        <v/>
      </c>
      <c r="BY20" s="76" t="n"/>
      <c r="BZ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72" t="n"/>
      <c r="AC21" s="66" t="n"/>
      <c r="AD21" s="72" t="n"/>
      <c r="AE21" s="63" t="n"/>
      <c r="AF21" s="63" t="inlineStr">
        <is>
          <t>partial</t>
        </is>
      </c>
      <c r="AG21" s="63" t="inlineStr">
        <is>
          <t>2021-03-03</t>
        </is>
      </c>
      <c r="AH21" s="63" t="inlineStr">
        <is>
          <t>CLSA Limited</t>
        </is>
      </c>
      <c r="AI21" s="63" t="inlineStr">
        <is>
          <t>CLSA</t>
        </is>
      </c>
      <c r="AJ21" s="73" t="n">
        <v>1.24</v>
      </c>
      <c r="AK21" s="72" t="n">
        <v>9.65</v>
      </c>
      <c r="AL21" s="72" t="n">
        <v>-7.67</v>
      </c>
      <c r="AM21" s="72" t="n">
        <v>16.96</v>
      </c>
      <c r="AN21" s="72" t="n">
        <v>-25.26</v>
      </c>
      <c r="AO21" s="72" t="n">
        <v>-1.32</v>
      </c>
      <c r="AP21" s="72" t="n">
        <v>15.53</v>
      </c>
      <c r="AQ21" s="72" t="n">
        <v>-26.18</v>
      </c>
      <c r="AR21" s="72" t="n">
        <v>-2.53</v>
      </c>
      <c r="AS21" s="72" t="n">
        <v>11.93</v>
      </c>
      <c r="AT21" s="72" t="n">
        <v>-9.67</v>
      </c>
      <c r="AU21" s="72" t="n">
        <v>6.3</v>
      </c>
      <c r="AV21" s="72" t="n">
        <v>-9.880000000000001</v>
      </c>
      <c r="AW21" s="72" t="n">
        <v>-15.59</v>
      </c>
      <c r="AX21" s="72" t="n">
        <v>-16.3</v>
      </c>
      <c r="AY21" s="63" t="inlineStr">
        <is>
          <t>China Biotech ETF (HS biotech proxy)</t>
        </is>
      </c>
      <c r="AZ21" s="72" t="n">
        <v>-95.06999999999999</v>
      </c>
      <c r="BA21" s="64" t="inlineStr">
        <is>
          <t>2026-08-28</t>
        </is>
      </c>
      <c r="BB21" s="65" t="n">
        <v>46</v>
      </c>
      <c r="BC21" s="68" t="n"/>
      <c r="BD21" s="63" t="n"/>
      <c r="BE21" s="75">
        <f>IF('BBG Verify'!O21="","not filed — run on terminal",'BBG Verify'!O21)</f>
        <v/>
      </c>
      <c r="BF21" s="74" t="n"/>
      <c r="BG21" s="74" t="n"/>
      <c r="BH21" s="74" t="n">
        <v>159.7</v>
      </c>
      <c r="BI21" s="75">
        <f>IF('BBG Verify'!S21="","not filed — run on terminal",'BBG Verify'!S21)</f>
        <v/>
      </c>
      <c r="BJ21" s="76" t="inlineStr">
        <is>
          <t>N</t>
        </is>
      </c>
      <c r="BK21" s="77">
        <f>IF('BBG Verify'!K21="","not filed — run on terminal",'BBG Verify'!K21)</f>
        <v/>
      </c>
      <c r="BL21" s="63" t="inlineStr">
        <is>
          <t>N/A</t>
        </is>
      </c>
      <c r="BM21" s="63" t="inlineStr">
        <is>
          <t>N/A</t>
        </is>
      </c>
      <c r="BN21" s="63" t="inlineStr">
        <is>
          <t>N/A</t>
        </is>
      </c>
      <c r="BO21" s="63" t="inlineStr">
        <is>
          <t>N/A</t>
        </is>
      </c>
      <c r="BP21" s="63" t="inlineStr">
        <is>
          <t>N/A</t>
        </is>
      </c>
      <c r="BQ21" s="63" t="inlineStr">
        <is>
          <t>N/A</t>
        </is>
      </c>
      <c r="BR21" s="76" t="n"/>
      <c r="BS21" s="63" t="inlineStr">
        <is>
          <t>CLSA Capital Markets Limited</t>
        </is>
      </c>
      <c r="BT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V21" s="78">
        <f>HYPERLINK("https://www1.hkexnews.hk/listedco/listconews/sehk/2021/0127/2021012700036.htm","prospectus")</f>
        <v/>
      </c>
      <c r="BW21" s="78">
        <f>HYPERLINK("https://www1.hkexnews.hk/listedco/listconews/sehk/2021/0205/2021020500040.htm","allotment")</f>
        <v/>
      </c>
      <c r="BX21" s="78">
        <f>HYPERLINK("https://www1.hkexnews.hk/listedco/listconews/sehk/2021/0304/2021030400005.pdf","stabilisation")</f>
        <v/>
      </c>
      <c r="BY21" s="76" t="n"/>
      <c r="BZ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72" t="n"/>
      <c r="AC22" s="66" t="n"/>
      <c r="AD22" s="72" t="n"/>
      <c r="AE22" s="63" t="n"/>
      <c r="AF22" s="63" t="n"/>
      <c r="AG22" s="63" t="n"/>
      <c r="AH22" s="63" t="inlineStr">
        <is>
          <t>Stabilisin g Manager</t>
        </is>
      </c>
      <c r="AI22" s="63" t="inlineStr">
        <is>
          <t>Stabilisin g</t>
        </is>
      </c>
      <c r="AJ22" s="73" t="n">
        <v>26.79</v>
      </c>
      <c r="AK22" s="72" t="n">
        <v>19.64</v>
      </c>
      <c r="AL22" s="72" t="n">
        <v>5.98</v>
      </c>
      <c r="AM22" s="72" t="n">
        <v>1.79</v>
      </c>
      <c r="AN22" s="72" t="n">
        <v>8.93</v>
      </c>
      <c r="AO22" s="72" t="n">
        <v>16.07</v>
      </c>
      <c r="AP22" s="72" t="n">
        <v>-19.72</v>
      </c>
      <c r="AQ22" s="72" t="n">
        <v>-14.09</v>
      </c>
      <c r="AR22" s="72" t="n">
        <v>-8.449999999999999</v>
      </c>
      <c r="AS22" s="72" t="n">
        <v>18.57</v>
      </c>
      <c r="AT22" s="72" t="n">
        <v>30.32</v>
      </c>
      <c r="AU22" s="72" t="n">
        <v>41.65</v>
      </c>
      <c r="AV22" s="72" t="n">
        <v>5.58</v>
      </c>
      <c r="AW22" s="72" t="n">
        <v>-21.39</v>
      </c>
      <c r="AX22" s="72" t="n">
        <v>-19.67</v>
      </c>
      <c r="AY22" s="63" t="inlineStr">
        <is>
          <t>HSTECH (Hang Seng TECH ETF)</t>
        </is>
      </c>
      <c r="AZ22" s="72" t="n">
        <v>119.64</v>
      </c>
      <c r="BA22" s="64" t="inlineStr">
        <is>
          <t>2026-08-28</t>
        </is>
      </c>
      <c r="BB22" s="65" t="n"/>
      <c r="BC22" s="68" t="n">
        <v>34.9</v>
      </c>
      <c r="BD22" s="63" t="inlineStr">
        <is>
          <t>Y</t>
        </is>
      </c>
      <c r="BE22" s="74" t="n">
        <v>14.4</v>
      </c>
      <c r="BF22" s="74" t="n"/>
      <c r="BG22" s="74" t="n">
        <v>37.1</v>
      </c>
      <c r="BH22" s="74" t="n"/>
      <c r="BI22" s="75">
        <f>IF('BBG Verify'!S22="","not filed — run on terminal",'BBG Verify'!S22)</f>
        <v/>
      </c>
      <c r="BJ22" s="76" t="inlineStr">
        <is>
          <t>N</t>
        </is>
      </c>
      <c r="BK22" s="77">
        <f>IF('BBG Verify'!K22="","not filed — run on terminal",'BBG Verify'!K22)</f>
        <v/>
      </c>
      <c r="BL22" s="63" t="inlineStr">
        <is>
          <t>N/A</t>
        </is>
      </c>
      <c r="BM22" s="63" t="inlineStr">
        <is>
          <t>N/A</t>
        </is>
      </c>
      <c r="BN22" s="63" t="inlineStr">
        <is>
          <t>N/A</t>
        </is>
      </c>
      <c r="BO22" s="63" t="inlineStr">
        <is>
          <t>N/A</t>
        </is>
      </c>
      <c r="BP22" s="63" t="inlineStr">
        <is>
          <t>N/A</t>
        </is>
      </c>
      <c r="BQ22" s="63" t="inlineStr">
        <is>
          <t>N/A</t>
        </is>
      </c>
      <c r="BR22" s="76" t="inlineStr">
        <is>
          <t>Honestum International Limited</t>
        </is>
      </c>
      <c r="BS22" s="63" t="inlineStr">
        <is>
          <t>Honestum International Limited</t>
        </is>
      </c>
      <c r="BT22" s="63" t="inlineStr">
        <is>
          <t>CMBC Securities Company Limited; Forwin Securities Group Limited; Lego Securities Limited; Crosby Securities Limited; GLAM Capital Limited</t>
        </is>
      </c>
      <c r="BU22" s="63" t="inlineStr">
        <is>
          <t>CMBC Securities Company Limited; Crosby Securities Limited; Enhanced Securities Limited; Forwin Securities Group Limited; GLAM Capital Limited; Lego Securities Limited; Victory Securities Company Limited</t>
        </is>
      </c>
      <c r="BV22" s="78">
        <f>HYPERLINK("https://www1.hkexnews.hk/listedco/listconews/sehk/2021/0129/2021012901777.pdf","prospectus")</f>
        <v/>
      </c>
      <c r="BW22" s="78">
        <f>HYPERLINK("https://www1.hkexnews.hk/listedco/listconews/sehk/2021/0218/2021021800016.htm","allotment")</f>
        <v/>
      </c>
      <c r="BX22" s="78">
        <f>HYPERLINK("https://www1.hkexnews.hk/listedco/listconews/sehk/2021/0308/2021030801177.pdf","stabilisation")</f>
        <v/>
      </c>
      <c r="BY22" s="76" t="n"/>
      <c r="BZ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72" t="n"/>
      <c r="AC23" s="66" t="n"/>
      <c r="AD23" s="72" t="n"/>
      <c r="AE23" s="63" t="n"/>
      <c r="AF23" s="63" t="inlineStr">
        <is>
          <t>partial</t>
        </is>
      </c>
      <c r="AG23" s="63" t="inlineStr">
        <is>
          <t>2021-03-21</t>
        </is>
      </c>
      <c r="AH23" s="63" t="n"/>
      <c r="AI23" s="63" t="n"/>
      <c r="AJ23" s="73" t="n">
        <v>-8.609999999999999</v>
      </c>
      <c r="AK23" s="72" t="n">
        <v>-1.99</v>
      </c>
      <c r="AL23" s="72" t="n">
        <v>-6.75</v>
      </c>
      <c r="AM23" s="72" t="n">
        <v>-12.58</v>
      </c>
      <c r="AN23" s="72" t="n">
        <v>-8.48</v>
      </c>
      <c r="AO23" s="72" t="n">
        <v>4.17</v>
      </c>
      <c r="AP23" s="72" t="n">
        <v>-4.34</v>
      </c>
      <c r="AQ23" s="72" t="n">
        <v>0.14</v>
      </c>
      <c r="AR23" s="72" t="n">
        <v>13.98</v>
      </c>
      <c r="AS23" s="72" t="n">
        <v>-5.7</v>
      </c>
      <c r="AT23" s="72" t="n">
        <v>-0.34</v>
      </c>
      <c r="AU23" s="72" t="n">
        <v>-5.9</v>
      </c>
      <c r="AV23" s="72" t="n">
        <v>6.29</v>
      </c>
      <c r="AW23" s="72" t="n">
        <v>-8.140000000000001</v>
      </c>
      <c r="AX23" s="72" t="n">
        <v>-6.15</v>
      </c>
      <c r="AY23" s="63" t="inlineStr">
        <is>
          <t>China Biotech ETF (HS biotech proxy)</t>
        </is>
      </c>
      <c r="AZ23" s="72" t="n">
        <v>-55.55</v>
      </c>
      <c r="BA23" s="64" t="inlineStr">
        <is>
          <t>2026-08-31</t>
        </is>
      </c>
      <c r="BB23" s="65" t="n"/>
      <c r="BC23" s="68" t="n"/>
      <c r="BD23" s="63" t="n"/>
      <c r="BE23" s="74" t="n">
        <v>87.5</v>
      </c>
      <c r="BF23" s="74" t="n">
        <v>87.5</v>
      </c>
      <c r="BG23" s="74" t="n">
        <v>34.6</v>
      </c>
      <c r="BH23" s="74" t="n"/>
      <c r="BI23" s="75">
        <f>IF('BBG Verify'!S23="","not filed — run on terminal",'BBG Verify'!S23)</f>
        <v/>
      </c>
      <c r="BJ23" s="76" t="inlineStr">
        <is>
          <t>Y</t>
        </is>
      </c>
      <c r="BK23" s="63" t="inlineStr">
        <is>
          <t>603127.SS</t>
        </is>
      </c>
      <c r="BL23" s="72" t="n">
        <v>12.28</v>
      </c>
      <c r="BM23" s="66" t="n">
        <v>169.5434</v>
      </c>
      <c r="BN23" s="80" t="n">
        <v>1.2143</v>
      </c>
      <c r="BO23" s="68" t="n">
        <v>40631.5</v>
      </c>
      <c r="BP23" s="75">
        <f>IF('BBG Verify'!Q23="","run on terminal",'BBG Verify'!Q23)</f>
        <v/>
      </c>
      <c r="BQ23" s="75">
        <f>IF('BBG Verify'!R23="","run on terminal",'BBG Verify'!R23)</f>
        <v/>
      </c>
      <c r="BR23" s="76" t="inlineStr">
        <is>
          <t>CLSA Capital Markets Limited</t>
        </is>
      </c>
      <c r="BS23" s="63" t="inlineStr">
        <is>
          <t>CLSA Capital Markets Limited</t>
        </is>
      </c>
      <c r="BT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U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V23" s="78">
        <f>HYPERLINK("https://www1.hkexnews.hk/listedco/listconews/sehk/2021/0216/2021021600009.pdf","prospectus")</f>
        <v/>
      </c>
      <c r="BW23" s="78">
        <f>HYPERLINK("https://www1.hkexnews.hk/listedco/listconews/sehk/2021/0225/2021022500020.htm","allotment")</f>
        <v/>
      </c>
      <c r="BX23" s="78">
        <f>HYPERLINK("https://www1.hkexnews.hk/listedco/listconews/sehk/2021/0321/2021032100045.pdf","stabilisation")</f>
        <v/>
      </c>
      <c r="BY23" s="76" t="n"/>
      <c r="BZ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72" t="n"/>
      <c r="AC24" s="66" t="n"/>
      <c r="AD24" s="72" t="n"/>
      <c r="AE24" s="63" t="n"/>
      <c r="AF24" s="63" t="inlineStr">
        <is>
          <t>lapsed</t>
        </is>
      </c>
      <c r="AG24" s="63" t="inlineStr">
        <is>
          <t>2021-04-02</t>
        </is>
      </c>
      <c r="AH24" s="63" t="inlineStr">
        <is>
          <t>Morgan Stanley Asia Limited DEFINITIONS –2 8</t>
        </is>
      </c>
      <c r="AI24" s="63" t="inlineStr">
        <is>
          <t>Morgan Stanley</t>
        </is>
      </c>
      <c r="AJ24" s="73" t="n">
        <v>-13.15</v>
      </c>
      <c r="AK24" s="72" t="n">
        <v>-14.24</v>
      </c>
      <c r="AL24" s="72" t="n">
        <v>1.27</v>
      </c>
      <c r="AM24" s="72" t="n">
        <v>-9.24</v>
      </c>
      <c r="AN24" s="72" t="n">
        <v>-9.779999999999999</v>
      </c>
      <c r="AO24" s="72" t="n">
        <v>-9.779999999999999</v>
      </c>
      <c r="AP24" s="72" t="n">
        <v>4.5</v>
      </c>
      <c r="AQ24" s="72" t="n">
        <v>3.88</v>
      </c>
      <c r="AR24" s="72" t="n">
        <v>3.88</v>
      </c>
      <c r="AS24" s="72" t="n">
        <v>-12.74</v>
      </c>
      <c r="AT24" s="72" t="n">
        <v>-9.15</v>
      </c>
      <c r="AU24" s="72" t="n">
        <v>-13.12</v>
      </c>
      <c r="AV24" s="72" t="n">
        <v>6.15</v>
      </c>
      <c r="AW24" s="72" t="n">
        <v>-0.63</v>
      </c>
      <c r="AX24" s="72" t="n">
        <v>-2.27</v>
      </c>
      <c r="AY24" s="63" t="inlineStr">
        <is>
          <t>Hang Seng Commerce &amp; Industry sub-index</t>
        </is>
      </c>
      <c r="AZ24" s="72" t="n">
        <v>-75</v>
      </c>
      <c r="BA24" s="64" t="inlineStr">
        <is>
          <t>2026-08-28</t>
        </is>
      </c>
      <c r="BB24" s="65" t="n">
        <v>1521.7</v>
      </c>
      <c r="BC24" s="68" t="n">
        <v>202.8</v>
      </c>
      <c r="BD24" s="63" t="inlineStr">
        <is>
          <t>Y</t>
        </is>
      </c>
      <c r="BE24" s="74" t="n">
        <v>60.5</v>
      </c>
      <c r="BF24" s="74" t="n"/>
      <c r="BG24" s="74" t="n">
        <v>11.5</v>
      </c>
      <c r="BH24" s="74" t="n">
        <v>8.1</v>
      </c>
      <c r="BI24" s="75">
        <f>IF('BBG Verify'!S24="","not filed — run on terminal",'BBG Verify'!S24)</f>
        <v/>
      </c>
      <c r="BJ24" s="76" t="inlineStr">
        <is>
          <t>N</t>
        </is>
      </c>
      <c r="BK24" s="77">
        <f>IF('BBG Verify'!K24="","not filed — run on terminal",'BBG Verify'!K24)</f>
        <v/>
      </c>
      <c r="BL24" s="63" t="inlineStr">
        <is>
          <t>N/A</t>
        </is>
      </c>
      <c r="BM24" s="63" t="inlineStr">
        <is>
          <t>N/A</t>
        </is>
      </c>
      <c r="BN24" s="63" t="inlineStr">
        <is>
          <t>N/A</t>
        </is>
      </c>
      <c r="BO24" s="63" t="inlineStr">
        <is>
          <t>N/A</t>
        </is>
      </c>
      <c r="BP24" s="63" t="inlineStr">
        <is>
          <t>N/A</t>
        </is>
      </c>
      <c r="BQ24" s="63" t="inlineStr">
        <is>
          <t>N/A</t>
        </is>
      </c>
      <c r="BR24" s="76" t="inlineStr">
        <is>
          <t>Morgan Stanley Asia Limited; China International Capital Corporation Hong Kong Securities Limited</t>
        </is>
      </c>
      <c r="BS24" s="63" t="inlineStr">
        <is>
          <t>Morgan Stanley Asia Limited; China International Capital Corporation (HK) Ltd</t>
        </is>
      </c>
      <c r="BT24" s="63" t="inlineStr">
        <is>
          <t>Morgan Stanley Asia Limited; China International Capital Corporation Hong Kong Securities Limited</t>
        </is>
      </c>
      <c r="BU24" s="63" t="inlineStr">
        <is>
          <t>China International Capital Corporation Hong Kong Securities Limited; Futu Securities International (Hong Kong) Limited; Morgan Stanley Asia Limited</t>
        </is>
      </c>
      <c r="BV24" s="78">
        <f>HYPERLINK("https://www1.hkexnews.hk/listedco/listconews/sehk/2021/0226/2021022600033.pdf","prospectus")</f>
        <v/>
      </c>
      <c r="BW24" s="78">
        <f>HYPERLINK("https://www1.hkexnews.hk/listedco/listconews/sehk/2021/0309/2021030900022.htm","allotment")</f>
        <v/>
      </c>
      <c r="BX24" s="78">
        <f>HYPERLINK("https://www1.hkexnews.hk/listedco/listconews/sehk/2021/0407/2021040700023.pdf","stabilisation")</f>
        <v/>
      </c>
      <c r="BY24" s="76" t="n"/>
      <c r="BZ24"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72" t="n"/>
      <c r="AC25" s="66" t="n"/>
      <c r="AD25" s="72" t="n"/>
      <c r="AE25" s="63" t="n"/>
      <c r="AF25" s="63" t="n"/>
      <c r="AG25" s="63" t="n"/>
      <c r="AH25" s="63" t="inlineStr">
        <is>
          <t>Space Securities Limited</t>
        </is>
      </c>
      <c r="AI25" s="63" t="inlineStr">
        <is>
          <t>Space</t>
        </is>
      </c>
      <c r="AJ25" s="73" t="n">
        <v>-22.22</v>
      </c>
      <c r="AK25" s="72" t="n">
        <v>-5.56</v>
      </c>
      <c r="AL25" s="72" t="n">
        <v>-17.64</v>
      </c>
      <c r="AM25" s="72" t="n">
        <v>-29.63</v>
      </c>
      <c r="AN25" s="72" t="n">
        <v>-37.96</v>
      </c>
      <c r="AO25" s="72" t="n">
        <v>-40.74</v>
      </c>
      <c r="AP25" s="72" t="n">
        <v>-9.529999999999999</v>
      </c>
      <c r="AQ25" s="72" t="n">
        <v>-20.24</v>
      </c>
      <c r="AR25" s="72" t="n">
        <v>-23.81</v>
      </c>
      <c r="AS25" s="72" t="n">
        <v>-33.31</v>
      </c>
      <c r="AT25" s="72" t="n">
        <v>-38</v>
      </c>
      <c r="AU25" s="72" t="n">
        <v>-42.08</v>
      </c>
      <c r="AV25" s="72" t="n">
        <v>-17.31</v>
      </c>
      <c r="AW25" s="72" t="n">
        <v>0.04</v>
      </c>
      <c r="AX25" s="72" t="n">
        <v>-2.93</v>
      </c>
      <c r="AY25" s="63" t="inlineStr">
        <is>
          <t>Hang Seng Commerce &amp; Industry sub-index</t>
        </is>
      </c>
      <c r="AZ25" s="72" t="n">
        <v>-92.26000000000001</v>
      </c>
      <c r="BA25" s="64" t="inlineStr">
        <is>
          <t>2026-08-31</t>
        </is>
      </c>
      <c r="BB25" s="65" t="n">
        <v>404.8</v>
      </c>
      <c r="BC25" s="68" t="n">
        <v>38.4</v>
      </c>
      <c r="BD25" s="63" t="inlineStr">
        <is>
          <t>Y</t>
        </is>
      </c>
      <c r="BE25" s="74" t="n">
        <v>14.1</v>
      </c>
      <c r="BF25" s="74" t="n"/>
      <c r="BG25" s="74" t="n"/>
      <c r="BH25" s="74" t="n">
        <v>1.3</v>
      </c>
      <c r="BI25" s="75">
        <f>IF('BBG Verify'!S25="","not filed — run on terminal",'BBG Verify'!S25)</f>
        <v/>
      </c>
      <c r="BJ25" s="76" t="inlineStr">
        <is>
          <t>N</t>
        </is>
      </c>
      <c r="BK25" s="77">
        <f>IF('BBG Verify'!K25="","not filed — run on terminal",'BBG Verify'!K25)</f>
        <v/>
      </c>
      <c r="BL25" s="63" t="inlineStr">
        <is>
          <t>N/A</t>
        </is>
      </c>
      <c r="BM25" s="63" t="inlineStr">
        <is>
          <t>N/A</t>
        </is>
      </c>
      <c r="BN25" s="63" t="inlineStr">
        <is>
          <t>N/A</t>
        </is>
      </c>
      <c r="BO25" s="63" t="inlineStr">
        <is>
          <t>N/A</t>
        </is>
      </c>
      <c r="BP25" s="63" t="inlineStr">
        <is>
          <t>N/A</t>
        </is>
      </c>
      <c r="BQ25" s="63" t="inlineStr">
        <is>
          <t>N/A</t>
        </is>
      </c>
      <c r="BR25" s="76" t="n"/>
      <c r="BS25" s="63" t="inlineStr">
        <is>
          <t>Grande Capital Limited</t>
        </is>
      </c>
      <c r="BT25" s="63" t="inlineStr">
        <is>
          <t>Space Securities Limited; CMBC Securities Company Limited; Innovax Securities Limited; SPDB International Capital Limited</t>
        </is>
      </c>
      <c r="BU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V25" s="78">
        <f>HYPERLINK("https://www1.hkexnews.hk/listedco/listconews/sehk/2021/0226/2021022600013.pdf","prospectus")</f>
        <v/>
      </c>
      <c r="BW25" s="78">
        <f>HYPERLINK("https://www1.hkexnews.hk/listedco/listconews/sehk/2021/0310/2021031000014.htm","allotment")</f>
        <v/>
      </c>
      <c r="BX25" s="63" t="n"/>
      <c r="BY25" s="76" t="n"/>
      <c r="BZ25"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72" t="n"/>
      <c r="AC26" s="66" t="n"/>
      <c r="AD26" s="72" t="n"/>
      <c r="AE26" s="63" t="n"/>
      <c r="AF26" s="63" t="inlineStr">
        <is>
          <t>full</t>
        </is>
      </c>
      <c r="AG26" s="63" t="inlineStr">
        <is>
          <t>2021-04-08</t>
        </is>
      </c>
      <c r="AH26" s="63" t="n"/>
      <c r="AI26" s="63" t="n"/>
      <c r="AJ26" s="73" t="n">
        <v>2.1</v>
      </c>
      <c r="AK26" s="72" t="n">
        <v>2.67</v>
      </c>
      <c r="AL26" s="72" t="n">
        <v>-0.5600000000000001</v>
      </c>
      <c r="AM26" s="72" t="n">
        <v>10.72</v>
      </c>
      <c r="AN26" s="72" t="n">
        <v>3.52</v>
      </c>
      <c r="AO26" s="72" t="n">
        <v>-28.64</v>
      </c>
      <c r="AP26" s="72" t="n">
        <v>8.44</v>
      </c>
      <c r="AQ26" s="72" t="n">
        <v>1.39</v>
      </c>
      <c r="AR26" s="72" t="n">
        <v>-30.11</v>
      </c>
      <c r="AS26" s="72" t="n">
        <v>10.48</v>
      </c>
      <c r="AT26" s="72" t="n">
        <v>6.55</v>
      </c>
      <c r="AU26" s="72" t="n">
        <v>-21.39</v>
      </c>
      <c r="AV26" s="72" t="n">
        <v>1.88</v>
      </c>
      <c r="AW26" s="72" t="n">
        <v>-3.03</v>
      </c>
      <c r="AX26" s="72" t="n">
        <v>-0.49</v>
      </c>
      <c r="AY26" s="63" t="inlineStr">
        <is>
          <t>HSTECH (Hang Seng TECH ETF)</t>
        </is>
      </c>
      <c r="AZ26" s="72" t="n">
        <v>-75.36</v>
      </c>
      <c r="BA26" s="64" t="inlineStr">
        <is>
          <t>2026-08-28</t>
        </is>
      </c>
      <c r="BB26" s="65" t="n">
        <v>9524.5</v>
      </c>
      <c r="BC26" s="68" t="n">
        <v>3745.7</v>
      </c>
      <c r="BD26" s="63" t="inlineStr">
        <is>
          <t>Y</t>
        </is>
      </c>
      <c r="BE26" s="74" t="n">
        <v>23.8</v>
      </c>
      <c r="BF26" s="74" t="n"/>
      <c r="BG26" s="74" t="n"/>
      <c r="BH26" s="74" t="n">
        <v>9.300000000000001</v>
      </c>
      <c r="BI26" s="75">
        <f>IF('BBG Verify'!S26="","not filed — run on terminal",'BBG Verify'!S26)</f>
        <v/>
      </c>
      <c r="BJ26" s="76" t="inlineStr">
        <is>
          <t>N</t>
        </is>
      </c>
      <c r="BK26" s="77">
        <f>IF('BBG Verify'!K26="","not filed — run on terminal",'BBG Verify'!K26)</f>
        <v/>
      </c>
      <c r="BL26" s="63" t="inlineStr">
        <is>
          <t>N/A</t>
        </is>
      </c>
      <c r="BM26" s="63" t="inlineStr">
        <is>
          <t>N/A</t>
        </is>
      </c>
      <c r="BN26" s="63" t="inlineStr">
        <is>
          <t>N/A</t>
        </is>
      </c>
      <c r="BO26" s="63" t="inlineStr">
        <is>
          <t>N/A</t>
        </is>
      </c>
      <c r="BP26" s="63" t="inlineStr">
        <is>
          <t>N/A</t>
        </is>
      </c>
      <c r="BQ26" s="63" t="inlineStr">
        <is>
          <t>N/A</t>
        </is>
      </c>
      <c r="BR26" s="76" t="inlineStr">
        <is>
          <t>China International Capital Corporation Hong Kong Securities Limited; (in alphabetical order with no ranking assigned) Credit Suisse (Hong Kong) Limited; Goldman Sachs (Asia) L.L.C</t>
        </is>
      </c>
      <c r="BS26" s="63" t="inlineStr">
        <is>
          <t>China International Capital Corporation Hong Kong Securities Limited; Goldman Sachs (Asia) L.L.C.; Credit Suisse (Hong Kong) Limited</t>
        </is>
      </c>
      <c r="BT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U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V26" s="78">
        <f>HYPERLINK("https://www1.hkexnews.hk/listedco/listconews/sehk/2021/0304/2021030400013.pdf","prospectus")</f>
        <v/>
      </c>
      <c r="BW26" s="78">
        <f>HYPERLINK("https://www1.hkexnews.hk/listedco/listconews/sehk/2021/0312/2021031200028.htm","allotment")</f>
        <v/>
      </c>
      <c r="BX26" s="78">
        <f>HYPERLINK("https://www1.hkexnews.hk/listedco/listconews/sehk/2021/0409/2021040900003.pdf","stabilisation")</f>
        <v/>
      </c>
      <c r="BY26" s="76" t="n"/>
      <c r="BZ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72" t="n"/>
      <c r="AC27" s="66" t="n"/>
      <c r="AD27" s="72" t="n"/>
      <c r="AE27" s="63" t="n"/>
      <c r="AF27" s="63" t="n"/>
      <c r="AG27" s="63" t="n"/>
      <c r="AH27" s="63" t="inlineStr">
        <is>
          <t>First Fidelity Capi tal</t>
        </is>
      </c>
      <c r="AI27" s="63" t="inlineStr">
        <is>
          <t>First Fidelity Capi</t>
        </is>
      </c>
      <c r="AJ27" s="73" t="n">
        <v>-26.67</v>
      </c>
      <c r="AK27" s="72" t="n">
        <v>-8</v>
      </c>
      <c r="AL27" s="72" t="n">
        <v>-20.29</v>
      </c>
      <c r="AM27" s="72" t="n">
        <v>-34.67</v>
      </c>
      <c r="AN27" s="72" t="n">
        <v>-40</v>
      </c>
      <c r="AO27" s="72" t="n">
        <v>-46.67</v>
      </c>
      <c r="AP27" s="72" t="n">
        <v>-10.91</v>
      </c>
      <c r="AQ27" s="72" t="n">
        <v>-18.18</v>
      </c>
      <c r="AR27" s="72" t="n">
        <v>-27.27</v>
      </c>
      <c r="AS27" s="72" t="n">
        <v>-34</v>
      </c>
      <c r="AT27" s="72" t="n">
        <v>-42.02</v>
      </c>
      <c r="AU27" s="72" t="n">
        <v>-49.65</v>
      </c>
      <c r="AV27" s="72" t="n">
        <v>-17.97</v>
      </c>
      <c r="AW27" s="72" t="n">
        <v>2.02</v>
      </c>
      <c r="AX27" s="72" t="n">
        <v>-0.21</v>
      </c>
      <c r="AY27" s="63" t="inlineStr">
        <is>
          <t>Hang Seng Commerce &amp; Industry sub-index</t>
        </is>
      </c>
      <c r="AZ27" s="72" t="n">
        <v>-63.33</v>
      </c>
      <c r="BA27" s="64" t="inlineStr">
        <is>
          <t>2026-08-28</t>
        </is>
      </c>
      <c r="BB27" s="65" t="n">
        <v>455.5</v>
      </c>
      <c r="BC27" s="68" t="n">
        <v>47.5</v>
      </c>
      <c r="BD27" s="63" t="inlineStr">
        <is>
          <t>Y</t>
        </is>
      </c>
      <c r="BE27" s="74" t="n">
        <v>12.5</v>
      </c>
      <c r="BF27" s="74" t="n">
        <v>6.2</v>
      </c>
      <c r="BG27" s="74" t="n"/>
      <c r="BH27" s="74" t="n">
        <v>1.3</v>
      </c>
      <c r="BI27" s="75">
        <f>IF('BBG Verify'!S27="","not filed — run on terminal",'BBG Verify'!S27)</f>
        <v/>
      </c>
      <c r="BJ27" s="76" t="inlineStr">
        <is>
          <t>N</t>
        </is>
      </c>
      <c r="BK27" s="77">
        <f>IF('BBG Verify'!K27="","not filed — run on terminal",'BBG Verify'!K27)</f>
        <v/>
      </c>
      <c r="BL27" s="63" t="inlineStr">
        <is>
          <t>N/A</t>
        </is>
      </c>
      <c r="BM27" s="63" t="inlineStr">
        <is>
          <t>N/A</t>
        </is>
      </c>
      <c r="BN27" s="63" t="inlineStr">
        <is>
          <t>N/A</t>
        </is>
      </c>
      <c r="BO27" s="63" t="inlineStr">
        <is>
          <t>N/A</t>
        </is>
      </c>
      <c r="BP27" s="63" t="inlineStr">
        <is>
          <t>N/A</t>
        </is>
      </c>
      <c r="BQ27" s="63" t="inlineStr">
        <is>
          <t>N/A</t>
        </is>
      </c>
      <c r="BR27" s="76" t="inlineStr">
        <is>
          <t>Lego Corporate Finance Limited</t>
        </is>
      </c>
      <c r="BS27" s="63" t="inlineStr">
        <is>
          <t>Lego Corporate Finance Limited</t>
        </is>
      </c>
      <c r="BT27" s="63" t="inlineStr">
        <is>
          <t>Aristo Securities Limited; Brilliant Norton Securities Company Limited; China Tonghai Securities Limited; First Fidelity Capital (International) Limited; Fruit Tree Securities Limited; Grand China Securities Limited</t>
        </is>
      </c>
      <c r="BU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V27" s="78">
        <f>HYPERLINK("https://www1.hkexnews.hk/listedco/listconews/sehk/2021/0226/2021022600021.pdf","prospectus")</f>
        <v/>
      </c>
      <c r="BW27" s="78">
        <f>HYPERLINK("https://www1.hkexnews.hk/listedco/listconews/sehk/2021/0315/2021031500018.htm","allotment")</f>
        <v/>
      </c>
      <c r="BX27" s="78">
        <f>HYPERLINK("https://www1.hkexnews.hk/listedco/listconews/sehk/2021/0414/2021041401047.pdf","stabilisation")</f>
        <v/>
      </c>
      <c r="BY27" s="76" t="n"/>
      <c r="BZ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72" t="n"/>
      <c r="AC28" s="66" t="n"/>
      <c r="AD28" s="72" t="n"/>
      <c r="AE28" s="63" t="n"/>
      <c r="AF28" s="63" t="n"/>
      <c r="AG28" s="63" t="inlineStr">
        <is>
          <t>2021-04-16</t>
        </is>
      </c>
      <c r="AH28" s="63" t="inlineStr">
        <is>
          <t>Merrill Lynch</t>
        </is>
      </c>
      <c r="AI28" s="63" t="inlineStr">
        <is>
          <t>Merrill Lynch</t>
        </is>
      </c>
      <c r="AJ28" s="73" t="n">
        <v>0</v>
      </c>
      <c r="AK28" s="72" t="n">
        <v>0.79</v>
      </c>
      <c r="AL28" s="72" t="n">
        <v>-0.78</v>
      </c>
      <c r="AM28" s="72" t="n">
        <v>-19.92</v>
      </c>
      <c r="AN28" s="72" t="n">
        <v>-14.84</v>
      </c>
      <c r="AO28" s="72" t="n">
        <v>-24.4</v>
      </c>
      <c r="AP28" s="72" t="n">
        <v>-19.92</v>
      </c>
      <c r="AQ28" s="72" t="n">
        <v>-14.84</v>
      </c>
      <c r="AR28" s="72" t="n">
        <v>-24.4</v>
      </c>
      <c r="AS28" s="72" t="n">
        <v>-16.19</v>
      </c>
      <c r="AT28" s="72" t="n">
        <v>-14.43</v>
      </c>
      <c r="AU28" s="72" t="n">
        <v>-21.14</v>
      </c>
      <c r="AV28" s="72" t="n">
        <v>-16.85</v>
      </c>
      <c r="AW28" s="72" t="n">
        <v>-0.41</v>
      </c>
      <c r="AX28" s="72" t="n">
        <v>2.01</v>
      </c>
      <c r="AY28" s="63" t="inlineStr">
        <is>
          <t>HSTECH (Hang Seng TECH ETF)</t>
        </is>
      </c>
      <c r="AZ28" s="72" t="n">
        <v>-62</v>
      </c>
      <c r="BA28" s="64" t="inlineStr">
        <is>
          <t>2026-08-28</t>
        </is>
      </c>
      <c r="BB28" s="65" t="n">
        <v>117781.4</v>
      </c>
      <c r="BC28" s="68" t="n">
        <v>24719.2</v>
      </c>
      <c r="BD28" s="63" t="inlineStr">
        <is>
          <t>Y</t>
        </is>
      </c>
      <c r="BE28" s="74" t="n">
        <v>28.8</v>
      </c>
      <c r="BF28" s="74" t="n"/>
      <c r="BG28" s="74" t="n"/>
      <c r="BH28" s="74" t="n">
        <v>6.1</v>
      </c>
      <c r="BI28" s="75">
        <f>IF('BBG Verify'!S28="","not filed — run on terminal",'BBG Verify'!S28)</f>
        <v/>
      </c>
      <c r="BJ28" s="76" t="inlineStr">
        <is>
          <t>N</t>
        </is>
      </c>
      <c r="BK28" s="77">
        <f>IF('BBG Verify'!K28="","not filed — run on terminal",'BBG Verify'!K28)</f>
        <v/>
      </c>
      <c r="BL28" s="63" t="inlineStr">
        <is>
          <t>N/A</t>
        </is>
      </c>
      <c r="BM28" s="63" t="inlineStr">
        <is>
          <t>N/A</t>
        </is>
      </c>
      <c r="BN28" s="63" t="inlineStr">
        <is>
          <t>N/A</t>
        </is>
      </c>
      <c r="BO28" s="63" t="inlineStr">
        <is>
          <t>N/A</t>
        </is>
      </c>
      <c r="BP28" s="63" t="inlineStr">
        <is>
          <t>N/A</t>
        </is>
      </c>
      <c r="BQ28" s="63" t="inlineStr">
        <is>
          <t>N/A</t>
        </is>
      </c>
      <c r="BR28" s="76" t="inlineStr">
        <is>
          <t>Merrill Lynch (Asia Pacific) Limited; CLSA Capital Markets Limited; Goldman Sachs (Asia) L.L.C; CLSA Limited</t>
        </is>
      </c>
      <c r="BS28" s="63" t="inlineStr">
        <is>
          <t>Merrill Lynch (Asia Pacific) Limited; Goldman Sachs (Asia) L.L.C.; CLSA Capital Markets Limited</t>
        </is>
      </c>
      <c r="BT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U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V28" s="78">
        <f>HYPERLINK("https://www1.hkexnews.hk/listedco/listconews/sehk/2021/0312/2021031200021.pdf","prospectus")</f>
        <v/>
      </c>
      <c r="BW28" s="78">
        <f>HYPERLINK("https://www1.hkexnews.hk/listedco/listconews/sehk/2021/0322/2021032200016.htm","allotment")</f>
        <v/>
      </c>
      <c r="BX28" s="78">
        <f>HYPERLINK("https://www1.hkexnews.hk/listedco/listconews/sehk/2021/0418/2021041800007.pdf","stabilisation")</f>
        <v/>
      </c>
      <c r="BY28" s="76" t="n"/>
      <c r="BZ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72" t="n"/>
      <c r="AC29" s="66" t="n"/>
      <c r="AD29" s="72" t="n"/>
      <c r="AE29" s="63" t="n"/>
      <c r="AF29" s="63" t="n"/>
      <c r="AG29" s="63" t="n"/>
      <c r="AH29" s="63" t="n"/>
      <c r="AI29" s="63" t="n"/>
      <c r="AJ29" s="73" t="n">
        <v>-29.33</v>
      </c>
      <c r="AK29" s="72" t="n">
        <v>-3.33</v>
      </c>
      <c r="AL29" s="72" t="n">
        <v>-26.9</v>
      </c>
      <c r="AM29" s="72" t="n">
        <v>-30</v>
      </c>
      <c r="AN29" s="72" t="n">
        <v>-23.33</v>
      </c>
      <c r="AO29" s="72" t="n">
        <v>-16</v>
      </c>
      <c r="AP29" s="72" t="n">
        <v>-0.95</v>
      </c>
      <c r="AQ29" s="72" t="n">
        <v>8.49</v>
      </c>
      <c r="AR29" s="72" t="n">
        <v>18.86</v>
      </c>
      <c r="AS29" s="72" t="n">
        <v>-34.83</v>
      </c>
      <c r="AT29" s="72" t="n">
        <v>-29.89</v>
      </c>
      <c r="AU29" s="72" t="n">
        <v>-25.18</v>
      </c>
      <c r="AV29" s="72" t="n">
        <v>4.35</v>
      </c>
      <c r="AW29" s="72" t="n">
        <v>6.56</v>
      </c>
      <c r="AX29" s="72" t="n">
        <v>4.14</v>
      </c>
      <c r="AY29" s="63" t="inlineStr">
        <is>
          <t>Hang Seng Commerce &amp; Industry sub-index</t>
        </is>
      </c>
      <c r="AZ29" s="72" t="n">
        <v>-70</v>
      </c>
      <c r="BA29" s="64" t="inlineStr">
        <is>
          <t>2026-08-28</t>
        </is>
      </c>
      <c r="BB29" s="65" t="n">
        <v>649.9</v>
      </c>
      <c r="BC29" s="68" t="n">
        <v>46</v>
      </c>
      <c r="BD29" s="63" t="inlineStr">
        <is>
          <t>Y</t>
        </is>
      </c>
      <c r="BE29" s="74" t="n">
        <v>24.4</v>
      </c>
      <c r="BF29" s="74" t="n">
        <v>8.199999999999999</v>
      </c>
      <c r="BG29" s="74" t="n"/>
      <c r="BH29" s="74" t="n">
        <v>1.7</v>
      </c>
      <c r="BI29" s="75">
        <f>IF('BBG Verify'!S29="","not filed — run on terminal",'BBG Verify'!S29)</f>
        <v/>
      </c>
      <c r="BJ29" s="76" t="inlineStr">
        <is>
          <t>N</t>
        </is>
      </c>
      <c r="BK29" s="77">
        <f>IF('BBG Verify'!K29="","not filed — run on terminal",'BBG Verify'!K29)</f>
        <v/>
      </c>
      <c r="BL29" s="63" t="inlineStr">
        <is>
          <t>N/A</t>
        </is>
      </c>
      <c r="BM29" s="63" t="inlineStr">
        <is>
          <t>N/A</t>
        </is>
      </c>
      <c r="BN29" s="63" t="inlineStr">
        <is>
          <t>N/A</t>
        </is>
      </c>
      <c r="BO29" s="63" t="inlineStr">
        <is>
          <t>N/A</t>
        </is>
      </c>
      <c r="BP29" s="63" t="inlineStr">
        <is>
          <t>N/A</t>
        </is>
      </c>
      <c r="BQ29" s="63" t="inlineStr">
        <is>
          <t>N/A</t>
        </is>
      </c>
      <c r="BR29" s="76" t="inlineStr">
        <is>
          <t>Kingsway Capital Limited</t>
        </is>
      </c>
      <c r="BS29" s="63" t="inlineStr">
        <is>
          <t>Kingsway Capital Limited</t>
        </is>
      </c>
      <c r="BT29" s="63" t="inlineStr">
        <is>
          <t>Kingsway Financial Services Group Limited; Seazen Resources Securities Limited; Zhongtai International Securities Limited; SPDB International Capital Limited</t>
        </is>
      </c>
      <c r="BU29" s="63" t="inlineStr">
        <is>
          <t>Haitong International Securities Company Limited; Kingsway Financial Services Group Limited; SPDB International Capital Limited; Seazen Resources Securities Limited; Zhongtai International Securities Limited; ZMF Asset Management Limited</t>
        </is>
      </c>
      <c r="BV29" s="78">
        <f>HYPERLINK("https://www1.hkexnews.hk/listedco/listconews/sehk/2021/0316/2021031600111.pdf","prospectus")</f>
        <v/>
      </c>
      <c r="BW29" s="78">
        <f>HYPERLINK("https://www1.hkexnews.hk/listedco/listconews/sehk/2021/0325/2021032500100.htm","allotment")</f>
        <v/>
      </c>
      <c r="BX29" s="63" t="n"/>
      <c r="BY29" s="76" t="n"/>
      <c r="BZ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72" t="n"/>
      <c r="AC30" s="66" t="n"/>
      <c r="AD30" s="72" t="n"/>
      <c r="AE30" s="63" t="n"/>
      <c r="AF30" s="63" t="inlineStr">
        <is>
          <t>full</t>
        </is>
      </c>
      <c r="AG30" s="63" t="inlineStr">
        <is>
          <t>2021-04-22</t>
        </is>
      </c>
      <c r="AH30" s="63" t="inlineStr">
        <is>
          <t>Morgan Stanley Asia Limited</t>
        </is>
      </c>
      <c r="AI30" s="63" t="inlineStr">
        <is>
          <t>Morgan Stanley</t>
        </is>
      </c>
      <c r="AJ30" s="73" t="n">
        <v>-0.99</v>
      </c>
      <c r="AK30" s="72" t="n">
        <v>-2.23</v>
      </c>
      <c r="AL30" s="72" t="n">
        <v>1.27</v>
      </c>
      <c r="AM30" s="72" t="n">
        <v>5.82</v>
      </c>
      <c r="AN30" s="72" t="n">
        <v>10.27</v>
      </c>
      <c r="AO30" s="72" t="n">
        <v>15.72</v>
      </c>
      <c r="AP30" s="72" t="n">
        <v>6.88</v>
      </c>
      <c r="AQ30" s="72" t="n">
        <v>11.37</v>
      </c>
      <c r="AR30" s="72" t="n">
        <v>16.88</v>
      </c>
      <c r="AS30" s="72" t="n">
        <v>1.79</v>
      </c>
      <c r="AT30" s="72" t="n">
        <v>7.85</v>
      </c>
      <c r="AU30" s="72" t="n">
        <v>18.57</v>
      </c>
      <c r="AV30" s="72" t="n">
        <v>6.87</v>
      </c>
      <c r="AW30" s="72" t="n">
        <v>2.42</v>
      </c>
      <c r="AX30" s="72" t="n">
        <v>4.5</v>
      </c>
      <c r="AY30" s="63" t="inlineStr">
        <is>
          <t>HSTECH (Hang Seng TECH ETF)</t>
        </is>
      </c>
      <c r="AZ30" s="72" t="n">
        <v>-83.69</v>
      </c>
      <c r="BA30" s="64" t="inlineStr">
        <is>
          <t>2026-08-28</t>
        </is>
      </c>
      <c r="BB30" s="65" t="n">
        <v>13198.9</v>
      </c>
      <c r="BC30" s="68" t="n">
        <v>-3359.4</v>
      </c>
      <c r="BD30" s="63" t="inlineStr">
        <is>
          <t>N</t>
        </is>
      </c>
      <c r="BE30" s="63" t="inlineStr">
        <is>
          <t>n/m</t>
        </is>
      </c>
      <c r="BF30" s="74" t="n"/>
      <c r="BG30" s="74" t="n"/>
      <c r="BH30" s="74" t="n">
        <v>22.6</v>
      </c>
      <c r="BI30" s="75">
        <f>IF('BBG Verify'!S30="","not filed — run on terminal",'BBG Verify'!S30)</f>
        <v/>
      </c>
      <c r="BJ30" s="76" t="inlineStr">
        <is>
          <t>N</t>
        </is>
      </c>
      <c r="BK30" s="77">
        <f>IF('BBG Verify'!K30="","not filed — run on terminal",'BBG Verify'!K30)</f>
        <v/>
      </c>
      <c r="BL30" s="63" t="inlineStr">
        <is>
          <t>N/A</t>
        </is>
      </c>
      <c r="BM30" s="63" t="inlineStr">
        <is>
          <t>N/A</t>
        </is>
      </c>
      <c r="BN30" s="63" t="inlineStr">
        <is>
          <t>N/A</t>
        </is>
      </c>
      <c r="BO30" s="63" t="inlineStr">
        <is>
          <t>N/A</t>
        </is>
      </c>
      <c r="BP30" s="63" t="inlineStr">
        <is>
          <t>N/A</t>
        </is>
      </c>
      <c r="BQ30" s="63" t="inlineStr">
        <is>
          <t>N/A</t>
        </is>
      </c>
      <c r="BR30" s="76" t="inlineStr">
        <is>
          <t>Morgan Stanley Asia Limited; Goldman Sachs (Asia) L.L.C; J.P. Morgan Securities (Far East) Limited; UBS Securities Hong Kong Limited</t>
        </is>
      </c>
      <c r="BS30" s="63" t="inlineStr">
        <is>
          <t>Morgan Stanley Asia Limited; J.P. Morgan Securities (Far East) Limited; UBS Securities Hong Kong Limited; Goldman Sachs (Asia) L.L.C.</t>
        </is>
      </c>
      <c r="BT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U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V30" s="78">
        <f>HYPERLINK("https://www1.hkexnews.hk/listedco/listconews/sehk/2021/0318/2021031800173.pdf","prospectus")</f>
        <v/>
      </c>
      <c r="BW30" s="78">
        <f>HYPERLINK("https://www1.hkexnews.hk/listedco/listconews/sehk/2021/0326/2021032600074.htm","allotment")</f>
        <v/>
      </c>
      <c r="BX30" s="78">
        <f>HYPERLINK("https://www1.hkexnews.hk/listedco/listconews/sehk/2021/0422/2021042202002.pdf","stabilisation")</f>
        <v/>
      </c>
      <c r="BY30" s="76" t="n"/>
      <c r="BZ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72" t="n"/>
      <c r="AC31" s="66" t="n"/>
      <c r="AD31" s="72" t="n"/>
      <c r="AE31" s="63" t="n"/>
      <c r="AF31" s="63" t="inlineStr">
        <is>
          <t>full</t>
        </is>
      </c>
      <c r="AG31" s="63" t="n"/>
      <c r="AH31" s="63" t="inlineStr">
        <is>
          <t>CMBC Securities Company Limited</t>
        </is>
      </c>
      <c r="AI31" s="63" t="inlineStr">
        <is>
          <t>CMBC</t>
        </is>
      </c>
      <c r="AJ31" s="73" t="n">
        <v>6.35</v>
      </c>
      <c r="AK31" s="72" t="n">
        <v>10.32</v>
      </c>
      <c r="AL31" s="72" t="n">
        <v>-3.6</v>
      </c>
      <c r="AM31" s="72" t="n">
        <v>12.7</v>
      </c>
      <c r="AN31" s="72" t="n">
        <v>15.08</v>
      </c>
      <c r="AO31" s="72" t="n">
        <v>44.44</v>
      </c>
      <c r="AP31" s="72" t="n">
        <v>5.97</v>
      </c>
      <c r="AQ31" s="72" t="n">
        <v>8.210000000000001</v>
      </c>
      <c r="AR31" s="72" t="n">
        <v>35.82</v>
      </c>
      <c r="AS31" s="72" t="n">
        <v>12.64</v>
      </c>
      <c r="AT31" s="72" t="n">
        <v>13.91</v>
      </c>
      <c r="AU31" s="72" t="n">
        <v>50.84</v>
      </c>
      <c r="AV31" s="72" t="n">
        <v>7.04</v>
      </c>
      <c r="AW31" s="72" t="n">
        <v>1.17</v>
      </c>
      <c r="AX31" s="72" t="n">
        <v>1.17</v>
      </c>
      <c r="AY31" s="63" t="inlineStr">
        <is>
          <t>HSTECH (Hang Seng TECH ETF)</t>
        </is>
      </c>
      <c r="AZ31" s="72" t="n">
        <v>-13.89</v>
      </c>
      <c r="BA31" s="64" t="inlineStr">
        <is>
          <t>2026-08-28</t>
        </is>
      </c>
      <c r="BB31" s="65" t="n">
        <v>173.8</v>
      </c>
      <c r="BC31" s="68" t="n">
        <v>45.4</v>
      </c>
      <c r="BD31" s="63" t="inlineStr">
        <is>
          <t>Y</t>
        </is>
      </c>
      <c r="BE31" s="74" t="n">
        <v>15.3</v>
      </c>
      <c r="BF31" s="74" t="n"/>
      <c r="BG31" s="74" t="n"/>
      <c r="BH31" s="74" t="n">
        <v>4</v>
      </c>
      <c r="BI31" s="75">
        <f>IF('BBG Verify'!S31="","not filed — run on terminal",'BBG Verify'!S31)</f>
        <v/>
      </c>
      <c r="BJ31" s="76" t="inlineStr">
        <is>
          <t>N</t>
        </is>
      </c>
      <c r="BK31" s="77">
        <f>IF('BBG Verify'!K31="","not filed — run on terminal",'BBG Verify'!K31)</f>
        <v/>
      </c>
      <c r="BL31" s="63" t="inlineStr">
        <is>
          <t>N/A</t>
        </is>
      </c>
      <c r="BM31" s="63" t="inlineStr">
        <is>
          <t>N/A</t>
        </is>
      </c>
      <c r="BN31" s="63" t="inlineStr">
        <is>
          <t>N/A</t>
        </is>
      </c>
      <c r="BO31" s="63" t="inlineStr">
        <is>
          <t>N/A</t>
        </is>
      </c>
      <c r="BP31" s="63" t="inlineStr">
        <is>
          <t>N/A</t>
        </is>
      </c>
      <c r="BQ31" s="63" t="inlineStr">
        <is>
          <t>N/A</t>
        </is>
      </c>
      <c r="BR31" s="76" t="inlineStr">
        <is>
          <t>CMBC International Capital Limited</t>
        </is>
      </c>
      <c r="BS31" s="63" t="inlineStr">
        <is>
          <t>CMBC International Capital Limited</t>
        </is>
      </c>
      <c r="BT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U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V31" s="78">
        <f>HYPERLINK("https://www1.hkexnews.hk/listedco/listconews/sehk/2021/0318/2021031800013.pdf","prospectus")</f>
        <v/>
      </c>
      <c r="BW31" s="78">
        <f>HYPERLINK("https://www1.hkexnews.hk/listedco/listconews/sehk/2021/0330/2021033000148.htm","allotment")</f>
        <v/>
      </c>
      <c r="BX31" s="78">
        <f>HYPERLINK("https://www1.hkexnews.hk/listedco/listconews/sehk/2021/0422/2021042201830.pdf","stabilisation")</f>
        <v/>
      </c>
      <c r="BY31" s="76" t="n"/>
      <c r="BZ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72" t="n"/>
      <c r="AC32" s="66" t="n"/>
      <c r="AD32" s="72" t="n"/>
      <c r="AE32" s="63" t="n"/>
      <c r="AF32" s="63" t="inlineStr">
        <is>
          <t>lapsed</t>
        </is>
      </c>
      <c r="AG32" s="63" t="n"/>
      <c r="AH32" s="63" t="n"/>
      <c r="AI32" s="63" t="n"/>
      <c r="AJ32" s="73" t="n">
        <v>-16.04</v>
      </c>
      <c r="AK32" s="72" t="n">
        <v>-7.39</v>
      </c>
      <c r="AL32" s="72" t="n">
        <v>-9.34</v>
      </c>
      <c r="AM32" s="72" t="n">
        <v>-23.11</v>
      </c>
      <c r="AN32" s="72" t="n">
        <v>-35.06</v>
      </c>
      <c r="AO32" s="72" t="n">
        <v>-40.57</v>
      </c>
      <c r="AP32" s="72" t="n">
        <v>-8.42</v>
      </c>
      <c r="AQ32" s="72" t="n">
        <v>-22.65</v>
      </c>
      <c r="AR32" s="72" t="n">
        <v>-29.22</v>
      </c>
      <c r="AS32" s="72" t="n">
        <v>-23.17</v>
      </c>
      <c r="AT32" s="72" t="n">
        <v>-36.23</v>
      </c>
      <c r="AU32" s="72" t="n">
        <v>-34.17</v>
      </c>
      <c r="AV32" s="72" t="n">
        <v>-23.82</v>
      </c>
      <c r="AW32" s="72" t="n">
        <v>1.17</v>
      </c>
      <c r="AX32" s="72" t="n">
        <v>1.17</v>
      </c>
      <c r="AY32" s="63" t="inlineStr">
        <is>
          <t>HSTECH (Hang Seng TECH ETF)</t>
        </is>
      </c>
      <c r="AZ32" s="72" t="n">
        <v>-82.67</v>
      </c>
      <c r="BA32" s="64" t="inlineStr">
        <is>
          <t>2026-08-28</t>
        </is>
      </c>
      <c r="BB32" s="65" t="n">
        <v>447</v>
      </c>
      <c r="BC32" s="68" t="n">
        <v>-103.6</v>
      </c>
      <c r="BD32" s="63" t="inlineStr">
        <is>
          <t>N</t>
        </is>
      </c>
      <c r="BE32" s="63" t="inlineStr">
        <is>
          <t>n/m</t>
        </is>
      </c>
      <c r="BF32" s="74" t="n"/>
      <c r="BG32" s="74" t="n">
        <v>32.3</v>
      </c>
      <c r="BH32" s="74" t="n">
        <v>35.2</v>
      </c>
      <c r="BI32" s="75">
        <f>IF('BBG Verify'!S32="","not filed — run on terminal",'BBG Verify'!S32)</f>
        <v/>
      </c>
      <c r="BJ32" s="76" t="inlineStr">
        <is>
          <t>N</t>
        </is>
      </c>
      <c r="BK32" s="77">
        <f>IF('BBG Verify'!K32="","not filed — run on terminal",'BBG Verify'!K32)</f>
        <v/>
      </c>
      <c r="BL32" s="63" t="inlineStr">
        <is>
          <t>N/A</t>
        </is>
      </c>
      <c r="BM32" s="63" t="inlineStr">
        <is>
          <t>N/A</t>
        </is>
      </c>
      <c r="BN32" s="63" t="inlineStr">
        <is>
          <t>N/A</t>
        </is>
      </c>
      <c r="BO32" s="63" t="inlineStr">
        <is>
          <t>N/A</t>
        </is>
      </c>
      <c r="BP32" s="63" t="inlineStr">
        <is>
          <t>N/A</t>
        </is>
      </c>
      <c r="BQ32" s="63" t="inlineStr">
        <is>
          <t>N/A</t>
        </is>
      </c>
      <c r="BR32" s="76" t="inlineStr">
        <is>
          <t>Morgan Stanley Asia Limited; China International Capital Corporation Hong Kong Securities Limited; CMBC International Capital Limited</t>
        </is>
      </c>
      <c r="BS32" s="63" t="inlineStr">
        <is>
          <t>China International Capital Corporation Hong Kong Securities Limited; Morgan Stanley Asia Limited; CMBC International Capital Limited</t>
        </is>
      </c>
      <c r="BT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U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V32" s="78">
        <f>HYPERLINK("https://www1.hkexnews.hk/listedco/listconews/sehk/2021/0319/2021031900021.pdf","prospectus")</f>
        <v/>
      </c>
      <c r="BW32" s="78">
        <f>HYPERLINK("https://www1.hkexnews.hk/listedco/listconews/sehk/2021/0330/2021033000204.htm","allotment")</f>
        <v/>
      </c>
      <c r="BX32" s="78">
        <f>HYPERLINK("https://www1.hkexnews.hk/listedco/listconews/sehk/2021/0423/2021042302099.pdf","stabilisation")</f>
        <v/>
      </c>
      <c r="BY32" s="76" t="n"/>
      <c r="BZ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72" t="n"/>
      <c r="AC33" s="66" t="n"/>
      <c r="AD33" s="72" t="n"/>
      <c r="AE33" s="63" t="n"/>
      <c r="AF33" s="63" t="n"/>
      <c r="AG33" s="63" t="inlineStr">
        <is>
          <t>2021-04-23</t>
        </is>
      </c>
      <c r="AH33" s="63" t="n"/>
      <c r="AI33" s="63" t="n"/>
      <c r="AJ33" s="73" t="n">
        <v>-41.07</v>
      </c>
      <c r="AK33" s="72" t="n">
        <v>-28.57</v>
      </c>
      <c r="AL33" s="72" t="n">
        <v>-17.5</v>
      </c>
      <c r="AM33" s="72" t="n">
        <v>-46.43</v>
      </c>
      <c r="AN33" s="72" t="n">
        <v>-17.86</v>
      </c>
      <c r="AO33" s="72" t="n">
        <v>-24.11</v>
      </c>
      <c r="AP33" s="72" t="n">
        <v>-9.1</v>
      </c>
      <c r="AQ33" s="72" t="n">
        <v>39.39</v>
      </c>
      <c r="AR33" s="72" t="n">
        <v>28.78</v>
      </c>
      <c r="AS33" s="72" t="n">
        <v>-46.9</v>
      </c>
      <c r="AT33" s="72" t="n">
        <v>-19.52</v>
      </c>
      <c r="AU33" s="72" t="n">
        <v>-25.43</v>
      </c>
      <c r="AV33" s="72" t="n">
        <v>37.5</v>
      </c>
      <c r="AW33" s="72" t="n">
        <v>1.66</v>
      </c>
      <c r="AX33" s="72" t="n">
        <v>1.89</v>
      </c>
      <c r="AY33" s="63" t="inlineStr">
        <is>
          <t>Hang Seng Commerce &amp; Industry sub-index</t>
        </is>
      </c>
      <c r="AZ33" s="72" t="n">
        <v>-95</v>
      </c>
      <c r="BA33" s="64" t="inlineStr">
        <is>
          <t>2026-08-31</t>
        </is>
      </c>
      <c r="BB33" s="65" t="n">
        <v>302</v>
      </c>
      <c r="BC33" s="68" t="n">
        <v>43.2</v>
      </c>
      <c r="BD33" s="63" t="inlineStr">
        <is>
          <t>Y</t>
        </is>
      </c>
      <c r="BE33" s="74" t="n">
        <v>13</v>
      </c>
      <c r="BF33" s="74" t="n">
        <v>6.6</v>
      </c>
      <c r="BG33" s="74" t="n"/>
      <c r="BH33" s="74" t="n">
        <v>1.9</v>
      </c>
      <c r="BI33" s="75">
        <f>IF('BBG Verify'!S33="","not filed — run on terminal",'BBG Verify'!S33)</f>
        <v/>
      </c>
      <c r="BJ33" s="76" t="inlineStr">
        <is>
          <t>N</t>
        </is>
      </c>
      <c r="BK33" s="77">
        <f>IF('BBG Verify'!K33="","not filed — run on terminal",'BBG Verify'!K33)</f>
        <v/>
      </c>
      <c r="BL33" s="63" t="inlineStr">
        <is>
          <t>N/A</t>
        </is>
      </c>
      <c r="BM33" s="63" t="inlineStr">
        <is>
          <t>N/A</t>
        </is>
      </c>
      <c r="BN33" s="63" t="inlineStr">
        <is>
          <t>N/A</t>
        </is>
      </c>
      <c r="BO33" s="63" t="inlineStr">
        <is>
          <t>N/A</t>
        </is>
      </c>
      <c r="BP33" s="63" t="inlineStr">
        <is>
          <t>N/A</t>
        </is>
      </c>
      <c r="BQ33" s="63" t="inlineStr">
        <is>
          <t>N/A</t>
        </is>
      </c>
      <c r="BR33" s="76" t="n"/>
      <c r="BS33" s="63" t="inlineStr">
        <is>
          <t>Grande Capital Limited</t>
        </is>
      </c>
      <c r="BT33" s="63" t="inlineStr">
        <is>
          <t>ChaoShang Securities Limited; Get Nice Securities Limited; Head &amp; Shoulders Securities Limited; MTF Securities Limited; Sinomax Securities Limited; Vinco Capital Limited</t>
        </is>
      </c>
      <c r="BU33" s="63" t="inlineStr">
        <is>
          <t>ChaoShang Securities Limited; Get Nice Securities Limited; Head &amp; Shoulders Securities Limited; MTF Securities Limited; Sinomax Securities Limited; Vinco Capital Limited; Zhong Jia Securities Limited</t>
        </is>
      </c>
      <c r="BV33" s="78">
        <f>HYPERLINK("https://www1.hkexnews.hk/listedco/listconews/sehk/2021/0319/2021031900036.htm","prospectus")</f>
        <v/>
      </c>
      <c r="BW33" s="78">
        <f>HYPERLINK("https://www1.hkexnews.hk/listedco/listconews/sehk/2021/0330/2021033000230.htm","allotment")</f>
        <v/>
      </c>
      <c r="BX33" s="63" t="n"/>
      <c r="BY33" s="76" t="n"/>
      <c r="BZ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72" t="n"/>
      <c r="AC34" s="66" t="n"/>
      <c r="AD34" s="72" t="n"/>
      <c r="AE34" s="63" t="n"/>
      <c r="AF34" s="63" t="inlineStr">
        <is>
          <t>full</t>
        </is>
      </c>
      <c r="AG34" s="63" t="inlineStr">
        <is>
          <t>2021-04-30</t>
        </is>
      </c>
      <c r="AH34" s="63" t="inlineStr">
        <is>
          <t>Goldman Sachs</t>
        </is>
      </c>
      <c r="AI34" s="63" t="inlineStr">
        <is>
          <t>Goldman Sachs</t>
        </is>
      </c>
      <c r="AJ34" s="73" t="n">
        <v>9.9</v>
      </c>
      <c r="AK34" s="72" t="n">
        <v>9.9</v>
      </c>
      <c r="AL34" s="72" t="n">
        <v>0</v>
      </c>
      <c r="AM34" s="72" t="n">
        <v>25.43</v>
      </c>
      <c r="AN34" s="72" t="n">
        <v>25.14</v>
      </c>
      <c r="AO34" s="72" t="n">
        <v>-17.41</v>
      </c>
      <c r="AP34" s="72" t="n">
        <v>14.13</v>
      </c>
      <c r="AQ34" s="72" t="n">
        <v>13.87</v>
      </c>
      <c r="AR34" s="72" t="n">
        <v>-24.85</v>
      </c>
      <c r="AS34" s="72" t="n">
        <v>28.11</v>
      </c>
      <c r="AT34" s="72" t="n">
        <v>31.82</v>
      </c>
      <c r="AU34" s="72" t="n">
        <v>-6.26</v>
      </c>
      <c r="AV34" s="72" t="n">
        <v>18.91</v>
      </c>
      <c r="AW34" s="72" t="n">
        <v>-6.68</v>
      </c>
      <c r="AX34" s="72" t="n">
        <v>-5.04</v>
      </c>
      <c r="AY34" s="63" t="inlineStr">
        <is>
          <t>HSTECH (Hang Seng TECH ETF)</t>
        </is>
      </c>
      <c r="AZ34" s="72" t="n">
        <v>-86.41</v>
      </c>
      <c r="BA34" s="64" t="inlineStr">
        <is>
          <t>2026-08-28</t>
        </is>
      </c>
      <c r="BB34" s="65" t="n">
        <v>167.9</v>
      </c>
      <c r="BC34" s="68" t="n">
        <v>-787</v>
      </c>
      <c r="BD34" s="63" t="inlineStr">
        <is>
          <t>N</t>
        </is>
      </c>
      <c r="BE34" s="63" t="inlineStr">
        <is>
          <t>n/m</t>
        </is>
      </c>
      <c r="BF34" s="74" t="n"/>
      <c r="BG34" s="74" t="n"/>
      <c r="BH34" s="74" t="n">
        <v>211.2</v>
      </c>
      <c r="BI34" s="75">
        <f>IF('BBG Verify'!S34="","not filed — run on terminal",'BBG Verify'!S34)</f>
        <v/>
      </c>
      <c r="BJ34" s="76" t="inlineStr">
        <is>
          <t>N</t>
        </is>
      </c>
      <c r="BK34" s="77">
        <f>IF('BBG Verify'!K34="","not filed — run on terminal",'BBG Verify'!K34)</f>
        <v/>
      </c>
      <c r="BL34" s="63" t="inlineStr">
        <is>
          <t>N/A</t>
        </is>
      </c>
      <c r="BM34" s="63" t="inlineStr">
        <is>
          <t>N/A</t>
        </is>
      </c>
      <c r="BN34" s="63" t="inlineStr">
        <is>
          <t>N/A</t>
        </is>
      </c>
      <c r="BO34" s="63" t="inlineStr">
        <is>
          <t>N/A</t>
        </is>
      </c>
      <c r="BP34" s="63" t="inlineStr">
        <is>
          <t>N/A</t>
        </is>
      </c>
      <c r="BQ34" s="63" t="inlineStr">
        <is>
          <t>N/A</t>
        </is>
      </c>
      <c r="BR34" s="76" t="inlineStr">
        <is>
          <t>Goldman Sachs (Asia) L.L.C; China International Capital Corporation Hong Kong Securities Limited</t>
        </is>
      </c>
      <c r="BS34" s="63" t="inlineStr">
        <is>
          <t>China International Capital Corporation Hong Kong Securities Limited; Goldman Sachs (Asia) L.L.C.</t>
        </is>
      </c>
      <c r="BT34" s="63" t="inlineStr">
        <is>
          <t>Goldman Sachs (Asia) L.L.C; China International Capital Corporation Hong Kong Securities Limited; Citigroup Global Markets Asia Limited; Kong) Limited; CLSA Limited</t>
        </is>
      </c>
      <c r="BU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V34" s="78">
        <f>HYPERLINK("https://www1.hkexnews.hk/listedco/listconews/sehk/2021/0326/2021032600037.pdf","prospectus")</f>
        <v/>
      </c>
      <c r="BW34" s="78">
        <f>HYPERLINK("https://www1.hkexnews.hk/listedco/listconews/sehk/2021/0408/2021040800096.htm","allotment")</f>
        <v/>
      </c>
      <c r="BX34" s="78">
        <f>HYPERLINK("https://www1.hkexnews.hk/listedco/listconews/sehk/2021/0430/2021043002237.pdf","stabilisation")</f>
        <v/>
      </c>
      <c r="BY34" s="76" t="n"/>
      <c r="BZ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72" t="n"/>
      <c r="AC35" s="66" t="n"/>
      <c r="AD35" s="72" t="n"/>
      <c r="AE35" s="63" t="n"/>
      <c r="AF35" s="63" t="inlineStr">
        <is>
          <t>full</t>
        </is>
      </c>
      <c r="AG35" s="63" t="inlineStr">
        <is>
          <t>2021-05-13</t>
        </is>
      </c>
      <c r="AH35" s="63" t="n"/>
      <c r="AI35" s="63" t="n"/>
      <c r="AJ35" s="73" t="n">
        <v>4.55</v>
      </c>
      <c r="AK35" s="72" t="n">
        <v>4.85</v>
      </c>
      <c r="AL35" s="72" t="n">
        <v>-0.29</v>
      </c>
      <c r="AM35" s="72" t="n">
        <v>11.49</v>
      </c>
      <c r="AN35" s="72" t="n">
        <v>13.73</v>
      </c>
      <c r="AO35" s="72" t="n">
        <v>-16.04</v>
      </c>
      <c r="AP35" s="72" t="n">
        <v>6.64</v>
      </c>
      <c r="AQ35" s="72" t="n">
        <v>8.779999999999999</v>
      </c>
      <c r="AR35" s="72" t="n">
        <v>-19.69</v>
      </c>
      <c r="AS35" s="72" t="n">
        <v>8.550000000000001</v>
      </c>
      <c r="AT35" s="72" t="n">
        <v>18.69</v>
      </c>
      <c r="AU35" s="72" t="n">
        <v>-5.26</v>
      </c>
      <c r="AV35" s="72" t="n">
        <v>15.01</v>
      </c>
      <c r="AW35" s="72" t="n">
        <v>-4.96</v>
      </c>
      <c r="AX35" s="72" t="n">
        <v>-6.23</v>
      </c>
      <c r="AY35" s="63" t="inlineStr">
        <is>
          <t>HSTECH (Hang Seng TECH ETF)</t>
        </is>
      </c>
      <c r="AZ35" s="72" t="n">
        <v>30.15</v>
      </c>
      <c r="BA35" s="64" t="inlineStr">
        <is>
          <t>2026-08-28</t>
        </is>
      </c>
      <c r="BB35" s="65" t="n">
        <v>20147.6</v>
      </c>
      <c r="BC35" s="68" t="n">
        <v>-3571.7</v>
      </c>
      <c r="BD35" s="63" t="inlineStr">
        <is>
          <t>N</t>
        </is>
      </c>
      <c r="BE35" s="63" t="inlineStr">
        <is>
          <t>n/m</t>
        </is>
      </c>
      <c r="BF35" s="74" t="n"/>
      <c r="BG35" s="74" t="n">
        <v>7.3</v>
      </c>
      <c r="BH35" s="74" t="n">
        <v>10.5</v>
      </c>
      <c r="BI35" s="75">
        <f>IF('BBG Verify'!S35="","not filed — run on terminal",'BBG Verify'!S35)</f>
        <v/>
      </c>
      <c r="BJ35" s="76" t="inlineStr">
        <is>
          <t>N</t>
        </is>
      </c>
      <c r="BK35" s="77">
        <f>IF('BBG Verify'!K35="","not filed — run on terminal",'BBG Verify'!K35)</f>
        <v/>
      </c>
      <c r="BL35" s="63" t="inlineStr">
        <is>
          <t>N/A</t>
        </is>
      </c>
      <c r="BM35" s="63" t="inlineStr">
        <is>
          <t>N/A</t>
        </is>
      </c>
      <c r="BN35" s="63" t="inlineStr">
        <is>
          <t>N/A</t>
        </is>
      </c>
      <c r="BO35" s="63" t="inlineStr">
        <is>
          <t>N/A</t>
        </is>
      </c>
      <c r="BP35" s="63" t="inlineStr">
        <is>
          <t>N/A</t>
        </is>
      </c>
      <c r="BQ35" s="63" t="inlineStr">
        <is>
          <t>N/A</t>
        </is>
      </c>
      <c r="BR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S35" s="63" t="inlineStr">
        <is>
          <t>China International Capital Corporation Hong Kong Securities Limited; J.P. Morgan Securities (Far East) Limited; Goldman Sachs (Asia) L.L.C.</t>
        </is>
      </c>
      <c r="BT35" s="63" t="inlineStr">
        <is>
          <t>ICBC International Securities Limited; ABCI Securities Company Limited</t>
        </is>
      </c>
      <c r="BU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V35" s="78">
        <f>HYPERLINK("https://www1.hkexnews.hk/listedco/listconews/sehk/2021/0408/2021040800019.pdf","prospectus")</f>
        <v/>
      </c>
      <c r="BW35" s="78">
        <f>HYPERLINK("https://www1.hkexnews.hk/listedco/listconews/sehk/2021/0416/2021041600028.htm","allotment")</f>
        <v/>
      </c>
      <c r="BX35" s="78">
        <f>HYPERLINK("https://www1.hkexnews.hk/listedco/listconews/sehk/2021/0513/2021051300333.pdf","stabilisation")</f>
        <v/>
      </c>
      <c r="BY35" s="76" t="n"/>
      <c r="BZ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72" t="n"/>
      <c r="AC36" s="66" t="n"/>
      <c r="AD36" s="72" t="n"/>
      <c r="AE36" s="63" t="n"/>
      <c r="AF36" s="63" t="inlineStr">
        <is>
          <t>lapsed</t>
        </is>
      </c>
      <c r="AG36" s="63" t="inlineStr">
        <is>
          <t>2021-05-21</t>
        </is>
      </c>
      <c r="AH36" s="63" t="inlineStr">
        <is>
          <t>Goldman Sachs</t>
        </is>
      </c>
      <c r="AI36" s="63" t="inlineStr">
        <is>
          <t>Goldman Sachs</t>
        </is>
      </c>
      <c r="AJ36" s="73" t="n">
        <v>-14.76</v>
      </c>
      <c r="AK36" s="72" t="n">
        <v>-7.62</v>
      </c>
      <c r="AL36" s="72" t="n">
        <v>-7.73</v>
      </c>
      <c r="AM36" s="72" t="n">
        <v>-32.14</v>
      </c>
      <c r="AN36" s="72" t="n">
        <v>-20.95</v>
      </c>
      <c r="AO36" s="72" t="n">
        <v>-52.38</v>
      </c>
      <c r="AP36" s="72" t="n">
        <v>-20.39</v>
      </c>
      <c r="AQ36" s="72" t="n">
        <v>-7.26</v>
      </c>
      <c r="AR36" s="72" t="n">
        <v>-44.13</v>
      </c>
      <c r="AS36" s="72" t="n">
        <v>-27.25</v>
      </c>
      <c r="AT36" s="72" t="n">
        <v>-25.08</v>
      </c>
      <c r="AU36" s="72" t="n">
        <v>-46.33</v>
      </c>
      <c r="AV36" s="72" t="n">
        <v>-12.27</v>
      </c>
      <c r="AW36" s="72" t="n">
        <v>4.13</v>
      </c>
      <c r="AX36" s="72" t="n">
        <v>5.01</v>
      </c>
      <c r="AY36" s="63" t="inlineStr">
        <is>
          <t>China Biotech ETF (HS biotech proxy)</t>
        </is>
      </c>
      <c r="AZ36" s="72" t="n">
        <v>-84.64</v>
      </c>
      <c r="BA36" s="64" t="inlineStr">
        <is>
          <t>2026-08-28</t>
        </is>
      </c>
      <c r="BB36" s="65" t="n">
        <v>0</v>
      </c>
      <c r="BC36" s="68" t="n">
        <v>-799.7</v>
      </c>
      <c r="BD36" s="63" t="inlineStr">
        <is>
          <t>N</t>
        </is>
      </c>
      <c r="BE36" s="63" t="inlineStr">
        <is>
          <t>n/m</t>
        </is>
      </c>
      <c r="BF36" s="74" t="n"/>
      <c r="BG36" s="74" t="n"/>
      <c r="BH36" s="63" t="inlineStr">
        <is>
          <t>pre-rev</t>
        </is>
      </c>
      <c r="BI36" s="75">
        <f>IF('BBG Verify'!S36="","not filed — run on terminal",'BBG Verify'!S36)</f>
        <v/>
      </c>
      <c r="BJ36" s="76" t="inlineStr">
        <is>
          <t>N</t>
        </is>
      </c>
      <c r="BK36" s="77">
        <f>IF('BBG Verify'!K36="","not filed — run on terminal",'BBG Verify'!K36)</f>
        <v/>
      </c>
      <c r="BL36" s="63" t="inlineStr">
        <is>
          <t>N/A</t>
        </is>
      </c>
      <c r="BM36" s="63" t="inlineStr">
        <is>
          <t>N/A</t>
        </is>
      </c>
      <c r="BN36" s="63" t="inlineStr">
        <is>
          <t>N/A</t>
        </is>
      </c>
      <c r="BO36" s="63" t="inlineStr">
        <is>
          <t>N/A</t>
        </is>
      </c>
      <c r="BP36" s="63" t="inlineStr">
        <is>
          <t>N/A</t>
        </is>
      </c>
      <c r="BQ36" s="63" t="inlineStr">
        <is>
          <t>N/A</t>
        </is>
      </c>
      <c r="BR36" s="76" t="inlineStr">
        <is>
          <t>Goldman Sachs (Asia) L.L.C; Jefferies Hong Kong Limited</t>
        </is>
      </c>
      <c r="BS36" s="63" t="inlineStr">
        <is>
          <t>Jefferies Hong Kong Limited; Goldman Sachs (Asia) L.L.C.</t>
        </is>
      </c>
      <c r="BT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U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V36" s="78">
        <f>HYPERLINK("https://www1.hkexnews.hk/listedco/listconews/sehk/2021/0416/2021041600009.pdf","prospectus")</f>
        <v/>
      </c>
      <c r="BW36" s="78">
        <f>HYPERLINK("https://www1.hkexnews.hk/listedco/listconews/sehk/2021/0428/2021042800066.htm","allotment")</f>
        <v/>
      </c>
      <c r="BX36" s="78">
        <f>HYPERLINK("https://www1.hkexnews.hk/listedco/listconews/sehk/2021/0521/2021052101496.pdf","stabilisation")</f>
        <v/>
      </c>
      <c r="BY36" s="76" t="n"/>
      <c r="BZ36" s="63" t="inlineStr">
        <is>
          <t>P/E: n/m — loss-making at IPO (use P/S) · A/H: no A-share listing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72" t="n"/>
      <c r="AC37" s="66" t="n"/>
      <c r="AD37" s="72" t="n"/>
      <c r="AE37" s="63" t="n"/>
      <c r="AF37" s="63" t="inlineStr">
        <is>
          <t>lapsed</t>
        </is>
      </c>
      <c r="AG37" s="63" t="n"/>
      <c r="AH37" s="63" t="inlineStr">
        <is>
          <t>Credit Suisse</t>
        </is>
      </c>
      <c r="AI37" s="63" t="inlineStr">
        <is>
          <t>Credit Suisse</t>
        </is>
      </c>
      <c r="AJ37" s="73" t="n">
        <v>-16.47</v>
      </c>
      <c r="AK37" s="72" t="n">
        <v>-9.84</v>
      </c>
      <c r="AL37" s="72" t="n">
        <v>-7.35</v>
      </c>
      <c r="AM37" s="72" t="n">
        <v>-7.63</v>
      </c>
      <c r="AN37" s="72" t="n">
        <v>-9.640000000000001</v>
      </c>
      <c r="AO37" s="72" t="n">
        <v>-12.45</v>
      </c>
      <c r="AP37" s="72" t="n">
        <v>10.58</v>
      </c>
      <c r="AQ37" s="72" t="n">
        <v>8.18</v>
      </c>
      <c r="AR37" s="72" t="n">
        <v>4.81</v>
      </c>
      <c r="AS37" s="72" t="n">
        <v>-9.73</v>
      </c>
      <c r="AT37" s="72" t="n">
        <v>-12.34</v>
      </c>
      <c r="AU37" s="72" t="n">
        <v>-5.34</v>
      </c>
      <c r="AV37" s="72" t="n">
        <v>5.34</v>
      </c>
      <c r="AW37" s="72" t="n">
        <v>2.7</v>
      </c>
      <c r="AX37" s="72" t="n">
        <v>2.84</v>
      </c>
      <c r="AY37" s="63" t="inlineStr">
        <is>
          <t>Hang Seng Properties sub-index</t>
        </is>
      </c>
      <c r="AZ37" s="72" t="n">
        <v>-49.2</v>
      </c>
      <c r="BA37" s="64" t="inlineStr">
        <is>
          <t>2026-08-28</t>
        </is>
      </c>
      <c r="BB37" s="65" t="n">
        <v>279</v>
      </c>
      <c r="BC37" s="68" t="n">
        <v>26.9</v>
      </c>
      <c r="BD37" s="63" t="inlineStr">
        <is>
          <t>Y</t>
        </is>
      </c>
      <c r="BE37" s="74" t="n">
        <v>153.5</v>
      </c>
      <c r="BF37" s="74" t="n"/>
      <c r="BG37" s="74" t="n">
        <v>106.9</v>
      </c>
      <c r="BH37" s="74" t="n">
        <v>14.8</v>
      </c>
      <c r="BI37" s="75">
        <f>IF('BBG Verify'!S37="","not filed — run on terminal",'BBG Verify'!S37)</f>
        <v/>
      </c>
      <c r="BJ37" s="76" t="inlineStr">
        <is>
          <t>N</t>
        </is>
      </c>
      <c r="BK37" s="77">
        <f>IF('BBG Verify'!K37="","not filed — run on terminal",'BBG Verify'!K37)</f>
        <v/>
      </c>
      <c r="BL37" s="63" t="inlineStr">
        <is>
          <t>N/A</t>
        </is>
      </c>
      <c r="BM37" s="63" t="inlineStr">
        <is>
          <t>N/A</t>
        </is>
      </c>
      <c r="BN37" s="63" t="inlineStr">
        <is>
          <t>N/A</t>
        </is>
      </c>
      <c r="BO37" s="63" t="inlineStr">
        <is>
          <t>N/A</t>
        </is>
      </c>
      <c r="BP37" s="63" t="inlineStr">
        <is>
          <t>N/A</t>
        </is>
      </c>
      <c r="BQ37" s="63" t="inlineStr">
        <is>
          <t>N/A</t>
        </is>
      </c>
      <c r="BR37" s="76" t="n"/>
      <c r="BS37" s="63" t="inlineStr">
        <is>
          <t>Credit Suisse (Hong Kong) Limited; DBS Asia Capital Limited; J.P. Morgan Securities (Asia Pacific) Limited</t>
        </is>
      </c>
      <c r="BT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U37" s="63" t="inlineStr">
        <is>
          <t>Credit Suisse (Hong Kong) Limited; DBS Asia Capital Limited; J.P. Morgan Securities (Asia Pacific) Limited</t>
        </is>
      </c>
      <c r="BV37" s="78">
        <f>HYPERLINK("https://www1.hkexnews.hk/listedco/listconews/sehk/2021/0505/2021050500053.pdf","prospectus")</f>
        <v/>
      </c>
      <c r="BW37" s="78">
        <f>HYPERLINK("https://www1.hkexnews.hk/listedco/listconews/sehk/2021/0514/2021051400092.htm","allotment")</f>
        <v/>
      </c>
      <c r="BX37" s="78">
        <f>HYPERLINK("https://www1.hkexnews.hk/listedco/listconews/sehk/2021/0609/2021060900679.pdf","stabilisation")</f>
        <v/>
      </c>
      <c r="BY37" s="76" t="n"/>
      <c r="BZ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72" t="n"/>
      <c r="AC38" s="66" t="n"/>
      <c r="AD38" s="72" t="n"/>
      <c r="AE38" s="63" t="n"/>
      <c r="AF38" s="63" t="inlineStr">
        <is>
          <t>partial</t>
        </is>
      </c>
      <c r="AG38" s="63" t="n"/>
      <c r="AH38" s="63" t="n"/>
      <c r="AI38" s="63" t="n"/>
      <c r="AJ38" s="73" t="n">
        <v>0.53</v>
      </c>
      <c r="AK38" s="72" t="n">
        <v>0</v>
      </c>
      <c r="AL38" s="72" t="n">
        <v>0.53</v>
      </c>
      <c r="AM38" s="72" t="n">
        <v>5</v>
      </c>
      <c r="AN38" s="72" t="n">
        <v>-25.79</v>
      </c>
      <c r="AO38" s="72" t="n">
        <v>-45.26</v>
      </c>
      <c r="AP38" s="72" t="n">
        <v>4.45</v>
      </c>
      <c r="AQ38" s="72" t="n">
        <v>-26.18</v>
      </c>
      <c r="AR38" s="72" t="n">
        <v>-45.55</v>
      </c>
      <c r="AS38" s="72" t="n">
        <v>3.61</v>
      </c>
      <c r="AT38" s="72" t="n">
        <v>-26.66</v>
      </c>
      <c r="AU38" s="72" t="n">
        <v>-35.18</v>
      </c>
      <c r="AV38" s="72" t="n">
        <v>-26.45</v>
      </c>
      <c r="AW38" s="72" t="n">
        <v>0.87</v>
      </c>
      <c r="AX38" s="72" t="n">
        <v>0.27</v>
      </c>
      <c r="AY38" s="63" t="inlineStr">
        <is>
          <t>Hang Seng Properties sub-index</t>
        </is>
      </c>
      <c r="AZ38" s="72" t="n">
        <v>-54.74</v>
      </c>
      <c r="BA38" s="64" t="inlineStr">
        <is>
          <t>2026-08-28</t>
        </is>
      </c>
      <c r="BB38" s="65" t="n">
        <v>647.1</v>
      </c>
      <c r="BC38" s="68" t="n">
        <v>120.7</v>
      </c>
      <c r="BD38" s="63" t="inlineStr">
        <is>
          <t>Y</t>
        </is>
      </c>
      <c r="BE38" s="74" t="n">
        <v>30.5</v>
      </c>
      <c r="BF38" s="74" t="n"/>
      <c r="BG38" s="74" t="n">
        <v>5.9</v>
      </c>
      <c r="BH38" s="74" t="n">
        <v>5.7</v>
      </c>
      <c r="BI38" s="75">
        <f>IF('BBG Verify'!S38="","not filed — run on terminal",'BBG Verify'!S38)</f>
        <v/>
      </c>
      <c r="BJ38" s="76" t="inlineStr">
        <is>
          <t>N</t>
        </is>
      </c>
      <c r="BK38" s="77">
        <f>IF('BBG Verify'!K38="","not filed — run on terminal",'BBG Verify'!K38)</f>
        <v/>
      </c>
      <c r="BL38" s="63" t="inlineStr">
        <is>
          <t>N/A</t>
        </is>
      </c>
      <c r="BM38" s="63" t="inlineStr">
        <is>
          <t>N/A</t>
        </is>
      </c>
      <c r="BN38" s="63" t="inlineStr">
        <is>
          <t>N/A</t>
        </is>
      </c>
      <c r="BO38" s="63" t="inlineStr">
        <is>
          <t>N/A</t>
        </is>
      </c>
      <c r="BP38" s="63" t="inlineStr">
        <is>
          <t>N/A</t>
        </is>
      </c>
      <c r="BQ38" s="63" t="inlineStr">
        <is>
          <t>N/A</t>
        </is>
      </c>
      <c r="BR38" s="76" t="inlineStr">
        <is>
          <t>ABCI Capital Limited</t>
        </is>
      </c>
      <c r="BS38" s="63" t="inlineStr">
        <is>
          <t>ABCI Capital Limited</t>
        </is>
      </c>
      <c r="BT38" s="63" t="inlineStr">
        <is>
          <t>ABCI Capital Limited; Haitong International Securities Company Limited; CMB International Capital Limited; CLSA Limited; CMBC Securities Company Limited; China Everbright Securities (HK) Limited</t>
        </is>
      </c>
      <c r="BU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V38" s="78">
        <f>HYPERLINK("https://www1.hkexnews.hk/listedco/listconews/sehk/2021/0511/2021051100021.pdf","prospectus")</f>
        <v/>
      </c>
      <c r="BW38" s="78">
        <f>HYPERLINK("https://www1.hkexnews.hk/listedco/listconews/sehk/2021/0524/2021052400010.htm","allotment")</f>
        <v/>
      </c>
      <c r="BX38" s="78">
        <f>HYPERLINK("https://www1.hkexnews.hk/listedco/listconews/sehk/2021/0615/2021061500076.pdf","stabilisation")</f>
        <v/>
      </c>
      <c r="BY38" s="76" t="n"/>
      <c r="BZ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72" t="n"/>
      <c r="AC39" s="66" t="n"/>
      <c r="AD39" s="72" t="n"/>
      <c r="AE39" s="63" t="n"/>
      <c r="AF39" s="63" t="n"/>
      <c r="AG39" s="63" t="inlineStr">
        <is>
          <t>2021-06-20</t>
        </is>
      </c>
      <c r="AH39" s="63" t="inlineStr">
        <is>
          <t>Merrill Lynch</t>
        </is>
      </c>
      <c r="AI39" s="63" t="inlineStr">
        <is>
          <t>Merrill Lynch</t>
        </is>
      </c>
      <c r="AJ39" s="73" t="n">
        <v>3.32</v>
      </c>
      <c r="AK39" s="72" t="n">
        <v>14.1</v>
      </c>
      <c r="AL39" s="72" t="n">
        <v>-9.449999999999999</v>
      </c>
      <c r="AM39" s="72" t="n">
        <v>16.33</v>
      </c>
      <c r="AN39" s="72" t="n">
        <v>4.19</v>
      </c>
      <c r="AO39" s="72" t="n">
        <v>-24.18</v>
      </c>
      <c r="AP39" s="72" t="n">
        <v>12.59</v>
      </c>
      <c r="AQ39" s="72" t="n">
        <v>0.84</v>
      </c>
      <c r="AR39" s="72" t="n">
        <v>-26.62</v>
      </c>
      <c r="AS39" s="72" t="n">
        <v>15.58</v>
      </c>
      <c r="AT39" s="72" t="n">
        <v>-0.14</v>
      </c>
      <c r="AU39" s="72" t="n">
        <v>-9.92</v>
      </c>
      <c r="AV39" s="72" t="n">
        <v>-4.79</v>
      </c>
      <c r="AW39" s="72" t="n">
        <v>4.33</v>
      </c>
      <c r="AX39" s="72" t="n">
        <v>5.63</v>
      </c>
      <c r="AY39" s="63" t="inlineStr">
        <is>
          <t>Hang Seng Commerce &amp; Industry sub-index</t>
        </is>
      </c>
      <c r="AZ39" s="72" t="n">
        <v>-72.5</v>
      </c>
      <c r="BA39" s="64" t="inlineStr">
        <is>
          <t>2026-08-28</t>
        </is>
      </c>
      <c r="BB39" s="65" t="n"/>
      <c r="BC39" s="68" t="n"/>
      <c r="BD39" s="63" t="n"/>
      <c r="BE39" s="75">
        <f>IF('BBG Verify'!O39="","not filed — run on terminal",'BBG Verify'!O39)</f>
        <v/>
      </c>
      <c r="BF39" s="74" t="n"/>
      <c r="BG39" s="74" t="n">
        <v>8.9</v>
      </c>
      <c r="BH39" s="74" t="n"/>
      <c r="BI39" s="75">
        <f>IF('BBG Verify'!S39="","not filed — run on terminal",'BBG Verify'!S39)</f>
        <v/>
      </c>
      <c r="BJ39" s="76" t="inlineStr">
        <is>
          <t>N</t>
        </is>
      </c>
      <c r="BK39" s="77">
        <f>IF('BBG Verify'!K39="","not filed — run on terminal",'BBG Verify'!K39)</f>
        <v/>
      </c>
      <c r="BL39" s="63" t="inlineStr">
        <is>
          <t>N/A</t>
        </is>
      </c>
      <c r="BM39" s="63" t="inlineStr">
        <is>
          <t>N/A</t>
        </is>
      </c>
      <c r="BN39" s="63" t="inlineStr">
        <is>
          <t>N/A</t>
        </is>
      </c>
      <c r="BO39" s="63" t="inlineStr">
        <is>
          <t>N/A</t>
        </is>
      </c>
      <c r="BP39" s="63" t="inlineStr">
        <is>
          <t>N/A</t>
        </is>
      </c>
      <c r="BQ39" s="63" t="inlineStr">
        <is>
          <t>N/A</t>
        </is>
      </c>
      <c r="BR39" s="76" t="inlineStr">
        <is>
          <t>BofA Securities; Goldman Sachs; Haitong International</t>
        </is>
      </c>
      <c r="BS39" s="63" t="inlineStr">
        <is>
          <t>Haitong International Capital Limited; Merrill Lynch (Asia Pacific) Limited; Goldman Sachs (Asia) L.L.C.</t>
        </is>
      </c>
      <c r="BT39" s="63" t="inlineStr">
        <is>
          <t>ABCI Securities Company Limited; Beta International Securities Limited; BOCI Asia Limited; CCB International Capital Limited; CLSA Limited; CMB International Capital Limited</t>
        </is>
      </c>
      <c r="BU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V39" s="63" t="n"/>
      <c r="BW39" s="78">
        <f>HYPERLINK("https://www1.hkexnews.hk/listedco/listconews/sehk/2021/0527/2021052700014.htm","allotment")</f>
        <v/>
      </c>
      <c r="BX39" s="63" t="n"/>
      <c r="BY39" s="76" t="n"/>
      <c r="BZ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72" t="n"/>
      <c r="AC40" s="66" t="n"/>
      <c r="AD40" s="72" t="n"/>
      <c r="AE40" s="63" t="n"/>
      <c r="AF40" s="63" t="inlineStr">
        <is>
          <t>lapsed</t>
        </is>
      </c>
      <c r="AG40" s="63" t="inlineStr">
        <is>
          <t>2021-06-23</t>
        </is>
      </c>
      <c r="AH40" s="63" t="inlineStr">
        <is>
          <t>BN P Paribas Securities</t>
        </is>
      </c>
      <c r="AI40" s="63" t="inlineStr">
        <is>
          <t>BN P</t>
        </is>
      </c>
      <c r="AJ40" s="73" t="n">
        <v>-12</v>
      </c>
      <c r="AK40" s="72" t="n">
        <v>-16.67</v>
      </c>
      <c r="AL40" s="72" t="n">
        <v>5.6</v>
      </c>
      <c r="AM40" s="72" t="n">
        <v>-9</v>
      </c>
      <c r="AN40" s="72" t="n">
        <v>-23.67</v>
      </c>
      <c r="AO40" s="72" t="n">
        <v>-38.33</v>
      </c>
      <c r="AP40" s="72" t="n">
        <v>3.41</v>
      </c>
      <c r="AQ40" s="72" t="n">
        <v>-13.26</v>
      </c>
      <c r="AR40" s="72" t="n">
        <v>-29.92</v>
      </c>
      <c r="AS40" s="72" t="n">
        <v>-6.86</v>
      </c>
      <c r="AT40" s="72" t="n">
        <v>-20.27</v>
      </c>
      <c r="AU40" s="72" t="n">
        <v>-25.76</v>
      </c>
      <c r="AV40" s="72" t="n">
        <v>-11.26</v>
      </c>
      <c r="AW40" s="72" t="n">
        <v>-3.4</v>
      </c>
      <c r="AX40" s="72" t="n">
        <v>-2</v>
      </c>
      <c r="AY40" s="63" t="inlineStr">
        <is>
          <t>Hang Seng Properties sub-index</t>
        </is>
      </c>
      <c r="AZ40" s="72" t="n">
        <v>-97.09999999999999</v>
      </c>
      <c r="BA40" s="64" t="inlineStr">
        <is>
          <t>2026-08-28</t>
        </is>
      </c>
      <c r="BB40" s="65" t="n">
        <v>1267.2</v>
      </c>
      <c r="BC40" s="68" t="n">
        <v>749.1</v>
      </c>
      <c r="BD40" s="63" t="inlineStr">
        <is>
          <t>Y</t>
        </is>
      </c>
      <c r="BE40" s="74" t="n">
        <v>11.6</v>
      </c>
      <c r="BF40" s="74" t="n"/>
      <c r="BG40" s="74" t="n">
        <v>6.1</v>
      </c>
      <c r="BH40" s="74" t="n">
        <v>6.9</v>
      </c>
      <c r="BI40" s="75">
        <f>IF('BBG Verify'!S40="","not filed — run on terminal",'BBG Verify'!S40)</f>
        <v/>
      </c>
      <c r="BJ40" s="76" t="inlineStr">
        <is>
          <t>N</t>
        </is>
      </c>
      <c r="BK40" s="77">
        <f>IF('BBG Verify'!K40="","not filed — run on terminal",'BBG Verify'!K40)</f>
        <v/>
      </c>
      <c r="BL40" s="63" t="inlineStr">
        <is>
          <t>N/A</t>
        </is>
      </c>
      <c r="BM40" s="63" t="inlineStr">
        <is>
          <t>N/A</t>
        </is>
      </c>
      <c r="BN40" s="63" t="inlineStr">
        <is>
          <t>N/A</t>
        </is>
      </c>
      <c r="BO40" s="63" t="inlineStr">
        <is>
          <t>N/A</t>
        </is>
      </c>
      <c r="BP40" s="63" t="inlineStr">
        <is>
          <t>N/A</t>
        </is>
      </c>
      <c r="BQ40" s="63" t="inlineStr">
        <is>
          <t>N/A</t>
        </is>
      </c>
      <c r="BR40" s="76" t="inlineStr">
        <is>
          <t>ICBC International Capital Limited; CCB International Capital Limited; Sole financial advisor to CCRE and our Company BNP Paribas Securities (Asia) Limited</t>
        </is>
      </c>
      <c r="BS40" s="63" t="inlineStr">
        <is>
          <t>CCB International Capital Limited; ICBC International Capital Limited</t>
        </is>
      </c>
      <c r="BT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U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V40" s="78">
        <f>HYPERLINK("https://www1.hkexnews.hk/listedco/listconews/sehk/2021/0518/2021051800033.pdf","prospectus")</f>
        <v/>
      </c>
      <c r="BW40" s="78">
        <f>HYPERLINK("https://www1.hkexnews.hk/listedco/listconews/sehk/2021/0528/2021052800048.htm","allotment")</f>
        <v/>
      </c>
      <c r="BX40" s="78">
        <f>HYPERLINK("https://www1.hkexnews.hk/listedco/listconews/sehk/2021/0623/2021062301182.pdf","stabilisation")</f>
        <v/>
      </c>
      <c r="BY40" s="76" t="n"/>
      <c r="BZ4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72" t="n"/>
      <c r="AC41" s="66" t="n"/>
      <c r="AD41" s="72" t="n"/>
      <c r="AE41" s="63" t="n"/>
      <c r="AF41" s="63" t="inlineStr">
        <is>
          <t>full</t>
        </is>
      </c>
      <c r="AG41" s="63" t="inlineStr">
        <is>
          <t>2021-07-08</t>
        </is>
      </c>
      <c r="AH41" s="63" t="inlineStr">
        <is>
          <t>Goldman Sachs</t>
        </is>
      </c>
      <c r="AI41" s="63" t="inlineStr">
        <is>
          <t>Goldman Sachs</t>
        </is>
      </c>
      <c r="AJ41" s="73" t="n">
        <v>131.79</v>
      </c>
      <c r="AK41" s="72" t="n">
        <v>131.21</v>
      </c>
      <c r="AL41" s="72" t="n">
        <v>0.25</v>
      </c>
      <c r="AM41" s="72" t="n">
        <v>144.51</v>
      </c>
      <c r="AN41" s="72" t="n">
        <v>141.97</v>
      </c>
      <c r="AO41" s="72" t="n">
        <v>109.36</v>
      </c>
      <c r="AP41" s="72" t="n">
        <v>5.49</v>
      </c>
      <c r="AQ41" s="72" t="n">
        <v>4.39</v>
      </c>
      <c r="AR41" s="72" t="n">
        <v>-9.68</v>
      </c>
      <c r="AS41" s="72" t="n">
        <v>141.81</v>
      </c>
      <c r="AT41" s="72" t="n">
        <v>141.37</v>
      </c>
      <c r="AU41" s="72" t="n">
        <v>123.22</v>
      </c>
      <c r="AV41" s="72" t="n">
        <v>0.89</v>
      </c>
      <c r="AW41" s="72" t="n">
        <v>0.6</v>
      </c>
      <c r="AX41" s="72" t="n">
        <v>3.5</v>
      </c>
      <c r="AY41" s="63" t="inlineStr">
        <is>
          <t>China Biotech ETF (HS biotech proxy)</t>
        </is>
      </c>
      <c r="AZ41" s="72" t="n">
        <v>-48.82</v>
      </c>
      <c r="BA41" s="64" t="inlineStr">
        <is>
          <t>2026-08-28</t>
        </is>
      </c>
      <c r="BB41" s="65" t="n">
        <v>898.2</v>
      </c>
      <c r="BC41" s="68" t="n">
        <v>166</v>
      </c>
      <c r="BD41" s="63" t="inlineStr">
        <is>
          <t>Y</t>
        </is>
      </c>
      <c r="BE41" s="74" t="n">
        <v>146.8</v>
      </c>
      <c r="BF41" s="74" t="n">
        <v>282.1</v>
      </c>
      <c r="BG41" s="74" t="n">
        <v>70.59999999999999</v>
      </c>
      <c r="BH41" s="74" t="n">
        <v>27.1</v>
      </c>
      <c r="BI41" s="75">
        <f>IF('BBG Verify'!S41="","not filed — run on terminal",'BBG Verify'!S41)</f>
        <v/>
      </c>
      <c r="BJ41" s="76" t="inlineStr">
        <is>
          <t>N</t>
        </is>
      </c>
      <c r="BK41" s="77">
        <f>IF('BBG Verify'!K41="","not filed — run on terminal",'BBG Verify'!K41)</f>
        <v/>
      </c>
      <c r="BL41" s="63" t="inlineStr">
        <is>
          <t>N/A</t>
        </is>
      </c>
      <c r="BM41" s="63" t="inlineStr">
        <is>
          <t>N/A</t>
        </is>
      </c>
      <c r="BN41" s="63" t="inlineStr">
        <is>
          <t>N/A</t>
        </is>
      </c>
      <c r="BO41" s="63" t="inlineStr">
        <is>
          <t>N/A</t>
        </is>
      </c>
      <c r="BP41" s="63" t="inlineStr">
        <is>
          <t>N/A</t>
        </is>
      </c>
      <c r="BQ41" s="63" t="inlineStr">
        <is>
          <t>N/A</t>
        </is>
      </c>
      <c r="BR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S41" s="63" t="inlineStr">
        <is>
          <t>China International Capital Corporation Hong Kong Securities Limited; Goldman Sachs (Asia) L.L.C.</t>
        </is>
      </c>
      <c r="BT41" s="63" t="inlineStr">
        <is>
          <t>China International Capital Corporation Hong Kong Securities Limited; Goldman Sachs (Asia) L.L.C.</t>
        </is>
      </c>
      <c r="BU41" s="63" t="inlineStr">
        <is>
          <t>China International Capital Corporation Hong Kong Securities Limited; Goldman Sachs (Asia) L.L.C.</t>
        </is>
      </c>
      <c r="BV41" s="78">
        <f>HYPERLINK("https://www1.hkexnews.hk/listedco/listconews/sehk/2021/0603/2021060300011.pdf","prospectus")</f>
        <v/>
      </c>
      <c r="BW41" s="78">
        <f>HYPERLINK("https://www1.hkexnews.hk/listedco/listconews/sehk/2021/0615/2021061500010.htm","allotment")</f>
        <v/>
      </c>
      <c r="BX41" s="78">
        <f>HYPERLINK("https://www1.hkexnews.hk/listedco/listconews/sehk/2021/0708/2021070801042.pdf","stabilisation")</f>
        <v/>
      </c>
      <c r="BY41" s="76" t="n"/>
      <c r="BZ4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72" t="n"/>
      <c r="AC42" s="66" t="n"/>
      <c r="AD42" s="72" t="n"/>
      <c r="AE42" s="63" t="n"/>
      <c r="AF42" s="63" t="inlineStr">
        <is>
          <t>lapsed</t>
        </is>
      </c>
      <c r="AG42" s="63" t="inlineStr">
        <is>
          <t>2021-07-10</t>
        </is>
      </c>
      <c r="AH42" s="63" t="inlineStr">
        <is>
          <t>Goldman Sachs</t>
        </is>
      </c>
      <c r="AI42" s="63" t="inlineStr">
        <is>
          <t>Goldman Sachs</t>
        </is>
      </c>
      <c r="AJ42" s="73" t="n">
        <v>-8.539999999999999</v>
      </c>
      <c r="AK42" s="72" t="n">
        <v>-17.53</v>
      </c>
      <c r="AL42" s="72" t="n">
        <v>10.9</v>
      </c>
      <c r="AM42" s="72" t="n">
        <v>-3.05</v>
      </c>
      <c r="AN42" s="72" t="n">
        <v>-8.69</v>
      </c>
      <c r="AO42" s="72" t="n">
        <v>32.16</v>
      </c>
      <c r="AP42" s="72" t="n">
        <v>6</v>
      </c>
      <c r="AQ42" s="72" t="n">
        <v>-0.16</v>
      </c>
      <c r="AR42" s="72" t="n">
        <v>44.5</v>
      </c>
      <c r="AS42" s="72" t="n">
        <v>-9.98</v>
      </c>
      <c r="AT42" s="72" t="n">
        <v>-12.93</v>
      </c>
      <c r="AU42" s="72" t="n">
        <v>45.72</v>
      </c>
      <c r="AV42" s="72" t="n">
        <v>-2.78</v>
      </c>
      <c r="AW42" s="72" t="n">
        <v>4.24</v>
      </c>
      <c r="AX42" s="72" t="n">
        <v>2.62</v>
      </c>
      <c r="AY42" s="63" t="inlineStr">
        <is>
          <t>China Biotech ETF (HS biotech proxy)</t>
        </is>
      </c>
      <c r="AZ42" s="72" t="n">
        <v>-58.93</v>
      </c>
      <c r="BA42" s="64" t="inlineStr">
        <is>
          <t>2026-08-28</t>
        </is>
      </c>
      <c r="BB42" s="65" t="n">
        <v>34.1</v>
      </c>
      <c r="BC42" s="68" t="n">
        <v>-291.6</v>
      </c>
      <c r="BD42" s="63" t="inlineStr">
        <is>
          <t>N</t>
        </is>
      </c>
      <c r="BE42" s="63" t="inlineStr">
        <is>
          <t>n/m</t>
        </is>
      </c>
      <c r="BF42" s="74" t="n"/>
      <c r="BG42" s="74" t="n"/>
      <c r="BH42" s="74" t="n">
        <v>519.1</v>
      </c>
      <c r="BI42" s="75">
        <f>IF('BBG Verify'!S42="","not filed — run on terminal",'BBG Verify'!S42)</f>
        <v/>
      </c>
      <c r="BJ42" s="76" t="inlineStr">
        <is>
          <t>N</t>
        </is>
      </c>
      <c r="BK42" s="77">
        <f>IF('BBG Verify'!K42="","not filed — run on terminal",'BBG Verify'!K42)</f>
        <v/>
      </c>
      <c r="BL42" s="63" t="inlineStr">
        <is>
          <t>N/A</t>
        </is>
      </c>
      <c r="BM42" s="63" t="inlineStr">
        <is>
          <t>N/A</t>
        </is>
      </c>
      <c r="BN42" s="63" t="inlineStr">
        <is>
          <t>N/A</t>
        </is>
      </c>
      <c r="BO42" s="63" t="inlineStr">
        <is>
          <t>N/A</t>
        </is>
      </c>
      <c r="BP42" s="63" t="inlineStr">
        <is>
          <t>N/A</t>
        </is>
      </c>
      <c r="BQ42" s="63" t="inlineStr">
        <is>
          <t>N/A</t>
        </is>
      </c>
      <c r="BR42" s="76" t="inlineStr">
        <is>
          <t>Goldman Sachs (Asia) L.L.C; UBS Securities Hong Kong Limited</t>
        </is>
      </c>
      <c r="BS42" s="63" t="inlineStr">
        <is>
          <t>UBS Securities Hong Kong Limited; Goldman Sachs (Asia) L.L.C.</t>
        </is>
      </c>
      <c r="BT42" s="63" t="inlineStr">
        <is>
          <t>Goldman Sachs (Asia) L.L.C; UBS AG Hong Kong Branch; CLSA Limited; Credit Suisse (Hong Kong) Limited</t>
        </is>
      </c>
      <c r="BU42" s="63" t="inlineStr">
        <is>
          <t>CLSA Limited; Credit Suisse (Hong Kong) Limited; Goldman Sachs (Asia) L.L.C.; UBS AG Hong Kong Branch</t>
        </is>
      </c>
      <c r="BV42" s="78">
        <f>HYPERLINK("https://www1.hkexnews.hk/listedco/listconews/sehk/2021/0607/2021060700009.pdf","prospectus")</f>
        <v/>
      </c>
      <c r="BW42" s="78">
        <f>HYPERLINK("https://www1.hkexnews.hk/listedco/listconews/sehk/2021/0617/2021061700006.htm","allotment")</f>
        <v/>
      </c>
      <c r="BX42" s="78">
        <f>HYPERLINK("https://www1.hkexnews.hk/listedco/listconews/sehk/2021/0712/2021071200836.pdf","stabilisation")</f>
        <v/>
      </c>
      <c r="BY42" s="76" t="n"/>
      <c r="BZ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72" t="n"/>
      <c r="AC43" s="66" t="n"/>
      <c r="AD43" s="72" t="n"/>
      <c r="AE43" s="63" t="n"/>
      <c r="AF43" s="63" t="inlineStr">
        <is>
          <t>lapsed</t>
        </is>
      </c>
      <c r="AG43" s="63" t="inlineStr">
        <is>
          <t>2021-07-10</t>
        </is>
      </c>
      <c r="AH43" s="63" t="inlineStr">
        <is>
          <t>Credit Suisse</t>
        </is>
      </c>
      <c r="AI43" s="63" t="inlineStr">
        <is>
          <t>Credit Suisse</t>
        </is>
      </c>
      <c r="AJ43" s="73" t="n">
        <v>-11.89</v>
      </c>
      <c r="AK43" s="72" t="n">
        <v>-10.03</v>
      </c>
      <c r="AL43" s="72" t="n">
        <v>-2.07</v>
      </c>
      <c r="AM43" s="72" t="n">
        <v>-11.32</v>
      </c>
      <c r="AN43" s="72" t="n">
        <v>-26.93</v>
      </c>
      <c r="AO43" s="72" t="n">
        <v>-29.08</v>
      </c>
      <c r="AP43" s="72" t="n">
        <v>0.65</v>
      </c>
      <c r="AQ43" s="72" t="n">
        <v>-17.07</v>
      </c>
      <c r="AR43" s="72" t="n">
        <v>-19.51</v>
      </c>
      <c r="AS43" s="72" t="n">
        <v>-16.57</v>
      </c>
      <c r="AT43" s="72" t="n">
        <v>-23.51</v>
      </c>
      <c r="AU43" s="72" t="n">
        <v>-13.87</v>
      </c>
      <c r="AV43" s="72" t="n">
        <v>-11.66</v>
      </c>
      <c r="AW43" s="72" t="n">
        <v>-3.42</v>
      </c>
      <c r="AX43" s="72" t="n">
        <v>-5.41</v>
      </c>
      <c r="AY43" s="63" t="inlineStr">
        <is>
          <t>Hang Seng Commerce &amp; Industry sub-index</t>
        </is>
      </c>
      <c r="AZ43" s="72" t="n">
        <v>-43.84</v>
      </c>
      <c r="BA43" s="64" t="inlineStr">
        <is>
          <t>2026-08-28</t>
        </is>
      </c>
      <c r="BB43" s="65" t="n">
        <v>12959.3</v>
      </c>
      <c r="BC43" s="68" t="n">
        <v>1694.7</v>
      </c>
      <c r="BD43" s="63" t="inlineStr">
        <is>
          <t>Y</t>
        </is>
      </c>
      <c r="BE43" s="74" t="n">
        <v>18.7</v>
      </c>
      <c r="BF43" s="74" t="n">
        <v>12.3</v>
      </c>
      <c r="BG43" s="74" t="n"/>
      <c r="BH43" s="74" t="n">
        <v>2.4</v>
      </c>
      <c r="BI43" s="75">
        <f>IF('BBG Verify'!S43="","not filed — run on terminal",'BBG Verify'!S43)</f>
        <v/>
      </c>
      <c r="BJ43" s="76" t="inlineStr">
        <is>
          <t>N</t>
        </is>
      </c>
      <c r="BK43" s="77">
        <f>IF('BBG Verify'!K43="","not filed — run on terminal",'BBG Verify'!K43)</f>
        <v/>
      </c>
      <c r="BL43" s="63" t="inlineStr">
        <is>
          <t>N/A</t>
        </is>
      </c>
      <c r="BM43" s="63" t="inlineStr">
        <is>
          <t>N/A</t>
        </is>
      </c>
      <c r="BN43" s="63" t="inlineStr">
        <is>
          <t>N/A</t>
        </is>
      </c>
      <c r="BO43" s="63" t="inlineStr">
        <is>
          <t>N/A</t>
        </is>
      </c>
      <c r="BP43" s="63" t="inlineStr">
        <is>
          <t>N/A</t>
        </is>
      </c>
      <c r="BQ43" s="63" t="inlineStr">
        <is>
          <t>N/A</t>
        </is>
      </c>
      <c r="BR43" s="76" t="inlineStr">
        <is>
          <t>Huatai Financial Holdings (Hong Kong) Limited; Credit Suisse (Hong Kong) Limited</t>
        </is>
      </c>
      <c r="BS43" s="63" t="inlineStr">
        <is>
          <t>Huatai Financial Holdings (Hong Kong) Limited; Credit Suisse (Hong Kong) Limited</t>
        </is>
      </c>
      <c r="BT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U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V43" s="78">
        <f>HYPERLINK("https://www1.hkexnews.hk/listedco/listconews/sehk/2021/0607/2021060700019.pdf","prospectus")</f>
        <v/>
      </c>
      <c r="BW43" s="78">
        <f>HYPERLINK("https://www1.hkexnews.hk/listedco/listconews/sehk/2021/0617/2021061700034.htm","allotment")</f>
        <v/>
      </c>
      <c r="BX43" s="78">
        <f>HYPERLINK("https://www1.hkexnews.hk/listedco/listconews/sehk/2021/0711/2021071100011.pdf","stabilisation")</f>
        <v/>
      </c>
      <c r="BY43" s="76" t="n"/>
      <c r="BZ43"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72" t="n"/>
      <c r="AC44" s="66" t="n"/>
      <c r="AD44" s="72" t="n"/>
      <c r="AE44" s="63" t="n"/>
      <c r="AF44" s="63" t="inlineStr">
        <is>
          <t>full</t>
        </is>
      </c>
      <c r="AG44" s="63" t="n"/>
      <c r="AH44" s="63" t="inlineStr">
        <is>
          <t>Sinolink Securities</t>
        </is>
      </c>
      <c r="AI44" s="63" t="inlineStr">
        <is>
          <t>Sinolink</t>
        </is>
      </c>
      <c r="AJ44" s="73" t="n">
        <v>258.87</v>
      </c>
      <c r="AK44" s="72" t="n">
        <v>100</v>
      </c>
      <c r="AL44" s="72" t="n">
        <v>79.44</v>
      </c>
      <c r="AM44" s="72" t="n">
        <v>459.68</v>
      </c>
      <c r="AN44" s="72" t="n">
        <v>303.23</v>
      </c>
      <c r="AO44" s="72" t="n">
        <v>290.73</v>
      </c>
      <c r="AP44" s="72" t="n">
        <v>55.96</v>
      </c>
      <c r="AQ44" s="72" t="n">
        <v>12.36</v>
      </c>
      <c r="AR44" s="72" t="n">
        <v>8.880000000000001</v>
      </c>
      <c r="AS44" s="72" t="n">
        <v>465.73</v>
      </c>
      <c r="AT44" s="72" t="n">
        <v>316.25</v>
      </c>
      <c r="AU44" s="72" t="n">
        <v>309.79</v>
      </c>
      <c r="AV44" s="72" t="n">
        <v>25.1</v>
      </c>
      <c r="AW44" s="72" t="n">
        <v>-13.02</v>
      </c>
      <c r="AX44" s="72" t="n">
        <v>-12.74</v>
      </c>
      <c r="AY44" s="63" t="inlineStr">
        <is>
          <t>Hang Seng Commerce &amp; Industry sub-index</t>
        </is>
      </c>
      <c r="AZ44" s="72" t="n">
        <v>204.44</v>
      </c>
      <c r="BA44" s="64" t="inlineStr">
        <is>
          <t>2026-08-28</t>
        </is>
      </c>
      <c r="BB44" s="65" t="n">
        <v>3109</v>
      </c>
      <c r="BC44" s="68" t="n">
        <v>161.3</v>
      </c>
      <c r="BD44" s="63" t="inlineStr">
        <is>
          <t>Y</t>
        </is>
      </c>
      <c r="BE44" s="74" t="n">
        <v>17.1</v>
      </c>
      <c r="BF44" s="74" t="n"/>
      <c r="BG44" s="74" t="n">
        <v>13.4</v>
      </c>
      <c r="BH44" s="74" t="n">
        <v>0.9</v>
      </c>
      <c r="BI44" s="75">
        <f>IF('BBG Verify'!S44="","not filed — run on terminal",'BBG Verify'!S44)</f>
        <v/>
      </c>
      <c r="BJ44" s="76" t="inlineStr">
        <is>
          <t>N</t>
        </is>
      </c>
      <c r="BK44" s="77">
        <f>IF('BBG Verify'!K44="","not filed — run on terminal",'BBG Verify'!K44)</f>
        <v/>
      </c>
      <c r="BL44" s="63" t="inlineStr">
        <is>
          <t>N/A</t>
        </is>
      </c>
      <c r="BM44" s="63" t="inlineStr">
        <is>
          <t>N/A</t>
        </is>
      </c>
      <c r="BN44" s="63" t="inlineStr">
        <is>
          <t>N/A</t>
        </is>
      </c>
      <c r="BO44" s="63" t="inlineStr">
        <is>
          <t>N/A</t>
        </is>
      </c>
      <c r="BP44" s="63" t="inlineStr">
        <is>
          <t>N/A</t>
        </is>
      </c>
      <c r="BQ44" s="63" t="inlineStr">
        <is>
          <t>N/A</t>
        </is>
      </c>
      <c r="BR44" s="76" t="inlineStr">
        <is>
          <t>Sinolink Securities (Hong Kong) Company Limited</t>
        </is>
      </c>
      <c r="BS44" s="63" t="inlineStr">
        <is>
          <t>Sinolink Securities (Hong Kong) Company Limited</t>
        </is>
      </c>
      <c r="BT44" s="63" t="inlineStr">
        <is>
          <t>Sinolink Securities (Hong Kong) Company Limited; Haitong International Securities Company Limited; Innovax Securities Limited</t>
        </is>
      </c>
      <c r="BU44" s="63" t="inlineStr">
        <is>
          <t>Futu Securities International (Hong Kong) Limited; Haitong International Securities Company Limited; Innovax Securities Limited; Livermore Holdings Limited; Sinolink Securities (Hong Kong) Company Limited; Sinomax Securities Limited</t>
        </is>
      </c>
      <c r="BV44" s="78">
        <f>HYPERLINK("https://www1.hkexnews.hk/listedco/listconews/sehk/2021/0615/2021061500023.pdf","prospectus")</f>
        <v/>
      </c>
      <c r="BW44" s="78">
        <f>HYPERLINK("https://www1.hkexnews.hk/listedco/listconews/sehk/2021/0625/2021062500064.htm","allotment")</f>
        <v/>
      </c>
      <c r="BX44" s="78">
        <f>HYPERLINK("https://www1.hkexnews.hk/listedco/listconews/sehk/2021/0719/2021071900868.pdf","stabilisation")</f>
        <v/>
      </c>
      <c r="BY44" s="76" t="n"/>
      <c r="BZ44"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72" t="n"/>
      <c r="AC45" s="66" t="n"/>
      <c r="AD45" s="72" t="n"/>
      <c r="AE45" s="63" t="n"/>
      <c r="AF45" s="63" t="inlineStr">
        <is>
          <t>partial</t>
        </is>
      </c>
      <c r="AG45" s="63" t="inlineStr">
        <is>
          <t>2021-07-21</t>
        </is>
      </c>
      <c r="AH45" s="63" t="inlineStr">
        <is>
          <t>Yue Xiu Securities Company Limited</t>
        </is>
      </c>
      <c r="AI45" s="63" t="inlineStr">
        <is>
          <t>Yue Xiu</t>
        </is>
      </c>
      <c r="AJ45" s="73" t="n">
        <v>0</v>
      </c>
      <c r="AK45" s="72" t="n">
        <v>-1.64</v>
      </c>
      <c r="AL45" s="72" t="n">
        <v>1.67</v>
      </c>
      <c r="AM45" s="72" t="n">
        <v>10.04</v>
      </c>
      <c r="AN45" s="72" t="n">
        <v>-13.93</v>
      </c>
      <c r="AO45" s="72" t="n">
        <v>-33.81</v>
      </c>
      <c r="AP45" s="72" t="n">
        <v>10.04</v>
      </c>
      <c r="AQ45" s="72" t="n">
        <v>-13.93</v>
      </c>
      <c r="AR45" s="72" t="n">
        <v>-33.81</v>
      </c>
      <c r="AS45" s="72" t="n">
        <v>12.74</v>
      </c>
      <c r="AT45" s="72" t="n">
        <v>-5.36</v>
      </c>
      <c r="AU45" s="72" t="n">
        <v>-13.45</v>
      </c>
      <c r="AV45" s="72" t="n">
        <v>-5.77</v>
      </c>
      <c r="AW45" s="72" t="n">
        <v>-8.57</v>
      </c>
      <c r="AX45" s="72" t="n">
        <v>-8.16</v>
      </c>
      <c r="AY45" s="63" t="inlineStr">
        <is>
          <t>Hang Seng Properties sub-index</t>
        </is>
      </c>
      <c r="AZ45" s="72" t="n">
        <v>-60.04</v>
      </c>
      <c r="BA45" s="64" t="inlineStr">
        <is>
          <t>2026-08-28</t>
        </is>
      </c>
      <c r="BB45" s="65" t="n">
        <v>1284.9</v>
      </c>
      <c r="BC45" s="68" t="n">
        <v>224.1</v>
      </c>
      <c r="BD45" s="63" t="inlineStr">
        <is>
          <t>Y</t>
        </is>
      </c>
      <c r="BE45" s="74" t="n">
        <v>41.5</v>
      </c>
      <c r="BF45" s="74" t="n"/>
      <c r="BG45" s="74" t="n">
        <v>8</v>
      </c>
      <c r="BH45" s="74" t="n">
        <v>7.2</v>
      </c>
      <c r="BI45" s="75">
        <f>IF('BBG Verify'!S45="","not filed — run on terminal",'BBG Verify'!S45)</f>
        <v/>
      </c>
      <c r="BJ45" s="76" t="inlineStr">
        <is>
          <t>N</t>
        </is>
      </c>
      <c r="BK45" s="77">
        <f>IF('BBG Verify'!K45="","not filed — run on terminal",'BBG Verify'!K45)</f>
        <v/>
      </c>
      <c r="BL45" s="63" t="inlineStr">
        <is>
          <t>N/A</t>
        </is>
      </c>
      <c r="BM45" s="63" t="inlineStr">
        <is>
          <t>N/A</t>
        </is>
      </c>
      <c r="BN45" s="63" t="inlineStr">
        <is>
          <t>N/A</t>
        </is>
      </c>
      <c r="BO45" s="63" t="inlineStr">
        <is>
          <t>N/A</t>
        </is>
      </c>
      <c r="BP45" s="63" t="inlineStr">
        <is>
          <t>N/A</t>
        </is>
      </c>
      <c r="BQ45" s="63" t="inlineStr">
        <is>
          <t>N/A</t>
        </is>
      </c>
      <c r="BR45" s="76" t="inlineStr">
        <is>
          <t>ABCI Capital Limited; China Securities (International) Corporate Finance Company Limited; CCB International Capital Limited; Yue Xiu Capital Limited</t>
        </is>
      </c>
      <c r="BS45" s="63" t="inlineStr">
        <is>
          <t>CCB International Capital Limited; China Securities (International) Corporate Finance Company Limited; Yue Xiu Capital Limited; ABCI Capital Limited</t>
        </is>
      </c>
      <c r="BT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U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V45" s="78">
        <f>HYPERLINK("https://www1.hkexnews.hk/listedco/listconews/sehk/2021/0616/2021061600035.pdf","prospectus")</f>
        <v/>
      </c>
      <c r="BW45" s="78">
        <f>HYPERLINK("https://www1.hkexnews.hk/listedco/listconews/sehk/2021/0625/2021062500178.htm","allotment")</f>
        <v/>
      </c>
      <c r="BX45" s="78">
        <f>HYPERLINK("https://www1.hkexnews.hk/listedco/listconews/sehk/2021/0721/2021072101184.pdf","stabilisation")</f>
        <v/>
      </c>
      <c r="BY45" s="76" t="n"/>
      <c r="BZ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72" t="n"/>
      <c r="AC46" s="66" t="n"/>
      <c r="AD46" s="72" t="n"/>
      <c r="AE46" s="63" t="n"/>
      <c r="AF46" s="63" t="n"/>
      <c r="AG46" s="63" t="inlineStr">
        <is>
          <t>2021-07-23</t>
        </is>
      </c>
      <c r="AH46" s="63" t="inlineStr">
        <is>
          <t>Morgan Stanley Asia Limited</t>
        </is>
      </c>
      <c r="AI46" s="63" t="inlineStr">
        <is>
          <t>Morgan Stanley</t>
        </is>
      </c>
      <c r="AJ46" s="73" t="n">
        <v>50.37</v>
      </c>
      <c r="AK46" s="72" t="n">
        <v>28.18</v>
      </c>
      <c r="AL46" s="72" t="n">
        <v>17.31</v>
      </c>
      <c r="AM46" s="72" t="n">
        <v>42.02</v>
      </c>
      <c r="AN46" s="72" t="n">
        <v>76.06</v>
      </c>
      <c r="AO46" s="72" t="n">
        <v>44.26</v>
      </c>
      <c r="AP46" s="72" t="n">
        <v>-5.55</v>
      </c>
      <c r="AQ46" s="72" t="n">
        <v>17.08</v>
      </c>
      <c r="AR46" s="72" t="n">
        <v>-4.06</v>
      </c>
      <c r="AS46" s="72" t="n">
        <v>48.98</v>
      </c>
      <c r="AT46" s="72" t="n">
        <v>85.86</v>
      </c>
      <c r="AU46" s="72" t="n">
        <v>62.51</v>
      </c>
      <c r="AV46" s="72" t="n">
        <v>26.24</v>
      </c>
      <c r="AW46" s="72" t="n">
        <v>-9.800000000000001</v>
      </c>
      <c r="AX46" s="72" t="n">
        <v>-9.16</v>
      </c>
      <c r="AY46" s="63" t="inlineStr">
        <is>
          <t>China Biotech ETF (HS biotech proxy)</t>
        </is>
      </c>
      <c r="AZ46" s="72" t="n">
        <v>-50.55</v>
      </c>
      <c r="BA46" s="64" t="inlineStr">
        <is>
          <t>2026-08-28</t>
        </is>
      </c>
      <c r="BB46" s="65" t="n"/>
      <c r="BC46" s="68" t="n"/>
      <c r="BD46" s="63" t="n"/>
      <c r="BE46" s="75">
        <f>IF('BBG Verify'!O46="","not filed — run on terminal",'BBG Verify'!O46)</f>
        <v/>
      </c>
      <c r="BF46" s="74" t="n"/>
      <c r="BG46" s="74" t="n"/>
      <c r="BH46" s="74" t="n"/>
      <c r="BI46" s="75">
        <f>IF('BBG Verify'!S46="","not filed — run on terminal",'BBG Verify'!S46)</f>
        <v/>
      </c>
      <c r="BJ46" s="76" t="inlineStr">
        <is>
          <t>N</t>
        </is>
      </c>
      <c r="BK46" s="77">
        <f>IF('BBG Verify'!K46="","not filed — run on terminal",'BBG Verify'!K46)</f>
        <v/>
      </c>
      <c r="BL46" s="63" t="inlineStr">
        <is>
          <t>N/A</t>
        </is>
      </c>
      <c r="BM46" s="63" t="inlineStr">
        <is>
          <t>N/A</t>
        </is>
      </c>
      <c r="BN46" s="63" t="inlineStr">
        <is>
          <t>N/A</t>
        </is>
      </c>
      <c r="BO46" s="63" t="inlineStr">
        <is>
          <t>N/A</t>
        </is>
      </c>
      <c r="BP46" s="63" t="inlineStr">
        <is>
          <t>N/A</t>
        </is>
      </c>
      <c r="BQ46" s="63" t="inlineStr">
        <is>
          <t>N/A</t>
        </is>
      </c>
      <c r="BR46" s="76" t="inlineStr">
        <is>
          <t>Morgan Stanley; Jefferies; CICC</t>
        </is>
      </c>
      <c r="BS46" s="63" t="inlineStr">
        <is>
          <t>China International Capital Corporation Hong Kong Securities Limited; Jefferies Hong Kong Limited; Morgan Stanley Asia Limited</t>
        </is>
      </c>
      <c r="BT46" s="63" t="inlineStr">
        <is>
          <t>BOCI Asia Limited; China International Capital Corporation Hong Kong Securities Limited; CMB International Capital Corporation Limited; China Merchants Securities (HK) Company Limited; Credit Suisse (Hong Kong) Limited; Deutsche Bank AG, Hong Kong Branch</t>
        </is>
      </c>
      <c r="BU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V46" s="63" t="n"/>
      <c r="BW46" s="78">
        <f>HYPERLINK("https://www1.hkexnews.hk/listedco/listconews/sehk/2021/0629/2021062900052.htm","allotment")</f>
        <v/>
      </c>
      <c r="BX46" s="63" t="n"/>
      <c r="BY46" s="76" t="n"/>
      <c r="BZ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72" t="n"/>
      <c r="AC47" s="66" t="n"/>
      <c r="AD47" s="72" t="n"/>
      <c r="AE47" s="63" t="n"/>
      <c r="AF47" s="63" t="inlineStr">
        <is>
          <t>lapsed</t>
        </is>
      </c>
      <c r="AG47" s="63" t="inlineStr">
        <is>
          <t>2021-07-23</t>
        </is>
      </c>
      <c r="AH47" s="63" t="inlineStr">
        <is>
          <t>J.P. Morgan Securities</t>
        </is>
      </c>
      <c r="AI47" s="63" t="inlineStr">
        <is>
          <t>JP Morgan</t>
        </is>
      </c>
      <c r="AJ47" s="73" t="n">
        <v>-13.54</v>
      </c>
      <c r="AK47" s="72" t="n">
        <v>-4.75</v>
      </c>
      <c r="AL47" s="72" t="n">
        <v>-9.23</v>
      </c>
      <c r="AM47" s="72" t="n">
        <v>-19.09</v>
      </c>
      <c r="AN47" s="72" t="n">
        <v>-42.93</v>
      </c>
      <c r="AO47" s="72" t="n">
        <v>-39.19</v>
      </c>
      <c r="AP47" s="72" t="n">
        <v>-6.42</v>
      </c>
      <c r="AQ47" s="72" t="n">
        <v>-33.99</v>
      </c>
      <c r="AR47" s="72" t="n">
        <v>-29.67</v>
      </c>
      <c r="AS47" s="72" t="n">
        <v>-9.67</v>
      </c>
      <c r="AT47" s="72" t="n">
        <v>-28.13</v>
      </c>
      <c r="AU47" s="72" t="n">
        <v>-20.13</v>
      </c>
      <c r="AV47" s="72" t="n">
        <v>-19.79</v>
      </c>
      <c r="AW47" s="72" t="n">
        <v>-14.8</v>
      </c>
      <c r="AX47" s="72" t="n">
        <v>-14.2</v>
      </c>
      <c r="AY47" s="63" t="inlineStr">
        <is>
          <t>Hang Seng Commerce &amp; Industry sub-index</t>
        </is>
      </c>
      <c r="AZ47" s="72" t="n">
        <v>-96.77</v>
      </c>
      <c r="BA47" s="64" t="inlineStr">
        <is>
          <t>2026-08-28</t>
        </is>
      </c>
      <c r="BB47" s="65" t="n">
        <v>3362.9</v>
      </c>
      <c r="BC47" s="68" t="n">
        <v>-223.6</v>
      </c>
      <c r="BD47" s="63" t="inlineStr">
        <is>
          <t>N</t>
        </is>
      </c>
      <c r="BE47" s="63" t="inlineStr">
        <is>
          <t>n/m</t>
        </is>
      </c>
      <c r="BF47" s="74" t="n"/>
      <c r="BG47" s="74" t="n"/>
      <c r="BH47" s="74" t="n">
        <v>8.800000000000001</v>
      </c>
      <c r="BI47" s="75">
        <f>IF('BBG Verify'!S47="","not filed — run on terminal",'BBG Verify'!S47)</f>
        <v/>
      </c>
      <c r="BJ47" s="76" t="inlineStr">
        <is>
          <t>N</t>
        </is>
      </c>
      <c r="BK47" s="77">
        <f>IF('BBG Verify'!K47="","not filed — run on terminal",'BBG Verify'!K47)</f>
        <v/>
      </c>
      <c r="BL47" s="63" t="inlineStr">
        <is>
          <t>N/A</t>
        </is>
      </c>
      <c r="BM47" s="63" t="inlineStr">
        <is>
          <t>N/A</t>
        </is>
      </c>
      <c r="BN47" s="63" t="inlineStr">
        <is>
          <t>N/A</t>
        </is>
      </c>
      <c r="BO47" s="63" t="inlineStr">
        <is>
          <t>N/A</t>
        </is>
      </c>
      <c r="BP47" s="63" t="inlineStr">
        <is>
          <t>N/A</t>
        </is>
      </c>
      <c r="BQ47" s="63" t="inlineStr">
        <is>
          <t>N/A</t>
        </is>
      </c>
      <c r="BR47" s="76" t="inlineStr">
        <is>
          <t>J.P. Morgan Securities (Far East) Limited; CMB International Capital Limited; Huatai Financial Holdings (Hong Kong) Limited</t>
        </is>
      </c>
      <c r="BS47" s="63" t="inlineStr">
        <is>
          <t>J.P. Morgan Securities (Far East) Limited; Huatai Financial Holdings (Hong Kong) Limited; CMB International Capital Limited</t>
        </is>
      </c>
      <c r="BT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U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V47" s="78">
        <f>HYPERLINK("https://www1.hkexnews.hk/listedco/listconews/sehk/2021/0618/2021061800009.pdf","prospectus")</f>
        <v/>
      </c>
      <c r="BW47" s="78">
        <f>HYPERLINK("https://www1.hkexnews.hk/listedco/listconews/sehk/2021/0629/2021062900074.htm","allotment")</f>
        <v/>
      </c>
      <c r="BX47" s="78">
        <f>HYPERLINK("https://www1.hkexnews.hk/listedco/listconews/sehk/2021/0723/2021072300965.pdf","stabilisation")</f>
        <v/>
      </c>
      <c r="BY47" s="76" t="n"/>
      <c r="BZ47"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72" t="n"/>
      <c r="AC48" s="66" t="n"/>
      <c r="AD48" s="72" t="n"/>
      <c r="AE48" s="63" t="n"/>
      <c r="AF48" s="63" t="n"/>
      <c r="AG48" s="63" t="inlineStr">
        <is>
          <t>2021-07-24</t>
        </is>
      </c>
      <c r="AH48" s="63" t="inlineStr">
        <is>
          <t>UBS AG Hong Kong Branch</t>
        </is>
      </c>
      <c r="AI48" s="63" t="inlineStr">
        <is>
          <t>UBS</t>
        </is>
      </c>
      <c r="AJ48" s="73" t="n">
        <v>8.109999999999999</v>
      </c>
      <c r="AK48" s="72" t="n">
        <v>2.97</v>
      </c>
      <c r="AL48" s="72" t="n">
        <v>4.99</v>
      </c>
      <c r="AM48" s="72" t="n">
        <v>11.89</v>
      </c>
      <c r="AN48" s="72" t="n">
        <v>8.92</v>
      </c>
      <c r="AO48" s="72" t="n">
        <v>14.05</v>
      </c>
      <c r="AP48" s="72" t="n">
        <v>3.5</v>
      </c>
      <c r="AQ48" s="72" t="n">
        <v>0.75</v>
      </c>
      <c r="AR48" s="72" t="n">
        <v>5.49</v>
      </c>
      <c r="AS48" s="72" t="n">
        <v>15.43</v>
      </c>
      <c r="AT48" s="72" t="n">
        <v>16.43</v>
      </c>
      <c r="AU48" s="72" t="n">
        <v>27.06</v>
      </c>
      <c r="AV48" s="72" t="n">
        <v>7.32</v>
      </c>
      <c r="AW48" s="72" t="n">
        <v>-7.51</v>
      </c>
      <c r="AX48" s="72" t="n">
        <v>-6.57</v>
      </c>
      <c r="AY48" s="63" t="inlineStr">
        <is>
          <t>Hang Seng Properties sub-index</t>
        </is>
      </c>
      <c r="AZ48" s="72" t="n">
        <v>-93.34999999999999</v>
      </c>
      <c r="BA48" s="64" t="inlineStr">
        <is>
          <t>2026-08-28</t>
        </is>
      </c>
      <c r="BB48" s="65" t="n"/>
      <c r="BC48" s="68" t="n"/>
      <c r="BD48" s="63" t="n"/>
      <c r="BE48" s="75">
        <f>IF('BBG Verify'!O48="","not filed — run on terminal",'BBG Verify'!O48)</f>
        <v/>
      </c>
      <c r="BF48" s="74" t="n"/>
      <c r="BG48" s="74" t="n"/>
      <c r="BH48" s="74" t="n"/>
      <c r="BI48" s="75">
        <f>IF('BBG Verify'!S48="","not filed — run on terminal",'BBG Verify'!S48)</f>
        <v/>
      </c>
      <c r="BJ48" s="76" t="inlineStr">
        <is>
          <t>N</t>
        </is>
      </c>
      <c r="BK48" s="77">
        <f>IF('BBG Verify'!K48="","not filed — run on terminal",'BBG Verify'!K48)</f>
        <v/>
      </c>
      <c r="BL48" s="63" t="inlineStr">
        <is>
          <t>N/A</t>
        </is>
      </c>
      <c r="BM48" s="63" t="inlineStr">
        <is>
          <t>N/A</t>
        </is>
      </c>
      <c r="BN48" s="63" t="inlineStr">
        <is>
          <t>N/A</t>
        </is>
      </c>
      <c r="BO48" s="63" t="inlineStr">
        <is>
          <t>N/A</t>
        </is>
      </c>
      <c r="BP48" s="63" t="inlineStr">
        <is>
          <t>N/A</t>
        </is>
      </c>
      <c r="BQ48" s="63" t="inlineStr">
        <is>
          <t>N/A</t>
        </is>
      </c>
      <c r="BR48" s="76" t="n"/>
      <c r="BS48" s="63" t="inlineStr">
        <is>
          <t>UBS Securities Hong Kong Limited; Merrill Lynch (Asia Pacific) Limited; Merrill Lynch Far East Limited; UBS AG Hong Kong Branch</t>
        </is>
      </c>
      <c r="BT48" s="63" t="inlineStr">
        <is>
          <t>CLSA Limited; CRIC Securities Company Limited; Futu Securities International (Hong Kong) Limited; The Hongkong and Shanghai Banking Corporation Limited; Merrill Lynch (Asia Pacific)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n"/>
      <c r="BW48" s="78">
        <f>HYPERLINK("https://www1.hkexnews.hk/listedco/listconews/sehk/2021/0630/2021063000308.htm","allotment")</f>
        <v/>
      </c>
      <c r="BX48" s="63" t="n"/>
      <c r="BY48" s="76" t="n"/>
      <c r="BZ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72" t="n"/>
      <c r="AC49" s="66" t="n"/>
      <c r="AD49" s="72" t="n"/>
      <c r="AE49" s="63" t="n"/>
      <c r="AF49" s="63" t="inlineStr">
        <is>
          <t>full</t>
        </is>
      </c>
      <c r="AG49" s="63" t="inlineStr">
        <is>
          <t>2021-07-25</t>
        </is>
      </c>
      <c r="AH49" s="63" t="inlineStr">
        <is>
          <t>Morgan Stanley Asia Limited</t>
        </is>
      </c>
      <c r="AI49" s="63" t="inlineStr">
        <is>
          <t>Morgan Stanley</t>
        </is>
      </c>
      <c r="AJ49" s="73" t="n">
        <v>40.52</v>
      </c>
      <c r="AK49" s="72" t="n">
        <v>28.81</v>
      </c>
      <c r="AL49" s="72" t="n">
        <v>9.09</v>
      </c>
      <c r="AM49" s="72" t="n">
        <v>29.51</v>
      </c>
      <c r="AN49" s="72" t="n">
        <v>8.67</v>
      </c>
      <c r="AO49" s="72" t="n">
        <v>-1.64</v>
      </c>
      <c r="AP49" s="72" t="n">
        <v>-7.84</v>
      </c>
      <c r="AQ49" s="72" t="n">
        <v>-22.67</v>
      </c>
      <c r="AR49" s="72" t="n">
        <v>-30</v>
      </c>
      <c r="AS49" s="72" t="n">
        <v>30.01</v>
      </c>
      <c r="AT49" s="72" t="n">
        <v>9.76</v>
      </c>
      <c r="AU49" s="72" t="n">
        <v>14.7</v>
      </c>
      <c r="AV49" s="72" t="n">
        <v>-22.13</v>
      </c>
      <c r="AW49" s="72" t="n">
        <v>-1.09</v>
      </c>
      <c r="AX49" s="72" t="n">
        <v>-0.54</v>
      </c>
      <c r="AY49" s="63" t="inlineStr">
        <is>
          <t>China Biotech ETF (HS biotech proxy)</t>
        </is>
      </c>
      <c r="AZ49" s="72" t="n">
        <v>-48.81</v>
      </c>
      <c r="BA49" s="64" t="inlineStr">
        <is>
          <t>2026-08-28</t>
        </is>
      </c>
      <c r="BB49" s="65" t="n">
        <v>30.4</v>
      </c>
      <c r="BC49" s="68" t="n">
        <v>-110.5</v>
      </c>
      <c r="BD49" s="63" t="inlineStr">
        <is>
          <t>N</t>
        </is>
      </c>
      <c r="BE49" s="63" t="inlineStr">
        <is>
          <t>n/m</t>
        </is>
      </c>
      <c r="BF49" s="74" t="n"/>
      <c r="BG49" s="74" t="n">
        <v>22.4</v>
      </c>
      <c r="BH49" s="74" t="n">
        <v>405.2</v>
      </c>
      <c r="BI49" s="75">
        <f>IF('BBG Verify'!S49="","not filed — run on terminal",'BBG Verify'!S49)</f>
        <v/>
      </c>
      <c r="BJ49" s="76" t="inlineStr">
        <is>
          <t>N</t>
        </is>
      </c>
      <c r="BK49" s="77">
        <f>IF('BBG Verify'!K49="","not filed — run on terminal",'BBG Verify'!K49)</f>
        <v/>
      </c>
      <c r="BL49" s="63" t="inlineStr">
        <is>
          <t>N/A</t>
        </is>
      </c>
      <c r="BM49" s="63" t="inlineStr">
        <is>
          <t>N/A</t>
        </is>
      </c>
      <c r="BN49" s="63" t="inlineStr">
        <is>
          <t>N/A</t>
        </is>
      </c>
      <c r="BO49" s="63" t="inlineStr">
        <is>
          <t>N/A</t>
        </is>
      </c>
      <c r="BP49" s="63" t="inlineStr">
        <is>
          <t>N/A</t>
        </is>
      </c>
      <c r="BQ49" s="63" t="inlineStr">
        <is>
          <t>N/A</t>
        </is>
      </c>
      <c r="BR49" s="76" t="inlineStr">
        <is>
          <t>Morgan Stanley Asia Limited; CLSA Capital Markets Limited</t>
        </is>
      </c>
      <c r="BS49" s="63" t="inlineStr">
        <is>
          <t>Morgan Stanley Asia Limited; CLSA Capital Markets Limited</t>
        </is>
      </c>
      <c r="BT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U49" s="63" t="inlineStr">
        <is>
          <t>China Industrial Securities International Capital Limited; CLSA Limited; CMB International Capital Limited; Essence International Securities (Hong Kong) Limited; ICBC International Securities Limited; Morgan Stanley Asia Limited</t>
        </is>
      </c>
      <c r="BV49" s="78">
        <f>HYPERLINK("https://www1.hkexnews.hk/listedco/listconews/sehk/2021/0622/2021062200009.pdf","prospectus")</f>
        <v/>
      </c>
      <c r="BW49" s="78">
        <f>HYPERLINK("https://www1.hkexnews.hk/listedco/listconews/sehk/2021/0702/2021070200028.htm","allotment")</f>
        <v/>
      </c>
      <c r="BX49" s="78">
        <f>HYPERLINK("https://www1.hkexnews.hk/listedco/listconews/sehk/2021/0726/2021072601655.pdf","stabilisation")</f>
        <v/>
      </c>
      <c r="BY49" s="76" t="n"/>
      <c r="BZ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72" t="n"/>
      <c r="AC50" s="66" t="n"/>
      <c r="AD50" s="72" t="n"/>
      <c r="AE50" s="63" t="n"/>
      <c r="AF50" s="63" t="inlineStr">
        <is>
          <t>full</t>
        </is>
      </c>
      <c r="AG50" s="63" t="inlineStr">
        <is>
          <t>2021-07-29</t>
        </is>
      </c>
      <c r="AH50" s="63" t="inlineStr">
        <is>
          <t>Haitong International Securities Company Limited</t>
        </is>
      </c>
      <c r="AI50" s="63" t="inlineStr">
        <is>
          <t>Haitong</t>
        </is>
      </c>
      <c r="AJ50" s="73" t="n">
        <v>33.02</v>
      </c>
      <c r="AK50" s="72" t="n">
        <v>0</v>
      </c>
      <c r="AL50" s="72" t="n">
        <v>33.02</v>
      </c>
      <c r="AM50" s="72" t="n">
        <v>44.34</v>
      </c>
      <c r="AN50" s="72" t="n">
        <v>25.47</v>
      </c>
      <c r="AO50" s="72" t="n">
        <v>-10.47</v>
      </c>
      <c r="AP50" s="72" t="n">
        <v>8.51</v>
      </c>
      <c r="AQ50" s="72" t="n">
        <v>-5.68</v>
      </c>
      <c r="AR50" s="72" t="n">
        <v>-32.69</v>
      </c>
      <c r="AS50" s="72" t="n">
        <v>39.55</v>
      </c>
      <c r="AT50" s="72" t="n">
        <v>21.82</v>
      </c>
      <c r="AU50" s="72" t="n">
        <v>2.92</v>
      </c>
      <c r="AV50" s="72" t="n">
        <v>-7.22</v>
      </c>
      <c r="AW50" s="72" t="n">
        <v>3.65</v>
      </c>
      <c r="AX50" s="72" t="n">
        <v>1.54</v>
      </c>
      <c r="AY50" s="63" t="inlineStr">
        <is>
          <t>China Biotech ETF (HS biotech proxy)</t>
        </is>
      </c>
      <c r="AZ50" s="72" t="n">
        <v>-76.04000000000001</v>
      </c>
      <c r="BA50" s="64" t="inlineStr">
        <is>
          <t>2026-08-28</t>
        </is>
      </c>
      <c r="BB50" s="65" t="n">
        <v>873.7</v>
      </c>
      <c r="BC50" s="68" t="n">
        <v>132.6</v>
      </c>
      <c r="BD50" s="63" t="inlineStr">
        <is>
          <t>Y</t>
        </is>
      </c>
      <c r="BE50" s="74" t="n">
        <v>55</v>
      </c>
      <c r="BF50" s="74" t="n"/>
      <c r="BG50" s="74" t="n">
        <v>8.5</v>
      </c>
      <c r="BH50" s="74" t="n">
        <v>8.300000000000001</v>
      </c>
      <c r="BI50" s="75">
        <f>IF('BBG Verify'!S50="","not filed — run on terminal",'BBG Verify'!S50)</f>
        <v/>
      </c>
      <c r="BJ50" s="76" t="inlineStr">
        <is>
          <t>N</t>
        </is>
      </c>
      <c r="BK50" s="77">
        <f>IF('BBG Verify'!K50="","not filed — run on terminal",'BBG Verify'!K50)</f>
        <v/>
      </c>
      <c r="BL50" s="63" t="inlineStr">
        <is>
          <t>N/A</t>
        </is>
      </c>
      <c r="BM50" s="63" t="inlineStr">
        <is>
          <t>N/A</t>
        </is>
      </c>
      <c r="BN50" s="63" t="inlineStr">
        <is>
          <t>N/A</t>
        </is>
      </c>
      <c r="BO50" s="63" t="inlineStr">
        <is>
          <t>N/A</t>
        </is>
      </c>
      <c r="BP50" s="63" t="inlineStr">
        <is>
          <t>N/A</t>
        </is>
      </c>
      <c r="BQ50" s="63" t="inlineStr">
        <is>
          <t>N/A</t>
        </is>
      </c>
      <c r="BR50" s="76" t="inlineStr">
        <is>
          <t>Haitong International Capital Limited; Industrial and Commercial Bank of China (Asia) Limited; Hong Kong Share Registrar Computershare Hong Kong Investor Services Limited; Industrial and Commercial Bank of China Co., Ltd., Xiamen Xinglin Branch</t>
        </is>
      </c>
      <c r="BS50" s="63" t="inlineStr">
        <is>
          <t>Haitong International Capital Limited; Huatai Financial Holdings (Hong Kong) Limited</t>
        </is>
      </c>
      <c r="BT50" s="63" t="inlineStr">
        <is>
          <t>Huatai Financial Holdings (Hong Kong) Limited; Haitong International Securities Company Limited</t>
        </is>
      </c>
      <c r="BU50" s="63" t="inlineStr">
        <is>
          <t>Huatai Financial Holdings (Hong Kong) Limited; Haitong International Securities Company Limited</t>
        </is>
      </c>
      <c r="BV50" s="78">
        <f>HYPERLINK("https://www1.hkexnews.hk/listedco/listconews/sehk/2021/0624/2021062400013.pdf","prospectus")</f>
        <v/>
      </c>
      <c r="BW50" s="78">
        <f>HYPERLINK("https://www1.hkexnews.hk/listedco/listconews/sehk/2021/0706/2021070600016.htm","allotment")</f>
        <v/>
      </c>
      <c r="BX50" s="78">
        <f>HYPERLINK("https://www1.hkexnews.hk/listedco/listconews/sehk/2021/0729/2021072901513.pdf","stabilisation")</f>
        <v/>
      </c>
      <c r="BY50" s="76" t="n"/>
      <c r="BZ50"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72" t="n"/>
      <c r="AC51" s="66" t="n"/>
      <c r="AD51" s="72" t="n"/>
      <c r="AE51" s="63" t="n"/>
      <c r="AF51" s="63" t="inlineStr">
        <is>
          <t>partial</t>
        </is>
      </c>
      <c r="AG51" s="63" t="n"/>
      <c r="AH51" s="63" t="inlineStr">
        <is>
          <t>J.P. Morgan Securities</t>
        </is>
      </c>
      <c r="AI51" s="63" t="inlineStr">
        <is>
          <t>JP Morgan</t>
        </is>
      </c>
      <c r="AJ51" s="73" t="n">
        <v>0</v>
      </c>
      <c r="AK51" s="72" t="n">
        <v>1.82</v>
      </c>
      <c r="AL51" s="72" t="n">
        <v>-1.79</v>
      </c>
      <c r="AM51" s="72" t="n">
        <v>-8.48</v>
      </c>
      <c r="AN51" s="72" t="n">
        <v>-0.12</v>
      </c>
      <c r="AO51" s="72" t="n">
        <v>-17.7</v>
      </c>
      <c r="AP51" s="72" t="n">
        <v>-8.48</v>
      </c>
      <c r="AQ51" s="72" t="n">
        <v>-0.12</v>
      </c>
      <c r="AR51" s="72" t="n">
        <v>-17.7</v>
      </c>
      <c r="AS51" s="72" t="n">
        <v>-8.69</v>
      </c>
      <c r="AT51" s="72" t="n">
        <v>8.289999999999999</v>
      </c>
      <c r="AU51" s="72" t="n">
        <v>0.82</v>
      </c>
      <c r="AV51" s="72" t="n">
        <v>8.140000000000001</v>
      </c>
      <c r="AW51" s="72" t="n">
        <v>-8.41</v>
      </c>
      <c r="AX51" s="72" t="n">
        <v>-8.26</v>
      </c>
      <c r="AY51" s="63" t="inlineStr">
        <is>
          <t>Hang Seng Commerce &amp; Industry sub-index</t>
        </is>
      </c>
      <c r="AZ51" s="72" t="n">
        <v>-72.84</v>
      </c>
      <c r="BA51" s="64" t="inlineStr">
        <is>
          <t>2026-08-28</t>
        </is>
      </c>
      <c r="BB51" s="65" t="n">
        <v>6428.7</v>
      </c>
      <c r="BC51" s="68" t="n">
        <v>-3005.2</v>
      </c>
      <c r="BD51" s="63" t="inlineStr">
        <is>
          <t>N</t>
        </is>
      </c>
      <c r="BE51" s="63" t="inlineStr">
        <is>
          <t>n/m</t>
        </is>
      </c>
      <c r="BF51" s="74" t="n"/>
      <c r="BG51" s="74" t="n"/>
      <c r="BH51" s="74" t="n">
        <v>42</v>
      </c>
      <c r="BI51" s="75">
        <f>IF('BBG Verify'!S51="","not filed — run on terminal",'BBG Verify'!S51)</f>
        <v/>
      </c>
      <c r="BJ51" s="76" t="inlineStr">
        <is>
          <t>N</t>
        </is>
      </c>
      <c r="BK51" s="77">
        <f>IF('BBG Verify'!K51="","not filed — run on terminal",'BBG Verify'!K51)</f>
        <v/>
      </c>
      <c r="BL51" s="63" t="inlineStr">
        <is>
          <t>N/A</t>
        </is>
      </c>
      <c r="BM51" s="63" t="inlineStr">
        <is>
          <t>N/A</t>
        </is>
      </c>
      <c r="BN51" s="63" t="inlineStr">
        <is>
          <t>N/A</t>
        </is>
      </c>
      <c r="BO51" s="63" t="inlineStr">
        <is>
          <t>N/A</t>
        </is>
      </c>
      <c r="BP51" s="63" t="inlineStr">
        <is>
          <t>N/A</t>
        </is>
      </c>
      <c r="BQ51" s="63" t="inlineStr">
        <is>
          <t>N/A</t>
        </is>
      </c>
      <c r="BR51" s="76" t="inlineStr">
        <is>
          <t>J.P. Morgan Securities (Far East) Limited; Merrill Lynch (Asia Pacific) Limited; J.P. Morgan Securities (Asia Pacific) Limited; Citigroup Global Markets Asia Limited</t>
        </is>
      </c>
      <c r="BS51" s="63" t="inlineStr">
        <is>
          <t>J.P. Morgan Securities (Far East) Limited; Merrill Lynch (Asia Pacific) Limited</t>
        </is>
      </c>
      <c r="BT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U51" s="63" t="inlineStr">
        <is>
          <t>ABCI Securities Company Limited; BOCI Asia Limited; Citigroup Global Markets Asia Limited; CLSA Limited; Futu Securities International (Hong Kong) Limited; J.P. Morgan Securities (Asia Pacific) Limited; Merrill Lynch (Asia Pacific) Limited</t>
        </is>
      </c>
      <c r="BV51" s="78">
        <f>HYPERLINK("https://www1.hkexnews.hk/listedco/listconews/sehk/2021/0625/2021062500039.pdf","prospectus")</f>
        <v/>
      </c>
      <c r="BW51" s="78">
        <f>HYPERLINK("https://www1.hkexnews.hk/listedco/listconews/sehk/2021/0706/2021070600032.htm","allotment")</f>
        <v/>
      </c>
      <c r="BX51" s="78">
        <f>HYPERLINK("https://www1.hkexnews.hk/listedco/listconews/sehk/2021/0730/2021073001378.pdf","stabilisation")</f>
        <v/>
      </c>
      <c r="BY51" s="76" t="n"/>
      <c r="BZ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72" t="n"/>
      <c r="AC52" s="66" t="n"/>
      <c r="AD52" s="72" t="n"/>
      <c r="AE52" s="63" t="n"/>
      <c r="AF52" s="63" t="inlineStr">
        <is>
          <t>partial</t>
        </is>
      </c>
      <c r="AG52" s="63" t="inlineStr">
        <is>
          <t>2021-07-30</t>
        </is>
      </c>
      <c r="AH52" s="63" t="inlineStr">
        <is>
          <t>Haitong International Securities Company Limited</t>
        </is>
      </c>
      <c r="AI52" s="63" t="inlineStr">
        <is>
          <t>Haitong</t>
        </is>
      </c>
      <c r="AJ52" s="73" t="n">
        <v>41.51</v>
      </c>
      <c r="AK52" s="72" t="n">
        <v>88.68000000000001</v>
      </c>
      <c r="AL52" s="72" t="n">
        <v>-25</v>
      </c>
      <c r="AM52" s="72" t="n">
        <v>2.52</v>
      </c>
      <c r="AN52" s="72" t="n">
        <v>0</v>
      </c>
      <c r="AO52" s="72" t="n">
        <v>3.77</v>
      </c>
      <c r="AP52" s="72" t="n">
        <v>-27.55</v>
      </c>
      <c r="AQ52" s="72" t="n">
        <v>-29.33</v>
      </c>
      <c r="AR52" s="72" t="n">
        <v>-26.67</v>
      </c>
      <c r="AS52" s="72" t="n">
        <v>2.52</v>
      </c>
      <c r="AT52" s="72" t="n">
        <v>9.33</v>
      </c>
      <c r="AU52" s="72" t="n">
        <v>15.35</v>
      </c>
      <c r="AV52" s="72" t="n">
        <v>-21.35</v>
      </c>
      <c r="AW52" s="72" t="n">
        <v>-9.33</v>
      </c>
      <c r="AX52" s="72" t="n">
        <v>-7.98</v>
      </c>
      <c r="AY52" s="63" t="inlineStr">
        <is>
          <t>Hang Seng Properties sub-index</t>
        </is>
      </c>
      <c r="AZ52" s="72" t="n">
        <v>-95.44</v>
      </c>
      <c r="BA52" s="64" t="inlineStr">
        <is>
          <t>2026-08-28</t>
        </is>
      </c>
      <c r="BB52" s="65" t="n">
        <v>131.9</v>
      </c>
      <c r="BC52" s="68" t="n">
        <v>72.09999999999999</v>
      </c>
      <c r="BD52" s="63" t="inlineStr">
        <is>
          <t>Y</t>
        </is>
      </c>
      <c r="BE52" s="74" t="n">
        <v>22</v>
      </c>
      <c r="BF52" s="74" t="n"/>
      <c r="BG52" s="74" t="n">
        <v>1.9</v>
      </c>
      <c r="BH52" s="74" t="n">
        <v>12</v>
      </c>
      <c r="BI52" s="75">
        <f>IF('BBG Verify'!S52="","not filed — run on terminal",'BBG Verify'!S52)</f>
        <v/>
      </c>
      <c r="BJ52" s="76" t="inlineStr">
        <is>
          <t>N</t>
        </is>
      </c>
      <c r="BK52" s="77">
        <f>IF('BBG Verify'!K52="","not filed — run on terminal",'BBG Verify'!K52)</f>
        <v/>
      </c>
      <c r="BL52" s="63" t="inlineStr">
        <is>
          <t>N/A</t>
        </is>
      </c>
      <c r="BM52" s="63" t="inlineStr">
        <is>
          <t>N/A</t>
        </is>
      </c>
      <c r="BN52" s="63" t="inlineStr">
        <is>
          <t>N/A</t>
        </is>
      </c>
      <c r="BO52" s="63" t="inlineStr">
        <is>
          <t>N/A</t>
        </is>
      </c>
      <c r="BP52" s="63" t="inlineStr">
        <is>
          <t>N/A</t>
        </is>
      </c>
      <c r="BQ52" s="63" t="inlineStr">
        <is>
          <t>N/A</t>
        </is>
      </c>
      <c r="BR52" s="76" t="inlineStr">
        <is>
          <t>Haitong International Capital Limited</t>
        </is>
      </c>
      <c r="BS52" s="63" t="inlineStr">
        <is>
          <t>Haitong International Capital Limited</t>
        </is>
      </c>
      <c r="BT52" s="63" t="inlineStr">
        <is>
          <t>Beta International Securities Limited; CCB International Capital Limited; China Industrial Securities International Capital Limited; CLSA Limited; CMB International Capital Corporation Limited; CRIC Securities Company Limited</t>
        </is>
      </c>
      <c r="BU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V52" s="78">
        <f>HYPERLINK("https://www1.hkexnews.hk/listedco/listconews/sehk/2021/0625/2021062500057.pdf","prospectus")</f>
        <v/>
      </c>
      <c r="BW52" s="78">
        <f>HYPERLINK("https://www1.hkexnews.hk/listedco/listconews/sehk/2021/0707/2021070700022.htm","allotment")</f>
        <v/>
      </c>
      <c r="BX52" s="78">
        <f>HYPERLINK("https://www1.hkexnews.hk/listedco/listconews/sehk/2021/0730/2021073001922.pdf","stabilisation")</f>
        <v/>
      </c>
      <c r="BY52" s="76" t="n"/>
      <c r="BZ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no grey-market headline on file for this deal — AAStocks publishes one per listing but keeps only recent items on the stock's news page, and no public archive of past evening sessions exists; captured from this run onward</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72" t="n"/>
      <c r="AC53" s="66" t="n"/>
      <c r="AD53" s="72" t="n"/>
      <c r="AE53" s="63" t="n"/>
      <c r="AF53" s="63" t="inlineStr">
        <is>
          <t>full</t>
        </is>
      </c>
      <c r="AG53" s="63" t="inlineStr">
        <is>
          <t>2021-07-30</t>
        </is>
      </c>
      <c r="AH53" s="63" t="inlineStr">
        <is>
          <t>Morgan Stanley Asia Limited</t>
        </is>
      </c>
      <c r="AI53" s="63" t="inlineStr">
        <is>
          <t>Morgan Stanley</t>
        </is>
      </c>
      <c r="AJ53" s="73" t="n">
        <v>27.58</v>
      </c>
      <c r="AK53" s="72" t="n">
        <v>46.34</v>
      </c>
      <c r="AL53" s="72" t="n">
        <v>-12.82</v>
      </c>
      <c r="AM53" s="72" t="n">
        <v>27.95</v>
      </c>
      <c r="AN53" s="72" t="n">
        <v>22.51</v>
      </c>
      <c r="AO53" s="72" t="n">
        <v>-6.19</v>
      </c>
      <c r="AP53" s="72" t="n">
        <v>0.29</v>
      </c>
      <c r="AQ53" s="72" t="n">
        <v>-3.97</v>
      </c>
      <c r="AR53" s="72" t="n">
        <v>-26.47</v>
      </c>
      <c r="AS53" s="72" t="n">
        <v>26.02</v>
      </c>
      <c r="AT53" s="72" t="n">
        <v>25.29</v>
      </c>
      <c r="AU53" s="72" t="n">
        <v>7.58</v>
      </c>
      <c r="AV53" s="72" t="n">
        <v>-3.08</v>
      </c>
      <c r="AW53" s="72" t="n">
        <v>-2.78</v>
      </c>
      <c r="AX53" s="72" t="n">
        <v>-0.89</v>
      </c>
      <c r="AY53" s="63" t="inlineStr">
        <is>
          <t>China Biotech ETF (HS biotech proxy)</t>
        </is>
      </c>
      <c r="AZ53" s="72" t="n">
        <v>47.28</v>
      </c>
      <c r="BA53" s="64" t="inlineStr">
        <is>
          <t>2026-08-28</t>
        </is>
      </c>
      <c r="BB53" s="65" t="n">
        <v>0</v>
      </c>
      <c r="BC53" s="68" t="n">
        <v>-900.7</v>
      </c>
      <c r="BD53" s="63" t="inlineStr">
        <is>
          <t>N</t>
        </is>
      </c>
      <c r="BE53" s="63" t="inlineStr">
        <is>
          <t>n/m</t>
        </is>
      </c>
      <c r="BF53" s="74" t="n"/>
      <c r="BG53" s="74" t="n"/>
      <c r="BH53" s="63" t="inlineStr">
        <is>
          <t>pre-rev</t>
        </is>
      </c>
      <c r="BI53" s="75">
        <f>IF('BBG Verify'!S53="","not filed — run on terminal",'BBG Verify'!S53)</f>
        <v/>
      </c>
      <c r="BJ53" s="76" t="inlineStr">
        <is>
          <t>N</t>
        </is>
      </c>
      <c r="BK53" s="77">
        <f>IF('BBG Verify'!K53="","not filed — run on terminal",'BBG Verify'!K53)</f>
        <v/>
      </c>
      <c r="BL53" s="63" t="inlineStr">
        <is>
          <t>N/A</t>
        </is>
      </c>
      <c r="BM53" s="63" t="inlineStr">
        <is>
          <t>N/A</t>
        </is>
      </c>
      <c r="BN53" s="63" t="inlineStr">
        <is>
          <t>N/A</t>
        </is>
      </c>
      <c r="BO53" s="63" t="inlineStr">
        <is>
          <t>N/A</t>
        </is>
      </c>
      <c r="BP53" s="63" t="inlineStr">
        <is>
          <t>N/A</t>
        </is>
      </c>
      <c r="BQ53" s="63" t="inlineStr">
        <is>
          <t>N/A</t>
        </is>
      </c>
      <c r="BR53" s="76" t="inlineStr">
        <is>
          <t>Morgan Stanley Asia Limited; China International Capital Corporation Hong Kong Securities Limited; Huatai Financial Holdings (Hong Kong) Limited</t>
        </is>
      </c>
      <c r="BS53" s="63" t="inlineStr">
        <is>
          <t>China International Capital Corporation Hong Kong Securities Limited; Morgan Stanley Asia Limited; Huatai Financial Holdings (Hong Kong) Limited</t>
        </is>
      </c>
      <c r="BT53" s="63" t="inlineStr">
        <is>
          <t>Morgan Stanley Asia Limited; China International Capital Corporation Hong Kong Securities Limited; Huatai Financial Holdings (Hong Kong) Limited; Morgan Stanley &amp; Co. International plc; China Everbright Securities (HK) Limited</t>
        </is>
      </c>
      <c r="BU53" s="63" t="inlineStr">
        <is>
          <t>China Everbright Securities (HK) Limited; China International Capital Corporation Hong Kong Securities Limited; Huatai Financial Holdings (Hong Kong) Limited; Morgan Stanley Asia Limited</t>
        </is>
      </c>
      <c r="BV53" s="78">
        <f>HYPERLINK("https://www1.hkexnews.hk/listedco/listconews/sehk/2021/0625/2021062500031.pdf","prospectus")</f>
        <v/>
      </c>
      <c r="BW53" s="78">
        <f>HYPERLINK("https://www1.hkexnews.hk/listedco/listconews/sehk/2021/0707/2021070700054.htm","allotment")</f>
        <v/>
      </c>
      <c r="BX53" s="78">
        <f>HYPERLINK("https://www1.hkexnews.hk/listedco/listconews/sehk/2021/0730/2021073001918.pdf","stabilisation")</f>
        <v/>
      </c>
      <c r="BY53" s="76" t="n"/>
      <c r="BZ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72" t="n"/>
      <c r="AC54" s="66" t="n"/>
      <c r="AD54" s="72" t="n"/>
      <c r="AE54" s="63" t="n"/>
      <c r="AF54" s="63" t="inlineStr">
        <is>
          <t>partial</t>
        </is>
      </c>
      <c r="AG54" s="63" t="inlineStr">
        <is>
          <t>2021-08-01</t>
        </is>
      </c>
      <c r="AH54" s="63" t="inlineStr">
        <is>
          <t>UOB Kay Hian</t>
        </is>
      </c>
      <c r="AI54" s="63" t="inlineStr">
        <is>
          <t>UOB Kay</t>
        </is>
      </c>
      <c r="AJ54" s="73" t="n">
        <v>5.49</v>
      </c>
      <c r="AK54" s="72" t="n">
        <v>47.26</v>
      </c>
      <c r="AL54" s="72" t="n">
        <v>-28.36</v>
      </c>
      <c r="AM54" s="72" t="n">
        <v>-7.62</v>
      </c>
      <c r="AN54" s="72" t="n">
        <v>-20.12</v>
      </c>
      <c r="AO54" s="72" t="n">
        <v>-56.1</v>
      </c>
      <c r="AP54" s="72" t="n">
        <v>-12.43</v>
      </c>
      <c r="AQ54" s="72" t="n">
        <v>-24.28</v>
      </c>
      <c r="AR54" s="72" t="n">
        <v>-58.38</v>
      </c>
      <c r="AS54" s="72" t="n">
        <v>-11.53</v>
      </c>
      <c r="AT54" s="72" t="n">
        <v>-10.79</v>
      </c>
      <c r="AU54" s="72" t="n">
        <v>-40.38</v>
      </c>
      <c r="AV54" s="72" t="n">
        <v>-14.03</v>
      </c>
      <c r="AW54" s="72" t="n">
        <v>-9.33</v>
      </c>
      <c r="AX54" s="72" t="n">
        <v>-10.25</v>
      </c>
      <c r="AY54" s="63" t="inlineStr">
        <is>
          <t>HSTECH (Hang Seng TECH ETF)</t>
        </is>
      </c>
      <c r="AZ54" s="72" t="n">
        <v>12.8</v>
      </c>
      <c r="BA54" s="64" t="inlineStr">
        <is>
          <t>2026-08-28</t>
        </is>
      </c>
      <c r="BB54" s="65" t="n">
        <v>1351.9</v>
      </c>
      <c r="BC54" s="68" t="n">
        <v>87.5</v>
      </c>
      <c r="BD54" s="63" t="inlineStr">
        <is>
          <t>Y</t>
        </is>
      </c>
      <c r="BE54" s="74" t="n">
        <v>15</v>
      </c>
      <c r="BF54" s="74" t="n"/>
      <c r="BG54" s="74" t="n">
        <v>8.199999999999999</v>
      </c>
      <c r="BH54" s="74" t="n">
        <v>1</v>
      </c>
      <c r="BI54" s="75">
        <f>IF('BBG Verify'!S54="","not filed — run on terminal",'BBG Verify'!S54)</f>
        <v/>
      </c>
      <c r="BJ54" s="76" t="inlineStr">
        <is>
          <t>N</t>
        </is>
      </c>
      <c r="BK54" s="77">
        <f>IF('BBG Verify'!K54="","not filed — run on terminal",'BBG Verify'!K54)</f>
        <v/>
      </c>
      <c r="BL54" s="63" t="inlineStr">
        <is>
          <t>N/A</t>
        </is>
      </c>
      <c r="BM54" s="63" t="inlineStr">
        <is>
          <t>N/A</t>
        </is>
      </c>
      <c r="BN54" s="63" t="inlineStr">
        <is>
          <t>N/A</t>
        </is>
      </c>
      <c r="BO54" s="63" t="inlineStr">
        <is>
          <t>N/A</t>
        </is>
      </c>
      <c r="BP54" s="63" t="inlineStr">
        <is>
          <t>N/A</t>
        </is>
      </c>
      <c r="BQ54" s="63" t="inlineStr">
        <is>
          <t>N/A</t>
        </is>
      </c>
      <c r="BR54" s="76" t="inlineStr">
        <is>
          <t>UOB Kay Hian (Hong Kong) Limited</t>
        </is>
      </c>
      <c r="BS54" s="63" t="inlineStr">
        <is>
          <t>UOB Kay Hian (Hong Kong) Limited</t>
        </is>
      </c>
      <c r="BT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U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V54" s="78">
        <f>HYPERLINK("https://www1.hkexnews.hk/listedco/listconews/sehk/2021/0628/2021062800027.pdf","prospectus")</f>
        <v/>
      </c>
      <c r="BW54" s="78">
        <f>HYPERLINK("https://www1.hkexnews.hk/listedco/listconews/sehk/2021/0708/2021070800026.htm","allotment")</f>
        <v/>
      </c>
      <c r="BX54" s="78">
        <f>HYPERLINK("https://www1.hkexnews.hk/listedco/listconews/sehk/2021/0801/2021080100011.pdf","stabilisation")</f>
        <v/>
      </c>
      <c r="BY54" s="76" t="n"/>
      <c r="BZ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72" t="n"/>
      <c r="AC55" s="66" t="n"/>
      <c r="AD55" s="72" t="n"/>
      <c r="AE55" s="63" t="n"/>
      <c r="AF55" s="63" t="inlineStr">
        <is>
          <t>partial</t>
        </is>
      </c>
      <c r="AG55" s="63" t="inlineStr">
        <is>
          <t>2021-08-04</t>
        </is>
      </c>
      <c r="AH55" s="63" t="inlineStr">
        <is>
          <t>CCB International Capital Limited</t>
        </is>
      </c>
      <c r="AI55" s="63" t="inlineStr">
        <is>
          <t>CCB</t>
        </is>
      </c>
      <c r="AJ55" s="73" t="n">
        <v>0</v>
      </c>
      <c r="AK55" s="72" t="n">
        <v>24.11</v>
      </c>
      <c r="AL55" s="72" t="n">
        <v>-19.43</v>
      </c>
      <c r="AM55" s="72" t="n">
        <v>0</v>
      </c>
      <c r="AN55" s="72" t="n">
        <v>0.24</v>
      </c>
      <c r="AO55" s="72" t="n">
        <v>0</v>
      </c>
      <c r="AP55" s="72" t="n">
        <v>0</v>
      </c>
      <c r="AQ55" s="72" t="n">
        <v>0.24</v>
      </c>
      <c r="AR55" s="72" t="n">
        <v>0</v>
      </c>
      <c r="AS55" s="72" t="n">
        <v>-1.01</v>
      </c>
      <c r="AT55" s="72" t="n">
        <v>5.83</v>
      </c>
      <c r="AU55" s="72" t="n">
        <v>9.390000000000001</v>
      </c>
      <c r="AV55" s="72" t="n">
        <v>7.02</v>
      </c>
      <c r="AW55" s="72" t="n">
        <v>-5.59</v>
      </c>
      <c r="AX55" s="72" t="n">
        <v>-6.78</v>
      </c>
      <c r="AY55" s="63" t="inlineStr">
        <is>
          <t>Hang Seng Properties sub-index</t>
        </is>
      </c>
      <c r="AZ55" s="72" t="n">
        <v>-60.74</v>
      </c>
      <c r="BA55" s="64" t="inlineStr">
        <is>
          <t>2026-08-28</t>
        </is>
      </c>
      <c r="BB55" s="65" t="n">
        <v>471</v>
      </c>
      <c r="BC55" s="68" t="n">
        <v>77.3</v>
      </c>
      <c r="BD55" s="63" t="inlineStr">
        <is>
          <t>Y</t>
        </is>
      </c>
      <c r="BE55" s="74" t="n">
        <v>13.7</v>
      </c>
      <c r="BF55" s="74" t="n"/>
      <c r="BG55" s="74" t="n">
        <v>5.1</v>
      </c>
      <c r="BH55" s="74" t="n">
        <v>2.2</v>
      </c>
      <c r="BI55" s="75">
        <f>IF('BBG Verify'!S55="","not filed — run on terminal",'BBG Verify'!S55)</f>
        <v/>
      </c>
      <c r="BJ55" s="76" t="inlineStr">
        <is>
          <t>N</t>
        </is>
      </c>
      <c r="BK55" s="77">
        <f>IF('BBG Verify'!K55="","not filed — run on terminal",'BBG Verify'!K55)</f>
        <v/>
      </c>
      <c r="BL55" s="63" t="inlineStr">
        <is>
          <t>N/A</t>
        </is>
      </c>
      <c r="BM55" s="63" t="inlineStr">
        <is>
          <t>N/A</t>
        </is>
      </c>
      <c r="BN55" s="63" t="inlineStr">
        <is>
          <t>N/A</t>
        </is>
      </c>
      <c r="BO55" s="63" t="inlineStr">
        <is>
          <t>N/A</t>
        </is>
      </c>
      <c r="BP55" s="63" t="inlineStr">
        <is>
          <t>N/A</t>
        </is>
      </c>
      <c r="BQ55" s="63" t="inlineStr">
        <is>
          <t>N/A</t>
        </is>
      </c>
      <c r="BR55" s="76" t="inlineStr">
        <is>
          <t>CCB International Capital Limited</t>
        </is>
      </c>
      <c r="BS55" s="63" t="inlineStr">
        <is>
          <t>CCB International Capital Limited</t>
        </is>
      </c>
      <c r="BT55" s="63" t="inlineStr">
        <is>
          <t>CCB International Capital Limited; CMB International Capital Limited; Huatai Financial Holdings (Hong Kong) Limited; Seazen Resources Securities Limited; Shenwan Hongyuan Securities (H.K.) Limited; CMBC Securities Company Limited</t>
        </is>
      </c>
      <c r="BU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V55" s="78">
        <f>HYPERLINK("https://www1.hkexnews.hk/listedco/listconews/sehk/2021/0629/2021062900045.pdf","prospectus")</f>
        <v/>
      </c>
      <c r="BW55" s="78">
        <f>HYPERLINK("https://www1.hkexnews.hk/listedco/listconews/sehk/2021/0709/2021070900020.htm","allotment")</f>
        <v/>
      </c>
      <c r="BX55" s="78">
        <f>HYPERLINK("https://www1.hkexnews.hk/listedco/listconews/sehk/2021/0805/2021080500013.pdf","stabilisation")</f>
        <v/>
      </c>
      <c r="BY55" s="76" t="n"/>
      <c r="BZ5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72" t="n"/>
      <c r="AC56" s="66" t="n"/>
      <c r="AD56" s="72" t="n"/>
      <c r="AE56" s="63" t="n"/>
      <c r="AF56" s="63" t="inlineStr">
        <is>
          <t>lapsed</t>
        </is>
      </c>
      <c r="AG56" s="63" t="inlineStr">
        <is>
          <t>2021-08-04</t>
        </is>
      </c>
      <c r="AH56" s="63" t="inlineStr">
        <is>
          <t>China International Capital Corporation Hong Kong Securities Limited</t>
        </is>
      </c>
      <c r="AI56" s="63" t="inlineStr">
        <is>
          <t>China International</t>
        </is>
      </c>
      <c r="AJ56" s="73" t="n">
        <v>-23.78</v>
      </c>
      <c r="AK56" s="72" t="n">
        <v>3.04</v>
      </c>
      <c r="AL56" s="72" t="n">
        <v>-26.03</v>
      </c>
      <c r="AM56" s="72" t="n">
        <v>-29.09</v>
      </c>
      <c r="AN56" s="72" t="n">
        <v>-50.42</v>
      </c>
      <c r="AO56" s="72" t="n">
        <v>-57</v>
      </c>
      <c r="AP56" s="72" t="n">
        <v>-6.97</v>
      </c>
      <c r="AQ56" s="72" t="n">
        <v>-34.95</v>
      </c>
      <c r="AR56" s="72" t="n">
        <v>-43.58</v>
      </c>
      <c r="AS56" s="72" t="n">
        <v>-29.02</v>
      </c>
      <c r="AT56" s="72" t="n">
        <v>-42.4</v>
      </c>
      <c r="AU56" s="72" t="n">
        <v>-43.14</v>
      </c>
      <c r="AV56" s="72" t="n">
        <v>-25.82</v>
      </c>
      <c r="AW56" s="72" t="n">
        <v>-8.02</v>
      </c>
      <c r="AX56" s="72" t="n">
        <v>-9.130000000000001</v>
      </c>
      <c r="AY56" s="63" t="inlineStr">
        <is>
          <t>HSTECH (Hang Seng TECH ETF)</t>
        </is>
      </c>
      <c r="AZ56" s="72" t="n">
        <v>-79.76000000000001</v>
      </c>
      <c r="BA56" s="64" t="inlineStr">
        <is>
          <t>2026-08-28</t>
        </is>
      </c>
      <c r="BB56" s="65" t="n">
        <v>3080.9</v>
      </c>
      <c r="BC56" s="68" t="n">
        <v>47.3</v>
      </c>
      <c r="BD56" s="63" t="inlineStr">
        <is>
          <t>Y</t>
        </is>
      </c>
      <c r="BE56" s="74" t="n">
        <v>51.1</v>
      </c>
      <c r="BF56" s="74" t="n"/>
      <c r="BG56" s="74" t="n">
        <v>12.5</v>
      </c>
      <c r="BH56" s="74" t="n">
        <v>0.8</v>
      </c>
      <c r="BI56" s="75">
        <f>IF('BBG Verify'!S56="","not filed — run on terminal",'BBG Verify'!S56)</f>
        <v/>
      </c>
      <c r="BJ56" s="76" t="inlineStr">
        <is>
          <t>N</t>
        </is>
      </c>
      <c r="BK56" s="77">
        <f>IF('BBG Verify'!K56="","not filed — run on terminal",'BBG Verify'!K56)</f>
        <v/>
      </c>
      <c r="BL56" s="63" t="inlineStr">
        <is>
          <t>N/A</t>
        </is>
      </c>
      <c r="BM56" s="63" t="inlineStr">
        <is>
          <t>N/A</t>
        </is>
      </c>
      <c r="BN56" s="63" t="inlineStr">
        <is>
          <t>N/A</t>
        </is>
      </c>
      <c r="BO56" s="63" t="inlineStr">
        <is>
          <t>N/A</t>
        </is>
      </c>
      <c r="BP56" s="63" t="inlineStr">
        <is>
          <t>N/A</t>
        </is>
      </c>
      <c r="BQ56" s="63" t="inlineStr">
        <is>
          <t>N/A</t>
        </is>
      </c>
      <c r="BR56" s="76" t="inlineStr">
        <is>
          <t>China International Capital Corporation Hong Kong Securities Limited</t>
        </is>
      </c>
      <c r="BS56" s="63" t="inlineStr">
        <is>
          <t>China International Capital Corporation Hong Kong Securities Limited</t>
        </is>
      </c>
      <c r="BT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U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V56" s="78">
        <f>HYPERLINK("https://www1.hkexnews.hk/listedco/listconews/sehk/2021/0628/2021062800009.pdf","prospectus")</f>
        <v/>
      </c>
      <c r="BW56" s="78">
        <f>HYPERLINK("https://www1.hkexnews.hk/listedco/listconews/sehk/2021/0709/2021070900048.htm","allotment")</f>
        <v/>
      </c>
      <c r="BX56" s="78">
        <f>HYPERLINK("https://www1.hkexnews.hk/listedco/listconews/sehk/2021/0804/2021080401759.pdf","stabilisation")</f>
        <v/>
      </c>
      <c r="BY56" s="76" t="n"/>
      <c r="BZ56"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72" t="n"/>
      <c r="AC57" s="66" t="n"/>
      <c r="AD57" s="72" t="n"/>
      <c r="AE57" s="63" t="n"/>
      <c r="AF57" s="63" t="inlineStr">
        <is>
          <t>lapsed</t>
        </is>
      </c>
      <c r="AG57" s="63" t="n"/>
      <c r="AH57" s="63" t="inlineStr">
        <is>
          <t>BNP Paribas Securities</t>
        </is>
      </c>
      <c r="AI57" s="63" t="inlineStr">
        <is>
          <t>BNP Paribas</t>
        </is>
      </c>
      <c r="AJ57" s="73" t="n">
        <v>-16.98</v>
      </c>
      <c r="AK57" s="72" t="n">
        <v>-8.81</v>
      </c>
      <c r="AL57" s="72" t="n">
        <v>-8.960000000000001</v>
      </c>
      <c r="AM57" s="72" t="n">
        <v>-33.33</v>
      </c>
      <c r="AN57" s="72" t="n">
        <v>-11.95</v>
      </c>
      <c r="AO57" s="72" t="n">
        <v>-24.53</v>
      </c>
      <c r="AP57" s="72" t="n">
        <v>-19.69</v>
      </c>
      <c r="AQ57" s="72" t="n">
        <v>6.06</v>
      </c>
      <c r="AR57" s="72" t="n">
        <v>-9.09</v>
      </c>
      <c r="AS57" s="72" t="n">
        <v>-32.43</v>
      </c>
      <c r="AT57" s="72" t="n">
        <v>-6.8</v>
      </c>
      <c r="AU57" s="72" t="n">
        <v>-12.42</v>
      </c>
      <c r="AV57" s="72" t="n">
        <v>12.97</v>
      </c>
      <c r="AW57" s="72" t="n">
        <v>-5.15</v>
      </c>
      <c r="AX57" s="72" t="n">
        <v>-6.91</v>
      </c>
      <c r="AY57" s="63" t="inlineStr">
        <is>
          <t>Hang Seng Commerce &amp; Industry sub-index</t>
        </is>
      </c>
      <c r="AZ57" s="72" t="n">
        <v>-93.33</v>
      </c>
      <c r="BA57" s="64" t="inlineStr">
        <is>
          <t>2026-08-28</t>
        </is>
      </c>
      <c r="BB57" s="65" t="n">
        <v>495</v>
      </c>
      <c r="BC57" s="68" t="n">
        <v>187</v>
      </c>
      <c r="BD57" s="63" t="inlineStr">
        <is>
          <t>Y</t>
        </is>
      </c>
      <c r="BE57" s="74" t="n">
        <v>13.7</v>
      </c>
      <c r="BF57" s="74" t="n"/>
      <c r="BG57" s="74" t="n"/>
      <c r="BH57" s="74" t="n">
        <v>5.2</v>
      </c>
      <c r="BI57" s="75">
        <f>IF('BBG Verify'!S57="","not filed — run on terminal",'BBG Verify'!S57)</f>
        <v/>
      </c>
      <c r="BJ57" s="76" t="inlineStr">
        <is>
          <t>N</t>
        </is>
      </c>
      <c r="BK57" s="77">
        <f>IF('BBG Verify'!K57="","not filed — run on terminal",'BBG Verify'!K57)</f>
        <v/>
      </c>
      <c r="BL57" s="63" t="inlineStr">
        <is>
          <t>N/A</t>
        </is>
      </c>
      <c r="BM57" s="63" t="inlineStr">
        <is>
          <t>N/A</t>
        </is>
      </c>
      <c r="BN57" s="63" t="inlineStr">
        <is>
          <t>N/A</t>
        </is>
      </c>
      <c r="BO57" s="63" t="inlineStr">
        <is>
          <t>N/A</t>
        </is>
      </c>
      <c r="BP57" s="63" t="inlineStr">
        <is>
          <t>N/A</t>
        </is>
      </c>
      <c r="BQ57" s="63" t="inlineStr">
        <is>
          <t>N/A</t>
        </is>
      </c>
      <c r="BR57" s="76" t="inlineStr">
        <is>
          <t>BNP Paribas Securities (Asia) Limited</t>
        </is>
      </c>
      <c r="BS57" s="63" t="inlineStr">
        <is>
          <t>BNP Paribas Securities (Asia) Limited</t>
        </is>
      </c>
      <c r="BT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U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V57" s="78">
        <f>HYPERLINK("https://www1.hkexnews.hk/listedco/listconews/sehk/2021/0630/2021063000199.pdf","prospectus")</f>
        <v/>
      </c>
      <c r="BW57" s="78">
        <f>HYPERLINK("https://www1.hkexnews.hk/listedco/listconews/sehk/2021/0712/2021071200022.htm","allotment")</f>
        <v/>
      </c>
      <c r="BX57" s="78">
        <f>HYPERLINK("https://www1.hkexnews.hk/listedco/listconews/sehk/2021/0805/2021080500675.pdf","stabilisation")</f>
        <v/>
      </c>
      <c r="BY57" s="76" t="n"/>
      <c r="BZ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72" t="n"/>
      <c r="AC58" s="66" t="n"/>
      <c r="AD58" s="72" t="n"/>
      <c r="AE58" s="63" t="n"/>
      <c r="AF58" s="63" t="inlineStr">
        <is>
          <t>partial</t>
        </is>
      </c>
      <c r="AG58" s="63" t="inlineStr">
        <is>
          <t>2021-08-05</t>
        </is>
      </c>
      <c r="AH58" s="63" t="inlineStr">
        <is>
          <t>Morgan Stanley Asia Limited</t>
        </is>
      </c>
      <c r="AI58" s="63" t="inlineStr">
        <is>
          <t>Morgan Stanley</t>
        </is>
      </c>
      <c r="AJ58" s="73" t="n">
        <v>3.15</v>
      </c>
      <c r="AK58" s="72" t="n">
        <v>-3.82</v>
      </c>
      <c r="AL58" s="72" t="n">
        <v>7.25</v>
      </c>
      <c r="AM58" s="72" t="n">
        <v>-6.52</v>
      </c>
      <c r="AN58" s="72" t="n">
        <v>79.78</v>
      </c>
      <c r="AO58" s="72" t="n">
        <v>22.02</v>
      </c>
      <c r="AP58" s="72" t="n">
        <v>-9.369999999999999</v>
      </c>
      <c r="AQ58" s="72" t="n">
        <v>74.29000000000001</v>
      </c>
      <c r="AR58" s="72" t="n">
        <v>18.29</v>
      </c>
      <c r="AS58" s="72" t="n">
        <v>-6.88</v>
      </c>
      <c r="AT58" s="72" t="n">
        <v>87.09999999999999</v>
      </c>
      <c r="AU58" s="72" t="n">
        <v>39.45</v>
      </c>
      <c r="AV58" s="72" t="n">
        <v>81.16</v>
      </c>
      <c r="AW58" s="72" t="n">
        <v>-7.32</v>
      </c>
      <c r="AX58" s="72" t="n">
        <v>-6.87</v>
      </c>
      <c r="AY58" s="63" t="inlineStr">
        <is>
          <t>China Biotech ETF (HS biotech proxy)</t>
        </is>
      </c>
      <c r="AZ58" s="72" t="n">
        <v>-95.69</v>
      </c>
      <c r="BA58" s="64" t="inlineStr">
        <is>
          <t>2026-08-28</t>
        </is>
      </c>
      <c r="BB58" s="65" t="n">
        <v>34.1</v>
      </c>
      <c r="BC58" s="68" t="n">
        <v>-1411.9</v>
      </c>
      <c r="BD58" s="63" t="inlineStr">
        <is>
          <t>N</t>
        </is>
      </c>
      <c r="BE58" s="63" t="inlineStr">
        <is>
          <t>n/m</t>
        </is>
      </c>
      <c r="BF58" s="74" t="n"/>
      <c r="BG58" s="74" t="n"/>
      <c r="BH58" s="74" t="n">
        <v>410.2</v>
      </c>
      <c r="BI58" s="75">
        <f>IF('BBG Verify'!S58="","not filed — run on terminal",'BBG Verify'!S58)</f>
        <v/>
      </c>
      <c r="BJ58" s="76" t="inlineStr">
        <is>
          <t>N</t>
        </is>
      </c>
      <c r="BK58" s="77">
        <f>IF('BBG Verify'!K58="","not filed — run on terminal",'BBG Verify'!K58)</f>
        <v/>
      </c>
      <c r="BL58" s="63" t="inlineStr">
        <is>
          <t>N/A</t>
        </is>
      </c>
      <c r="BM58" s="63" t="inlineStr">
        <is>
          <t>N/A</t>
        </is>
      </c>
      <c r="BN58" s="63" t="inlineStr">
        <is>
          <t>N/A</t>
        </is>
      </c>
      <c r="BO58" s="63" t="inlineStr">
        <is>
          <t>N/A</t>
        </is>
      </c>
      <c r="BP58" s="63" t="inlineStr">
        <is>
          <t>N/A</t>
        </is>
      </c>
      <c r="BQ58" s="63" t="inlineStr">
        <is>
          <t>N/A</t>
        </is>
      </c>
      <c r="BR58" s="76" t="inlineStr">
        <is>
          <t>Morgan Stanley Asia Limited; UBS Securities Hong Kong Limited</t>
        </is>
      </c>
      <c r="BS58" s="63" t="inlineStr">
        <is>
          <t>Morgan Stanley Asia Limited; UBS Securities Hong Kong Limited</t>
        </is>
      </c>
      <c r="BT58" s="63" t="inlineStr">
        <is>
          <t>Morgan Stanley Asia Limited; UBS AG Hong Kong Branch; China International Capital Corporation Hong Kong Securities Limited</t>
        </is>
      </c>
      <c r="BU58" s="63" t="inlineStr">
        <is>
          <t>China International Capital Corporation Hong Kong Securities Limited; Morgan Stanley Asia Limited; UBS AG Hong Kong Branch</t>
        </is>
      </c>
      <c r="BV58" s="78">
        <f>HYPERLINK("https://www1.hkexnews.hk/listedco/listconews/sehk/2021/0630/2021063000045.pdf","prospectus")</f>
        <v/>
      </c>
      <c r="BW58" s="78">
        <f>HYPERLINK("https://www1.hkexnews.hk/listedco/listconews/sehk/2021/0712/2021071200036.htm","allotment")</f>
        <v/>
      </c>
      <c r="BX58" s="78">
        <f>HYPERLINK("https://www1.hkexnews.hk/listedco/listconews/sehk/2021/0805/2021080502190.pdf","stabilisation")</f>
        <v/>
      </c>
      <c r="BY58" s="76" t="n"/>
      <c r="BZ58" s="63" t="inlineStr">
        <is>
          <t>P/E: n/m — loss-making at IPO (use P/S) · A/H: no A-share listing · P/S: 410x on HK$34.1m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72" t="n"/>
      <c r="AC59" s="66" t="n"/>
      <c r="AD59" s="72" t="n"/>
      <c r="AE59" s="63" t="n"/>
      <c r="AF59" s="63" t="inlineStr">
        <is>
          <t>partial</t>
        </is>
      </c>
      <c r="AG59" s="63" t="inlineStr">
        <is>
          <t>2021-08-06</t>
        </is>
      </c>
      <c r="AH59" s="63" t="inlineStr">
        <is>
          <t>Goldman Sachs</t>
        </is>
      </c>
      <c r="AI59" s="63" t="inlineStr">
        <is>
          <t>Goldman Sachs</t>
        </is>
      </c>
      <c r="AJ59" s="73" t="n">
        <v>13.97</v>
      </c>
      <c r="AK59" s="72" t="n">
        <v>6.25</v>
      </c>
      <c r="AL59" s="72" t="n">
        <v>7.27</v>
      </c>
      <c r="AM59" s="72" t="n">
        <v>11.21</v>
      </c>
      <c r="AN59" s="72" t="n">
        <v>29.23</v>
      </c>
      <c r="AO59" s="72" t="n">
        <v>42.28</v>
      </c>
      <c r="AP59" s="72" t="n">
        <v>-2.42</v>
      </c>
      <c r="AQ59" s="72" t="n">
        <v>13.39</v>
      </c>
      <c r="AR59" s="72" t="n">
        <v>24.84</v>
      </c>
      <c r="AS59" s="72" t="n">
        <v>13.47</v>
      </c>
      <c r="AT59" s="72" t="n">
        <v>39.37</v>
      </c>
      <c r="AU59" s="72" t="n">
        <v>60.8</v>
      </c>
      <c r="AV59" s="72" t="n">
        <v>22.89</v>
      </c>
      <c r="AW59" s="72" t="n">
        <v>-10.14</v>
      </c>
      <c r="AX59" s="72" t="n">
        <v>-9.5</v>
      </c>
      <c r="AY59" s="63" t="inlineStr">
        <is>
          <t>China Biotech ETF (HS biotech proxy)</t>
        </is>
      </c>
      <c r="AZ59" s="72" t="n">
        <v>-71.8</v>
      </c>
      <c r="BA59" s="64" t="inlineStr">
        <is>
          <t>2026-08-28</t>
        </is>
      </c>
      <c r="BB59" s="65" t="n">
        <v>234.9</v>
      </c>
      <c r="BC59" s="68" t="n">
        <v>93.7</v>
      </c>
      <c r="BD59" s="63" t="inlineStr">
        <is>
          <t>Y</t>
        </is>
      </c>
      <c r="BE59" s="74" t="n">
        <v>188.9</v>
      </c>
      <c r="BF59" s="74" t="n"/>
      <c r="BG59" s="74" t="n">
        <v>15.2</v>
      </c>
      <c r="BH59" s="74" t="n">
        <v>75.40000000000001</v>
      </c>
      <c r="BI59" s="75">
        <f>IF('BBG Verify'!S59="","not filed — run on terminal",'BBG Verify'!S59)</f>
        <v/>
      </c>
      <c r="BJ59" s="76" t="inlineStr">
        <is>
          <t>N</t>
        </is>
      </c>
      <c r="BK59" s="77">
        <f>IF('BBG Verify'!K59="","not filed — run on terminal",'BBG Verify'!K59)</f>
        <v/>
      </c>
      <c r="BL59" s="63" t="inlineStr">
        <is>
          <t>N/A</t>
        </is>
      </c>
      <c r="BM59" s="63" t="inlineStr">
        <is>
          <t>N/A</t>
        </is>
      </c>
      <c r="BN59" s="63" t="inlineStr">
        <is>
          <t>N/A</t>
        </is>
      </c>
      <c r="BO59" s="63" t="inlineStr">
        <is>
          <t>N/A</t>
        </is>
      </c>
      <c r="BP59" s="63" t="inlineStr">
        <is>
          <t>N/A</t>
        </is>
      </c>
      <c r="BQ59" s="63" t="inlineStr">
        <is>
          <t>N/A</t>
        </is>
      </c>
      <c r="BR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S59" s="63" t="inlineStr">
        <is>
          <t>Haitong International Capital Limited; Goldman Sachs (Asia) L.L.C.</t>
        </is>
      </c>
      <c r="BT59" s="63" t="inlineStr">
        <is>
          <t>China International Capital Corporation Hong Kong Securities Limited; Goldman Sachs (Asia) L.L.C.; Haitong International Securities Company Limited</t>
        </is>
      </c>
      <c r="BU59" s="63" t="inlineStr">
        <is>
          <t>China International Capital Corporation Hong Kong Securities Limited; Goldman Sachs (Asia) L.L.C.; Haitong International Securities Company Limited</t>
        </is>
      </c>
      <c r="BV59" s="78">
        <f>HYPERLINK("https://www1.hkexnews.hk/listedco/listconews/sehk/2021/0630/2021063000187.pdf","prospectus")</f>
        <v/>
      </c>
      <c r="BW59" s="78">
        <f>HYPERLINK("https://www1.hkexnews.hk/listedco/listconews/sehk/2021/0714/2021071400028.htm","allotment")</f>
        <v/>
      </c>
      <c r="BX59" s="78">
        <f>HYPERLINK("https://www1.hkexnews.hk/listedco/listconews/sehk/2021/0808/2021080800055.pdf","stabilisation")</f>
        <v/>
      </c>
      <c r="BY59" s="76" t="n"/>
      <c r="BZ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72" t="n"/>
      <c r="AC60" s="66" t="n"/>
      <c r="AD60" s="72" t="n"/>
      <c r="AE60" s="63" t="n"/>
      <c r="AF60" s="63" t="inlineStr">
        <is>
          <t>full</t>
        </is>
      </c>
      <c r="AG60" s="63" t="n"/>
      <c r="AH60" s="63" t="inlineStr">
        <is>
          <t>Macquarie</t>
        </is>
      </c>
      <c r="AI60" s="63" t="inlineStr">
        <is>
          <t>Macquarie</t>
        </is>
      </c>
      <c r="AJ60" s="73" t="n">
        <v>25</v>
      </c>
      <c r="AK60" s="72" t="n">
        <v>34.09</v>
      </c>
      <c r="AL60" s="72" t="n">
        <v>-6.78</v>
      </c>
      <c r="AM60" s="72" t="n">
        <v>89.55</v>
      </c>
      <c r="AN60" s="72" t="n">
        <v>63.41</v>
      </c>
      <c r="AO60" s="72" t="n">
        <v>57.27</v>
      </c>
      <c r="AP60" s="72" t="n">
        <v>51.64</v>
      </c>
      <c r="AQ60" s="72" t="n">
        <v>30.73</v>
      </c>
      <c r="AR60" s="72" t="n">
        <v>25.82</v>
      </c>
      <c r="AS60" s="72" t="n">
        <v>90.8</v>
      </c>
      <c r="AT60" s="72" t="n">
        <v>71.28</v>
      </c>
      <c r="AU60" s="72" t="n">
        <v>68.45</v>
      </c>
      <c r="AV60" s="72" t="n">
        <v>38.95</v>
      </c>
      <c r="AW60" s="72" t="n">
        <v>-7.87</v>
      </c>
      <c r="AX60" s="72" t="n">
        <v>-8.220000000000001</v>
      </c>
      <c r="AY60" s="63" t="inlineStr">
        <is>
          <t>Hang Seng Commerce &amp; Industry sub-index</t>
        </is>
      </c>
      <c r="AZ60" s="72" t="n">
        <v>-95.05</v>
      </c>
      <c r="BA60" s="64" t="inlineStr">
        <is>
          <t>2026-08-28</t>
        </is>
      </c>
      <c r="BB60" s="65" t="n">
        <v>9386.4</v>
      </c>
      <c r="BC60" s="68" t="n">
        <v>337.1</v>
      </c>
      <c r="BD60" s="63" t="inlineStr">
        <is>
          <t>Y</t>
        </is>
      </c>
      <c r="BE60" s="74" t="n">
        <v>7.8</v>
      </c>
      <c r="BF60" s="74" t="n"/>
      <c r="BG60" s="74" t="n">
        <v>62.1</v>
      </c>
      <c r="BH60" s="74" t="n">
        <v>0.3</v>
      </c>
      <c r="BI60" s="75">
        <f>IF('BBG Verify'!S60="","not filed — run on terminal",'BBG Verify'!S60)</f>
        <v/>
      </c>
      <c r="BJ60" s="76" t="inlineStr">
        <is>
          <t>N</t>
        </is>
      </c>
      <c r="BK60" s="77">
        <f>IF('BBG Verify'!K60="","not filed — run on terminal",'BBG Verify'!K60)</f>
        <v/>
      </c>
      <c r="BL60" s="63" t="inlineStr">
        <is>
          <t>N/A</t>
        </is>
      </c>
      <c r="BM60" s="63" t="inlineStr">
        <is>
          <t>N/A</t>
        </is>
      </c>
      <c r="BN60" s="63" t="inlineStr">
        <is>
          <t>N/A</t>
        </is>
      </c>
      <c r="BO60" s="63" t="inlineStr">
        <is>
          <t>N/A</t>
        </is>
      </c>
      <c r="BP60" s="63" t="inlineStr">
        <is>
          <t>N/A</t>
        </is>
      </c>
      <c r="BQ60" s="63" t="inlineStr">
        <is>
          <t>N/A</t>
        </is>
      </c>
      <c r="BR60" s="76" t="inlineStr">
        <is>
          <t>Macquarie Capital Limited</t>
        </is>
      </c>
      <c r="BS60" s="63" t="inlineStr">
        <is>
          <t>Macquarie Capital Limited</t>
        </is>
      </c>
      <c r="BT60" s="63" t="inlineStr">
        <is>
          <t>Macquarie Capital Limited; Huatai Financial Holdings (Hong Kong) Limited; BOCOM International Securities Limited; UOB Kay Hian (Hong Kong) Limited; DBS Asia Capital Limited; First Shanghai Securities Limited; Maxa Capital Limited</t>
        </is>
      </c>
      <c r="BU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V60" s="78">
        <f>HYPERLINK("https://www1.hkexnews.hk/listedco/listconews/sehk/2021/0630/2021063000067.pdf","prospectus")</f>
        <v/>
      </c>
      <c r="BW60" s="78">
        <f>HYPERLINK("https://www1.hkexnews.hk/listedco/listconews/sehk/2021/0714/2021071400040.htm","allotment")</f>
        <v/>
      </c>
      <c r="BX60" s="78">
        <f>HYPERLINK("https://www1.hkexnews.hk/listedco/listconews/sehk/2021/0808/2021080800009.pdf","stabilisation")</f>
        <v/>
      </c>
      <c r="BY60" s="76" t="n"/>
      <c r="BZ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72" t="n"/>
      <c r="AC61" s="66" t="n"/>
      <c r="AD61" s="72" t="n"/>
      <c r="AE61" s="63" t="n"/>
      <c r="AF61" s="63" t="inlineStr">
        <is>
          <t>partial</t>
        </is>
      </c>
      <c r="AG61" s="63" t="inlineStr">
        <is>
          <t>2021-08-07</t>
        </is>
      </c>
      <c r="AH61" s="63" t="inlineStr">
        <is>
          <t>CCB International Capital Limited</t>
        </is>
      </c>
      <c r="AI61" s="63" t="inlineStr">
        <is>
          <t>CCB</t>
        </is>
      </c>
      <c r="AJ61" s="73" t="n">
        <v>0</v>
      </c>
      <c r="AK61" s="72" t="n">
        <v>0</v>
      </c>
      <c r="AL61" s="72" t="n">
        <v>0</v>
      </c>
      <c r="AM61" s="72" t="n">
        <v>-0</v>
      </c>
      <c r="AN61" s="72" t="n">
        <v>9.800000000000001</v>
      </c>
      <c r="AO61" s="72" t="n">
        <v>10.13</v>
      </c>
      <c r="AP61" s="72" t="n">
        <v>0</v>
      </c>
      <c r="AQ61" s="72" t="n">
        <v>9.800000000000001</v>
      </c>
      <c r="AR61" s="72" t="n">
        <v>10.13</v>
      </c>
      <c r="AS61" s="72" t="n">
        <v>-1.15</v>
      </c>
      <c r="AT61" s="72" t="n">
        <v>14.33</v>
      </c>
      <c r="AU61" s="72" t="n">
        <v>19.43</v>
      </c>
      <c r="AV61" s="72" t="n">
        <v>16.18</v>
      </c>
      <c r="AW61" s="72" t="n">
        <v>-4.53</v>
      </c>
      <c r="AX61" s="72" t="n">
        <v>-6.38</v>
      </c>
      <c r="AY61" s="63" t="inlineStr">
        <is>
          <t>Hang Seng Properties sub-index</t>
        </is>
      </c>
      <c r="AZ61" s="72" t="n">
        <v>-92.34999999999999</v>
      </c>
      <c r="BA61" s="64" t="inlineStr">
        <is>
          <t>2026-08-28</t>
        </is>
      </c>
      <c r="BB61" s="65" t="n">
        <v>761.6</v>
      </c>
      <c r="BC61" s="68" t="n">
        <v>116.4</v>
      </c>
      <c r="BD61" s="63" t="inlineStr">
        <is>
          <t>Y</t>
        </is>
      </c>
      <c r="BE61" s="74" t="n">
        <v>23.7</v>
      </c>
      <c r="BF61" s="74" t="n"/>
      <c r="BG61" s="74" t="n"/>
      <c r="BH61" s="74" t="n">
        <v>3.6</v>
      </c>
      <c r="BI61" s="75">
        <f>IF('BBG Verify'!S61="","not filed — run on terminal",'BBG Verify'!S61)</f>
        <v/>
      </c>
      <c r="BJ61" s="76" t="inlineStr">
        <is>
          <t>N</t>
        </is>
      </c>
      <c r="BK61" s="77">
        <f>IF('BBG Verify'!K61="","not filed — run on terminal",'BBG Verify'!K61)</f>
        <v/>
      </c>
      <c r="BL61" s="63" t="inlineStr">
        <is>
          <t>N/A</t>
        </is>
      </c>
      <c r="BM61" s="63" t="inlineStr">
        <is>
          <t>N/A</t>
        </is>
      </c>
      <c r="BN61" s="63" t="inlineStr">
        <is>
          <t>N/A</t>
        </is>
      </c>
      <c r="BO61" s="63" t="inlineStr">
        <is>
          <t>N/A</t>
        </is>
      </c>
      <c r="BP61" s="63" t="inlineStr">
        <is>
          <t>N/A</t>
        </is>
      </c>
      <c r="BQ61" s="63" t="inlineStr">
        <is>
          <t>N/A</t>
        </is>
      </c>
      <c r="BR61" s="76" t="inlineStr">
        <is>
          <t>CCB International Capital Limited</t>
        </is>
      </c>
      <c r="BS61" s="63" t="inlineStr">
        <is>
          <t>CCB International Capital Limited</t>
        </is>
      </c>
      <c r="BT61" s="63" t="inlineStr">
        <is>
          <t>CCB International Capital Limited; China Industrial Securities International Capital Limited; Zhongtai International Securities Limited; Vision Capital International Holdings Limited</t>
        </is>
      </c>
      <c r="BU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V61" s="78">
        <f>HYPERLINK("https://www1.hkexnews.hk/listedco/listconews/sehk/2021/0629/2021062900043.pdf","prospectus")</f>
        <v/>
      </c>
      <c r="BW61" s="78">
        <f>HYPERLINK("https://www1.hkexnews.hk/listedco/listconews/sehk/2021/0714/2021071400259.htm","allotment")</f>
        <v/>
      </c>
      <c r="BX61" s="78">
        <f>HYPERLINK("https://www1.hkexnews.hk/listedco/listconews/sehk/2021/0808/2021080800043.pdf","stabilisation")</f>
        <v/>
      </c>
      <c r="BY61" s="76" t="n"/>
      <c r="BZ6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72" t="n"/>
      <c r="AC62" s="66" t="n"/>
      <c r="AD62" s="72" t="n"/>
      <c r="AE62" s="63" t="n"/>
      <c r="AF62" s="63" t="inlineStr">
        <is>
          <t>lapsed</t>
        </is>
      </c>
      <c r="AG62" s="63" t="inlineStr">
        <is>
          <t>2021-08-06</t>
        </is>
      </c>
      <c r="AH62" s="63" t="inlineStr">
        <is>
          <t>Goldman Sachs</t>
        </is>
      </c>
      <c r="AI62" s="63" t="inlineStr">
        <is>
          <t>Goldman Sachs</t>
        </is>
      </c>
      <c r="AJ62" s="73" t="n">
        <v>-7.57</v>
      </c>
      <c r="AK62" s="72" t="n">
        <v>0</v>
      </c>
      <c r="AL62" s="72" t="n">
        <v>-7.57</v>
      </c>
      <c r="AM62" s="72" t="n">
        <v>-18</v>
      </c>
      <c r="AN62" s="72" t="n">
        <v>-20.76</v>
      </c>
      <c r="AO62" s="72" t="n">
        <v>-45.3</v>
      </c>
      <c r="AP62" s="72" t="n">
        <v>-11.28</v>
      </c>
      <c r="AQ62" s="72" t="n">
        <v>-14.27</v>
      </c>
      <c r="AR62" s="72" t="n">
        <v>-40.82</v>
      </c>
      <c r="AS62" s="72" t="n">
        <v>-13.98</v>
      </c>
      <c r="AT62" s="72" t="n">
        <v>-10.43</v>
      </c>
      <c r="AU62" s="72" t="n">
        <v>-28.86</v>
      </c>
      <c r="AV62" s="72" t="n">
        <v>-4.25</v>
      </c>
      <c r="AW62" s="72" t="n">
        <v>-10.33</v>
      </c>
      <c r="AX62" s="72" t="n">
        <v>-10.02</v>
      </c>
      <c r="AY62" s="63" t="inlineStr">
        <is>
          <t>China Biotech ETF (HS biotech proxy)</t>
        </is>
      </c>
      <c r="AZ62" s="72" t="n">
        <v>-90.08</v>
      </c>
      <c r="BA62" s="64" t="inlineStr">
        <is>
          <t>2026-08-28</t>
        </is>
      </c>
      <c r="BB62" s="65" t="n">
        <v>980.5</v>
      </c>
      <c r="BC62" s="68" t="n">
        <v>-1067.1</v>
      </c>
      <c r="BD62" s="63" t="inlineStr">
        <is>
          <t>N</t>
        </is>
      </c>
      <c r="BE62" s="63" t="inlineStr">
        <is>
          <t>n/m</t>
        </is>
      </c>
      <c r="BF62" s="74" t="n"/>
      <c r="BG62" s="74" t="n"/>
      <c r="BH62" s="74" t="n">
        <v>8.199999999999999</v>
      </c>
      <c r="BI62" s="75">
        <f>IF('BBG Verify'!S62="","not filed — run on terminal",'BBG Verify'!S62)</f>
        <v/>
      </c>
      <c r="BJ62" s="76" t="inlineStr">
        <is>
          <t>N</t>
        </is>
      </c>
      <c r="BK62" s="77">
        <f>IF('BBG Verify'!K62="","not filed — run on terminal",'BBG Verify'!K62)</f>
        <v/>
      </c>
      <c r="BL62" s="63" t="inlineStr">
        <is>
          <t>N/A</t>
        </is>
      </c>
      <c r="BM62" s="63" t="inlineStr">
        <is>
          <t>N/A</t>
        </is>
      </c>
      <c r="BN62" s="63" t="inlineStr">
        <is>
          <t>N/A</t>
        </is>
      </c>
      <c r="BO62" s="63" t="inlineStr">
        <is>
          <t>N/A</t>
        </is>
      </c>
      <c r="BP62" s="63" t="inlineStr">
        <is>
          <t>N/A</t>
        </is>
      </c>
      <c r="BQ62" s="63" t="inlineStr">
        <is>
          <t>N/A</t>
        </is>
      </c>
      <c r="BR62" s="76" t="inlineStr">
        <is>
          <t>Goldman Sachs (Asia) L.L.C; China International Capital Corporation Hong Kong Securities Limited; Credit Suisse (Hong Kong) Limited</t>
        </is>
      </c>
      <c r="BS62" s="63" t="inlineStr">
        <is>
          <t>China International Capital Corporation Hong Kong Securities Limited; Goldman Sachs (Asia) L.L.C.; Credit Suisse (Hong Kong) Limited</t>
        </is>
      </c>
      <c r="BT62" s="63" t="inlineStr">
        <is>
          <t>Goldman Sachs (Asia) L.L.C; China International Capital Corporation Hong Kong Securities Limited; Credit Suisse (Hong Kong) Limited</t>
        </is>
      </c>
      <c r="BU62" s="63" t="inlineStr">
        <is>
          <t>China International Capital Corporation Hong Kong Securities Limited; Credit Suisse (Hong Kong) Limited; Futu Securities International (Hong Kong) Limited; Guotai Junan Securities (Hong Kong) Limited; Goldman Sachs (Asia) L.L.C.; VMS Securities Limited</t>
        </is>
      </c>
      <c r="BV62" s="78">
        <f>HYPERLINK("https://www1.hkexnews.hk/listedco/listconews/sehk/2021/0629/2021062900037.pdf","prospectus")</f>
        <v/>
      </c>
      <c r="BW62" s="78">
        <f>HYPERLINK("https://www1.hkexnews.hk/listedco/listconews/sehk/2021/0715/2021071500008.htm","allotment")</f>
        <v/>
      </c>
      <c r="BX62" s="78">
        <f>HYPERLINK("https://www1.hkexnews.hk/listedco/listconews/sehk/2021/0806/2021080601107.pdf","stabilisation")</f>
        <v/>
      </c>
      <c r="BY62" s="76" t="n"/>
      <c r="BZ62"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72" t="n"/>
      <c r="AC63" s="66" t="n"/>
      <c r="AD63" s="72" t="n"/>
      <c r="AE63" s="63" t="n"/>
      <c r="AF63" s="63" t="inlineStr">
        <is>
          <t>partial</t>
        </is>
      </c>
      <c r="AG63" s="63" t="n"/>
      <c r="AH63" s="63" t="inlineStr">
        <is>
          <t>Guotai Junan Securities</t>
        </is>
      </c>
      <c r="AI63" s="63" t="inlineStr">
        <is>
          <t>Guotai Junan</t>
        </is>
      </c>
      <c r="AJ63" s="73" t="n">
        <v>0</v>
      </c>
      <c r="AK63" s="72" t="n">
        <v>-10.84</v>
      </c>
      <c r="AL63" s="72" t="n">
        <v>12.16</v>
      </c>
      <c r="AM63" s="72" t="n">
        <v>0.8100000000000001</v>
      </c>
      <c r="AN63" s="72" t="n">
        <v>20.6</v>
      </c>
      <c r="AO63" s="72" t="n">
        <v>16.8</v>
      </c>
      <c r="AP63" s="72" t="n">
        <v>0.8100000000000001</v>
      </c>
      <c r="AQ63" s="72" t="n">
        <v>20.6</v>
      </c>
      <c r="AR63" s="72" t="n">
        <v>16.8</v>
      </c>
      <c r="AS63" s="72" t="n">
        <v>4.18</v>
      </c>
      <c r="AT63" s="72" t="n">
        <v>30.6</v>
      </c>
      <c r="AU63" s="72" t="n">
        <v>26.69</v>
      </c>
      <c r="AV63" s="72" t="n">
        <v>30.55</v>
      </c>
      <c r="AW63" s="72" t="n">
        <v>-10</v>
      </c>
      <c r="AX63" s="72" t="n">
        <v>-9.949999999999999</v>
      </c>
      <c r="AY63" s="63" t="inlineStr">
        <is>
          <t>Hang Seng Commerce &amp; Industry sub-index</t>
        </is>
      </c>
      <c r="AZ63" s="72" t="n">
        <v>-34.55</v>
      </c>
      <c r="BA63" s="64" t="inlineStr">
        <is>
          <t>2026-08-28</t>
        </is>
      </c>
      <c r="BB63" s="65" t="n">
        <v>298.2</v>
      </c>
      <c r="BC63" s="68" t="n">
        <v>157</v>
      </c>
      <c r="BD63" s="63" t="inlineStr">
        <is>
          <t>Y</t>
        </is>
      </c>
      <c r="BE63" s="74" t="n">
        <v>13.5</v>
      </c>
      <c r="BF63" s="74" t="n"/>
      <c r="BG63" s="74" t="n">
        <v>13.5</v>
      </c>
      <c r="BH63" s="74" t="n">
        <v>7.1</v>
      </c>
      <c r="BI63" s="75">
        <f>IF('BBG Verify'!S63="","not filed — run on terminal",'BBG Verify'!S63)</f>
        <v/>
      </c>
      <c r="BJ63" s="76" t="inlineStr">
        <is>
          <t>N</t>
        </is>
      </c>
      <c r="BK63" s="77">
        <f>IF('BBG Verify'!K63="","not filed — run on terminal",'BBG Verify'!K63)</f>
        <v/>
      </c>
      <c r="BL63" s="63" t="inlineStr">
        <is>
          <t>N/A</t>
        </is>
      </c>
      <c r="BM63" s="63" t="inlineStr">
        <is>
          <t>N/A</t>
        </is>
      </c>
      <c r="BN63" s="63" t="inlineStr">
        <is>
          <t>N/A</t>
        </is>
      </c>
      <c r="BO63" s="63" t="inlineStr">
        <is>
          <t>N/A</t>
        </is>
      </c>
      <c r="BP63" s="63" t="inlineStr">
        <is>
          <t>N/A</t>
        </is>
      </c>
      <c r="BQ63" s="63" t="inlineStr">
        <is>
          <t>N/A</t>
        </is>
      </c>
      <c r="BR63" s="76" t="inlineStr">
        <is>
          <t>Guotai Junan Capital Limited</t>
        </is>
      </c>
      <c r="BS63" s="63" t="inlineStr">
        <is>
          <t>Guotai Junan Capital Limited</t>
        </is>
      </c>
      <c r="BT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U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V63" s="78">
        <f>HYPERLINK("https://www1.hkexnews.hk/listedco/listconews/sehk/2021/0630/2021063000077.pdf","prospectus")</f>
        <v/>
      </c>
      <c r="BW63" s="78">
        <f>HYPERLINK("https://www1.hkexnews.hk/listedco/listconews/sehk/2021/0715/2021071500034.htm","allotment")</f>
        <v/>
      </c>
      <c r="BX63" s="78">
        <f>HYPERLINK("https://www1.hkexnews.hk/listedco/listconews/sehk/2021/0808/2021080800003.pdf","stabilisation")</f>
        <v/>
      </c>
      <c r="BY63" s="76" t="n"/>
      <c r="BZ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72" t="n"/>
      <c r="AC64" s="66" t="n"/>
      <c r="AD64" s="72" t="n"/>
      <c r="AE64" s="63" t="n"/>
      <c r="AF64" s="63" t="inlineStr">
        <is>
          <t>lapsed</t>
        </is>
      </c>
      <c r="AG64" s="63" t="inlineStr">
        <is>
          <t>2021-08-08</t>
        </is>
      </c>
      <c r="AH64" s="63" t="inlineStr">
        <is>
          <t>CCB International Capital Limited</t>
        </is>
      </c>
      <c r="AI64" s="63" t="inlineStr">
        <is>
          <t>CCB</t>
        </is>
      </c>
      <c r="AJ64" s="73" t="n">
        <v>-1.09</v>
      </c>
      <c r="AK64" s="72" t="n">
        <v>0</v>
      </c>
      <c r="AL64" s="72" t="n">
        <v>-1.09</v>
      </c>
      <c r="AM64" s="72" t="n">
        <v>-1.09</v>
      </c>
      <c r="AN64" s="72" t="n">
        <v>-2.99</v>
      </c>
      <c r="AO64" s="72" t="n">
        <v>-0.82</v>
      </c>
      <c r="AP64" s="72" t="n">
        <v>0</v>
      </c>
      <c r="AQ64" s="72" t="n">
        <v>-1.92</v>
      </c>
      <c r="AR64" s="72" t="n">
        <v>0.27</v>
      </c>
      <c r="AS64" s="72" t="n">
        <v>0.46</v>
      </c>
      <c r="AT64" s="72" t="n">
        <v>2.73</v>
      </c>
      <c r="AU64" s="72" t="n">
        <v>10.38</v>
      </c>
      <c r="AV64" s="72" t="n">
        <v>3.44</v>
      </c>
      <c r="AW64" s="72" t="n">
        <v>-5.72</v>
      </c>
      <c r="AX64" s="72" t="n">
        <v>-5.36</v>
      </c>
      <c r="AY64" s="63" t="inlineStr">
        <is>
          <t>Hang Seng Properties sub-index</t>
        </is>
      </c>
      <c r="AZ64" s="72" t="n">
        <v>-83.7</v>
      </c>
      <c r="BA64" s="64" t="inlineStr">
        <is>
          <t>2026-08-28</t>
        </is>
      </c>
      <c r="BB64" s="65" t="n">
        <v>633.1</v>
      </c>
      <c r="BC64" s="68" t="n">
        <v>101</v>
      </c>
      <c r="BD64" s="63" t="inlineStr">
        <is>
          <t>Y</t>
        </is>
      </c>
      <c r="BE64" s="74" t="n">
        <v>23</v>
      </c>
      <c r="BF64" s="74" t="n">
        <v>16.3</v>
      </c>
      <c r="BG64" s="74" t="n"/>
      <c r="BH64" s="74" t="n">
        <v>3.7</v>
      </c>
      <c r="BI64" s="75">
        <f>IF('BBG Verify'!S64="","not filed — run on terminal",'BBG Verify'!S64)</f>
        <v/>
      </c>
      <c r="BJ64" s="76" t="inlineStr">
        <is>
          <t>N</t>
        </is>
      </c>
      <c r="BK64" s="77">
        <f>IF('BBG Verify'!K64="","not filed — run on terminal",'BBG Verify'!K64)</f>
        <v/>
      </c>
      <c r="BL64" s="63" t="inlineStr">
        <is>
          <t>N/A</t>
        </is>
      </c>
      <c r="BM64" s="63" t="inlineStr">
        <is>
          <t>N/A</t>
        </is>
      </c>
      <c r="BN64" s="63" t="inlineStr">
        <is>
          <t>N/A</t>
        </is>
      </c>
      <c r="BO64" s="63" t="inlineStr">
        <is>
          <t>N/A</t>
        </is>
      </c>
      <c r="BP64" s="63" t="inlineStr">
        <is>
          <t>N/A</t>
        </is>
      </c>
      <c r="BQ64" s="63" t="inlineStr">
        <is>
          <t>N/A</t>
        </is>
      </c>
      <c r="BR64" s="76" t="inlineStr">
        <is>
          <t>CCB International Capital Limited</t>
        </is>
      </c>
      <c r="BS64" s="63" t="inlineStr">
        <is>
          <t>CCB International Capital Limited</t>
        </is>
      </c>
      <c r="BT64" s="63" t="inlineStr">
        <is>
          <t>CCB International Capital Limited; Haitong International Securities Company Limited; Sheng Yuan Securities Limited; Shenwan Hongyuan Securities (H.K.) Limited; DL SECURITIES (HK) LIMITED</t>
        </is>
      </c>
      <c r="BU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V64" s="78">
        <f>HYPERLINK("https://www1.hkexnews.hk/listedco/listconews/sehk/2021/0629/2021062900193.pdf","prospectus")</f>
        <v/>
      </c>
      <c r="BW64" s="78">
        <f>HYPERLINK("https://www1.hkexnews.hk/listedco/listconews/sehk/2021/0715/2021071500080.htm","allotment")</f>
        <v/>
      </c>
      <c r="BX64" s="78">
        <f>HYPERLINK("https://www1.hkexnews.hk/listedco/listconews/sehk/2021/0809/2021080900033.pdf","stabilisation")</f>
        <v/>
      </c>
      <c r="BY64" s="76" t="n"/>
      <c r="BZ6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72" t="n"/>
      <c r="AC65" s="66" t="n"/>
      <c r="AD65" s="72" t="n"/>
      <c r="AE65" s="63" t="n"/>
      <c r="AF65" s="63" t="inlineStr">
        <is>
          <t>partial</t>
        </is>
      </c>
      <c r="AG65" s="63" t="inlineStr">
        <is>
          <t>2021-08-05</t>
        </is>
      </c>
      <c r="AH65" s="63" t="inlineStr">
        <is>
          <t>Essence International Securities</t>
        </is>
      </c>
      <c r="AI65" s="63" t="inlineStr">
        <is>
          <t>Essence</t>
        </is>
      </c>
      <c r="AJ65" s="73" t="n">
        <v>13.85</v>
      </c>
      <c r="AK65" s="72" t="n">
        <v>26.15</v>
      </c>
      <c r="AL65" s="72" t="n">
        <v>-9.75</v>
      </c>
      <c r="AM65" s="72" t="n">
        <v>26.46</v>
      </c>
      <c r="AN65" s="72" t="n">
        <v>93.84999999999999</v>
      </c>
      <c r="AO65" s="72" t="n">
        <v>61.54</v>
      </c>
      <c r="AP65" s="72" t="n">
        <v>11.08</v>
      </c>
      <c r="AQ65" s="72" t="n">
        <v>70.27</v>
      </c>
      <c r="AR65" s="72" t="n">
        <v>41.89</v>
      </c>
      <c r="AS65" s="72" t="n">
        <v>29.83</v>
      </c>
      <c r="AT65" s="72" t="n">
        <v>103.85</v>
      </c>
      <c r="AU65" s="72" t="n">
        <v>71.43000000000001</v>
      </c>
      <c r="AV65" s="72" t="n">
        <v>80.22</v>
      </c>
      <c r="AW65" s="72" t="n">
        <v>-10</v>
      </c>
      <c r="AX65" s="72" t="n">
        <v>-9.949999999999999</v>
      </c>
      <c r="AY65" s="63" t="inlineStr">
        <is>
          <t>Hang Seng Commerce &amp; Industry sub-index</t>
        </is>
      </c>
      <c r="AZ65" s="72" t="n">
        <v>201.23</v>
      </c>
      <c r="BA65" s="64" t="inlineStr">
        <is>
          <t>2026-08-28</t>
        </is>
      </c>
      <c r="BB65" s="65" t="n">
        <v>626</v>
      </c>
      <c r="BC65" s="68" t="n">
        <v>168.1</v>
      </c>
      <c r="BD65" s="63" t="inlineStr">
        <is>
          <t>Y</t>
        </is>
      </c>
      <c r="BE65" s="74" t="n">
        <v>28.2</v>
      </c>
      <c r="BF65" s="74" t="n"/>
      <c r="BG65" s="74" t="n"/>
      <c r="BH65" s="74" t="n">
        <v>7.6</v>
      </c>
      <c r="BI65" s="75">
        <f>IF('BBG Verify'!S65="","not filed — run on terminal",'BBG Verify'!S65)</f>
        <v/>
      </c>
      <c r="BJ65" s="76" t="inlineStr">
        <is>
          <t>N</t>
        </is>
      </c>
      <c r="BK65" s="77">
        <f>IF('BBG Verify'!K65="","not filed — run on terminal",'BBG Verify'!K65)</f>
        <v/>
      </c>
      <c r="BL65" s="63" t="inlineStr">
        <is>
          <t>N/A</t>
        </is>
      </c>
      <c r="BM65" s="63" t="inlineStr">
        <is>
          <t>N/A</t>
        </is>
      </c>
      <c r="BN65" s="63" t="inlineStr">
        <is>
          <t>N/A</t>
        </is>
      </c>
      <c r="BO65" s="63" t="inlineStr">
        <is>
          <t>N/A</t>
        </is>
      </c>
      <c r="BP65" s="63" t="inlineStr">
        <is>
          <t>N/A</t>
        </is>
      </c>
      <c r="BQ65" s="63" t="inlineStr">
        <is>
          <t>N/A</t>
        </is>
      </c>
      <c r="BR65" s="76" t="inlineStr">
        <is>
          <t>Essence Corporate Finance (Hong Kong) Limited</t>
        </is>
      </c>
      <c r="BS65" s="63" t="inlineStr">
        <is>
          <t>Essence Corporate Finance (Hong Kong) Limited</t>
        </is>
      </c>
      <c r="BT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V65" s="78">
        <f>HYPERLINK("https://www1.hkexnews.hk/listedco/listconews/sehk/2021/0630/2021063000059.pdf","prospectus")</f>
        <v/>
      </c>
      <c r="BW65" s="78">
        <f>HYPERLINK("https://www1.hkexnews.hk/listedco/listconews/sehk/2021/0715/2021071500120.htm","allotment")</f>
        <v/>
      </c>
      <c r="BX65" s="78">
        <f>HYPERLINK("https://www1.hkexnews.hk/listedco/listconews/sehk/2021/0805/2021080502158.pdf","stabilisation")</f>
        <v/>
      </c>
      <c r="BY65" s="76" t="n"/>
      <c r="BZ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72" t="n"/>
      <c r="AC66" s="66" t="n"/>
      <c r="AD66" s="72" t="n"/>
      <c r="AE66" s="63" t="n"/>
      <c r="AF66" s="63" t="inlineStr">
        <is>
          <t>partial</t>
        </is>
      </c>
      <c r="AG66" s="63" t="inlineStr">
        <is>
          <t>2021-08-11</t>
        </is>
      </c>
      <c r="AH66" s="63" t="inlineStr">
        <is>
          <t>CCB International Capital Limited</t>
        </is>
      </c>
      <c r="AI66" s="63" t="inlineStr">
        <is>
          <t>CCB</t>
        </is>
      </c>
      <c r="AJ66" s="73" t="n">
        <v>0</v>
      </c>
      <c r="AK66" s="72" t="n">
        <v>0.21</v>
      </c>
      <c r="AL66" s="72" t="n">
        <v>-0.21</v>
      </c>
      <c r="AM66" s="72" t="n">
        <v>0</v>
      </c>
      <c r="AN66" s="72" t="n">
        <v>-7.37</v>
      </c>
      <c r="AO66" s="72" t="n">
        <v>-3.16</v>
      </c>
      <c r="AP66" s="72" t="n">
        <v>0</v>
      </c>
      <c r="AQ66" s="72" t="n">
        <v>-7.37</v>
      </c>
      <c r="AR66" s="72" t="n">
        <v>-3.16</v>
      </c>
      <c r="AS66" s="72" t="n">
        <v>4.15</v>
      </c>
      <c r="AT66" s="72" t="n">
        <v>-1.03</v>
      </c>
      <c r="AU66" s="72" t="n">
        <v>7.04</v>
      </c>
      <c r="AV66" s="72" t="n">
        <v>-2.14</v>
      </c>
      <c r="AW66" s="72" t="n">
        <v>-6.34</v>
      </c>
      <c r="AX66" s="72" t="n">
        <v>-5.23</v>
      </c>
      <c r="AY66" s="63" t="inlineStr">
        <is>
          <t>Hang Seng Properties sub-index</t>
        </is>
      </c>
      <c r="AZ66" s="72" t="n">
        <v>-99.03</v>
      </c>
      <c r="BA66" s="64" t="inlineStr">
        <is>
          <t>2026-08-28</t>
        </is>
      </c>
      <c r="BB66" s="65" t="n">
        <v>4340.7</v>
      </c>
      <c r="BC66" s="68" t="n">
        <v>404.5</v>
      </c>
      <c r="BD66" s="63" t="inlineStr">
        <is>
          <t>Y</t>
        </is>
      </c>
      <c r="BE66" s="74" t="n">
        <v>6.9</v>
      </c>
      <c r="BF66" s="74" t="n"/>
      <c r="BG66" s="74" t="n"/>
      <c r="BH66" s="74" t="n">
        <v>0.6</v>
      </c>
      <c r="BI66" s="75">
        <f>IF('BBG Verify'!S66="","not filed — run on terminal",'BBG Verify'!S66)</f>
        <v/>
      </c>
      <c r="BJ66" s="76" t="inlineStr">
        <is>
          <t>N</t>
        </is>
      </c>
      <c r="BK66" s="77">
        <f>IF('BBG Verify'!K66="","not filed — run on terminal",'BBG Verify'!K66)</f>
        <v/>
      </c>
      <c r="BL66" s="63" t="inlineStr">
        <is>
          <t>N/A</t>
        </is>
      </c>
      <c r="BM66" s="63" t="inlineStr">
        <is>
          <t>N/A</t>
        </is>
      </c>
      <c r="BN66" s="63" t="inlineStr">
        <is>
          <t>N/A</t>
        </is>
      </c>
      <c r="BO66" s="63" t="inlineStr">
        <is>
          <t>N/A</t>
        </is>
      </c>
      <c r="BP66" s="63" t="inlineStr">
        <is>
          <t>N/A</t>
        </is>
      </c>
      <c r="BQ66" s="63" t="inlineStr">
        <is>
          <t>N/A</t>
        </is>
      </c>
      <c r="BR66" s="76" t="n"/>
      <c r="BS66" s="63" t="inlineStr">
        <is>
          <t>CCB International Capital Limited</t>
        </is>
      </c>
      <c r="BT66" s="63" t="inlineStr">
        <is>
          <t>CCB International Capital Limited; CRIC Securities Company Limited; BOCOM International Securities Limited</t>
        </is>
      </c>
      <c r="BU66" s="63" t="inlineStr">
        <is>
          <t>Beta International Securities Limited; CCB International Capital Limited; CRIC Securities Company Limited; Futu Securities International (Hong Kong) Limited; I Win Securities Limited; Valuable Capital Limited</t>
        </is>
      </c>
      <c r="BV66" s="78">
        <f>HYPERLINK("https://www1.hkexnews.hk/listedco/listconews/sehk/2021/0630/2021063000037.pdf","prospectus")</f>
        <v/>
      </c>
      <c r="BW66" s="78">
        <f>HYPERLINK("https://www1.hkexnews.hk/listedco/listconews/sehk/2021/0716/2021071600044.htm","allotment")</f>
        <v/>
      </c>
      <c r="BX66" s="78">
        <f>HYPERLINK("https://www1.hkexnews.hk/listedco/listconews/sehk/2021/0811/2021081101494.pdf","stabilisation")</f>
        <v/>
      </c>
      <c r="BY66" s="76" t="n"/>
      <c r="BZ66"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72" t="n"/>
      <c r="AC67" s="66" t="n"/>
      <c r="AD67" s="72" t="n"/>
      <c r="AE67" s="63" t="n"/>
      <c r="AF67" s="63" t="inlineStr">
        <is>
          <t>partial</t>
        </is>
      </c>
      <c r="AG67" s="63" t="n"/>
      <c r="AH67" s="63" t="inlineStr">
        <is>
          <t>Goldman Sachs</t>
        </is>
      </c>
      <c r="AI67" s="63" t="inlineStr">
        <is>
          <t>Goldman Sachs</t>
        </is>
      </c>
      <c r="AJ67" s="73" t="n">
        <v>-0.85</v>
      </c>
      <c r="AK67" s="72" t="n">
        <v>0</v>
      </c>
      <c r="AL67" s="72" t="n">
        <v>-0.85</v>
      </c>
      <c r="AM67" s="72" t="n">
        <v>-7.71</v>
      </c>
      <c r="AN67" s="72" t="n">
        <v>0.76</v>
      </c>
      <c r="AO67" s="72" t="n">
        <v>0.85</v>
      </c>
      <c r="AP67" s="72" t="n">
        <v>-6.92</v>
      </c>
      <c r="AQ67" s="72" t="n">
        <v>1.62</v>
      </c>
      <c r="AR67" s="72" t="n">
        <v>1.71</v>
      </c>
      <c r="AS67" s="72" t="n">
        <v>0.27</v>
      </c>
      <c r="AT67" s="72" t="n">
        <v>2.02</v>
      </c>
      <c r="AU67" s="72" t="n">
        <v>5.17</v>
      </c>
      <c r="AV67" s="72" t="n">
        <v>2.71</v>
      </c>
      <c r="AW67" s="72" t="n">
        <v>-1.26</v>
      </c>
      <c r="AX67" s="72" t="n">
        <v>-1.09</v>
      </c>
      <c r="AY67" s="63" t="inlineStr">
        <is>
          <t>Hang Seng Commerce &amp; Industry sub-index</t>
        </is>
      </c>
      <c r="AZ67" s="72" t="n">
        <v>-59.34</v>
      </c>
      <c r="BA67" s="64" t="inlineStr">
        <is>
          <t>2026-08-28</t>
        </is>
      </c>
      <c r="BB67" s="65" t="n">
        <v>10402.3</v>
      </c>
      <c r="BC67" s="68" t="n">
        <v>-166.9</v>
      </c>
      <c r="BD67" s="63" t="inlineStr">
        <is>
          <t>N</t>
        </is>
      </c>
      <c r="BE67" s="63" t="inlineStr">
        <is>
          <t>n/m</t>
        </is>
      </c>
      <c r="BF67" s="74" t="n"/>
      <c r="BG67" s="74" t="n"/>
      <c r="BH67" s="74" t="n">
        <v>23.3</v>
      </c>
      <c r="BI67" s="75">
        <f>IF('BBG Verify'!S67="","not filed — run on terminal",'BBG Verify'!S67)</f>
        <v/>
      </c>
      <c r="BJ67" s="76" t="inlineStr">
        <is>
          <t>N</t>
        </is>
      </c>
      <c r="BK67" s="77">
        <f>IF('BBG Verify'!K67="","not filed — run on terminal",'BBG Verify'!K67)</f>
        <v/>
      </c>
      <c r="BL67" s="63" t="inlineStr">
        <is>
          <t>N/A</t>
        </is>
      </c>
      <c r="BM67" s="63" t="inlineStr">
        <is>
          <t>N/A</t>
        </is>
      </c>
      <c r="BN67" s="63" t="inlineStr">
        <is>
          <t>N/A</t>
        </is>
      </c>
      <c r="BO67" s="63" t="inlineStr">
        <is>
          <t>N/A</t>
        </is>
      </c>
      <c r="BP67" s="63" t="inlineStr">
        <is>
          <t>N/A</t>
        </is>
      </c>
      <c r="BQ67" s="63" t="inlineStr">
        <is>
          <t>N/A</t>
        </is>
      </c>
      <c r="BR67" s="76" t="inlineStr">
        <is>
          <t>Goldman Sachs (Asia) L.L.C; China International Capital Corporation Hong Kong Securities Limited</t>
        </is>
      </c>
      <c r="BS67" s="63" t="inlineStr">
        <is>
          <t>China International Capital Corporation Hong Kong Securities Limited; Goldman Sachs (Asia) L.L.C.</t>
        </is>
      </c>
      <c r="BT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U67" s="63" t="inlineStr">
        <is>
          <t>BOCI Asia Limited; China International Capital Corporation Hong Kong Securities Limited; CLSA Limited; CMB International Capital Limited; Futu Securities International (Hong Kong) Limited; Goldman Sachs (Asia) L.L.C.; UBS AG Hong Kong Branch</t>
        </is>
      </c>
      <c r="BV67" s="78">
        <f>HYPERLINK("https://www1.hkexnews.hk/listedco/listconews/sehk/2021/0803/2021080300011.pdf","prospectus")</f>
        <v/>
      </c>
      <c r="BW67" s="78">
        <f>HYPERLINK("https://www1.hkexnews.hk/listedco/listconews/sehk/2021/0811/2021081100020.htm","allotment")</f>
        <v/>
      </c>
      <c r="BX67" s="78">
        <f>HYPERLINK("https://www1.hkexnews.hk/listedco/listconews/sehk/2021/0905/2021090500025.pdf","stabilisation")</f>
        <v/>
      </c>
      <c r="BY67" s="76" t="n"/>
      <c r="BZ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72" t="n"/>
      <c r="AC68" s="66" t="n"/>
      <c r="AD68" s="72" t="n"/>
      <c r="AE68" s="63" t="n"/>
      <c r="AF68" s="63" t="inlineStr">
        <is>
          <t>lapsed</t>
        </is>
      </c>
      <c r="AG68" s="63" t="n"/>
      <c r="AH68" s="63" t="inlineStr">
        <is>
          <t>Goldman Sachs</t>
        </is>
      </c>
      <c r="AI68" s="63" t="inlineStr">
        <is>
          <t>Goldman Sachs</t>
        </is>
      </c>
      <c r="AJ68" s="73" t="n">
        <v>-24.56</v>
      </c>
      <c r="AK68" s="72" t="n">
        <v>-17.43</v>
      </c>
      <c r="AL68" s="72" t="n">
        <v>-8.640000000000001</v>
      </c>
      <c r="AM68" s="72" t="n">
        <v>-28.19</v>
      </c>
      <c r="AN68" s="72" t="n">
        <v>-42.4</v>
      </c>
      <c r="AO68" s="72" t="n">
        <v>-56.9</v>
      </c>
      <c r="AP68" s="72" t="n">
        <v>-4.81</v>
      </c>
      <c r="AQ68" s="72" t="n">
        <v>-23.65</v>
      </c>
      <c r="AR68" s="72" t="n">
        <v>-42.87</v>
      </c>
      <c r="AS68" s="72" t="n">
        <v>-24.24</v>
      </c>
      <c r="AT68" s="72" t="n">
        <v>-42.45</v>
      </c>
      <c r="AU68" s="72" t="n">
        <v>-47.55</v>
      </c>
      <c r="AV68" s="72" t="n">
        <v>-28.84</v>
      </c>
      <c r="AW68" s="72" t="n">
        <v>0.05</v>
      </c>
      <c r="AX68" s="72" t="n">
        <v>5.19</v>
      </c>
      <c r="AY68" s="63" t="inlineStr">
        <is>
          <t>China Biotech ETF (HS biotech proxy)</t>
        </is>
      </c>
      <c r="AZ68" s="72" t="n">
        <v>-71.79000000000001</v>
      </c>
      <c r="BA68" s="64" t="inlineStr">
        <is>
          <t>2026-08-28</t>
        </is>
      </c>
      <c r="BB68" s="65" t="n">
        <v>0.1</v>
      </c>
      <c r="BC68" s="68" t="n"/>
      <c r="BD68" s="63" t="n"/>
      <c r="BE68" s="75">
        <f>IF('BBG Verify'!O68="","not filed — run on terminal",'BBG Verify'!O68)</f>
        <v/>
      </c>
      <c r="BF68" s="74" t="n"/>
      <c r="BG68" s="74" t="n">
        <v>20.8</v>
      </c>
      <c r="BH68" s="74" t="n">
        <v>66407</v>
      </c>
      <c r="BI68" s="75">
        <f>IF('BBG Verify'!S68="","not filed — run on terminal",'BBG Verify'!S68)</f>
        <v/>
      </c>
      <c r="BJ68" s="76" t="inlineStr">
        <is>
          <t>N</t>
        </is>
      </c>
      <c r="BK68" s="77">
        <f>IF('BBG Verify'!K68="","not filed — run on terminal",'BBG Verify'!K68)</f>
        <v/>
      </c>
      <c r="BL68" s="63" t="inlineStr">
        <is>
          <t>N/A</t>
        </is>
      </c>
      <c r="BM68" s="63" t="inlineStr">
        <is>
          <t>N/A</t>
        </is>
      </c>
      <c r="BN68" s="63" t="inlineStr">
        <is>
          <t>N/A</t>
        </is>
      </c>
      <c r="BO68" s="63" t="inlineStr">
        <is>
          <t>N/A</t>
        </is>
      </c>
      <c r="BP68" s="63" t="inlineStr">
        <is>
          <t>N/A</t>
        </is>
      </c>
      <c r="BQ68" s="63" t="inlineStr">
        <is>
          <t>N/A</t>
        </is>
      </c>
      <c r="BR68" s="76" t="inlineStr">
        <is>
          <t>Goldman Sachs (Asia) L.L.C; China International Capital Corporation Hong Kong Securities Limited</t>
        </is>
      </c>
      <c r="BS68" s="63" t="inlineStr">
        <is>
          <t>China International Capital Corporation Hong Kong Securities Limited; Goldman Sachs (Asia) L.L.C.</t>
        </is>
      </c>
      <c r="BT68" s="63" t="inlineStr">
        <is>
          <t>Goldman Sachs (Asia) L.L.C; China International Capital Corporation Hong Kong Securities Limited</t>
        </is>
      </c>
      <c r="BU68" s="63" t="inlineStr">
        <is>
          <t>China International Capital Corporation Hong Kong Securities Limited; Futu Securities International (Hong Kong) Limited; Goldman Sachs (Asia) L.L.C.</t>
        </is>
      </c>
      <c r="BV68" s="78">
        <f>HYPERLINK("https://www1.hkexnews.hk/listedco/listconews/sehk/2021/0810/2021081000015.pdf","prospectus")</f>
        <v/>
      </c>
      <c r="BW68" s="78">
        <f>HYPERLINK("https://www1.hkexnews.hk/listedco/listconews/sehk/2021/0819/2021081900014.htm","allotment")</f>
        <v/>
      </c>
      <c r="BX68" s="78">
        <f>HYPERLINK("https://www1.hkexnews.hk/listedco/listconews/sehk/2021/0912/2021091200105.pdf","stabilisation")</f>
        <v/>
      </c>
      <c r="BY68" s="76" t="n"/>
      <c r="BZ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72" t="n"/>
      <c r="AC69" s="66" t="n"/>
      <c r="AD69" s="72" t="n"/>
      <c r="AE69" s="63" t="n"/>
      <c r="AF69" s="63" t="inlineStr">
        <is>
          <t>lapsed</t>
        </is>
      </c>
      <c r="AG69" s="63" t="inlineStr">
        <is>
          <t>2021-09-16</t>
        </is>
      </c>
      <c r="AH69" s="63" t="inlineStr">
        <is>
          <t>Morgan Stanley Asia Limited</t>
        </is>
      </c>
      <c r="AI69" s="63" t="inlineStr">
        <is>
          <t>Morgan Stanley</t>
        </is>
      </c>
      <c r="AJ69" s="73" t="n">
        <v>-26.05</v>
      </c>
      <c r="AK69" s="72" t="n">
        <v>-23.03</v>
      </c>
      <c r="AL69" s="72" t="n">
        <v>-3.92</v>
      </c>
      <c r="AM69" s="72" t="n">
        <v>-26.89</v>
      </c>
      <c r="AN69" s="72" t="n">
        <v>-37.9</v>
      </c>
      <c r="AO69" s="72" t="n">
        <v>-41.01</v>
      </c>
      <c r="AP69" s="72" t="n">
        <v>-1.14</v>
      </c>
      <c r="AQ69" s="72" t="n">
        <v>-16.02</v>
      </c>
      <c r="AR69" s="72" t="n">
        <v>-20.23</v>
      </c>
      <c r="AS69" s="72" t="n">
        <v>-25.03</v>
      </c>
      <c r="AT69" s="72" t="n">
        <v>-38.55</v>
      </c>
      <c r="AU69" s="72" t="n">
        <v>-36.11</v>
      </c>
      <c r="AV69" s="72" t="n">
        <v>-14.79</v>
      </c>
      <c r="AW69" s="72" t="n">
        <v>0.65</v>
      </c>
      <c r="AX69" s="72" t="n">
        <v>-1.23</v>
      </c>
      <c r="AY69" s="63" t="inlineStr">
        <is>
          <t>China Biotech ETF (HS biotech proxy)</t>
        </is>
      </c>
      <c r="AZ69" s="72" t="n">
        <v>-72.27</v>
      </c>
      <c r="BA69" s="64" t="inlineStr">
        <is>
          <t>2026-08-28</t>
        </is>
      </c>
      <c r="BB69" s="65" t="n">
        <v>21.6</v>
      </c>
      <c r="BC69" s="68" t="n">
        <v>-4.1</v>
      </c>
      <c r="BD69" s="63" t="inlineStr">
        <is>
          <t>N</t>
        </is>
      </c>
      <c r="BE69" s="63" t="inlineStr">
        <is>
          <t>n/m</t>
        </is>
      </c>
      <c r="BF69" s="74" t="n"/>
      <c r="BG69" s="74" t="n">
        <v>14</v>
      </c>
      <c r="BH69" s="74" t="n">
        <v>309.9</v>
      </c>
      <c r="BI69" s="75">
        <f>IF('BBG Verify'!S69="","not filed — run on terminal",'BBG Verify'!S69)</f>
        <v/>
      </c>
      <c r="BJ69" s="76" t="inlineStr">
        <is>
          <t>N</t>
        </is>
      </c>
      <c r="BK69" s="77">
        <f>IF('BBG Verify'!K69="","not filed — run on terminal",'BBG Verify'!K69)</f>
        <v/>
      </c>
      <c r="BL69" s="63" t="inlineStr">
        <is>
          <t>N/A</t>
        </is>
      </c>
      <c r="BM69" s="63" t="inlineStr">
        <is>
          <t>N/A</t>
        </is>
      </c>
      <c r="BN69" s="63" t="inlineStr">
        <is>
          <t>N/A</t>
        </is>
      </c>
      <c r="BO69" s="63" t="inlineStr">
        <is>
          <t>N/A</t>
        </is>
      </c>
      <c r="BP69" s="63" t="inlineStr">
        <is>
          <t>N/A</t>
        </is>
      </c>
      <c r="BQ69" s="63" t="inlineStr">
        <is>
          <t>N/A</t>
        </is>
      </c>
      <c r="BR69" s="76" t="inlineStr">
        <is>
          <t>Morgan Stanley Asia Limited; China International Capital Corporation Hong Kong Securities Limited</t>
        </is>
      </c>
      <c r="BS69" s="63" t="inlineStr">
        <is>
          <t>China International Capital Corporation Hong Kong Securities Limited; Morgan Stanley Asia Limited</t>
        </is>
      </c>
      <c r="BT69" s="63" t="inlineStr">
        <is>
          <t>Morgan Stanley Asia Limited; Morgan Stanley &amp; Co. International plc; China Merchants Securities (HK) Co., Limited; Valuable Capital Limited</t>
        </is>
      </c>
      <c r="BU69" s="63" t="inlineStr">
        <is>
          <t>China International Capital Corporation Hong Kong Securities Limited; China Merchants Securities (HK) Company Limited; Morgan Stanley Asia Limited; Valuable Capital Limited</t>
        </is>
      </c>
      <c r="BV69" s="78">
        <f>HYPERLINK("https://www1.hkexnews.hk/listedco/listconews/sehk/2021/0812/2021081200017.pdf","prospectus")</f>
        <v/>
      </c>
      <c r="BW69" s="78">
        <f>HYPERLINK("https://www1.hkexnews.hk/listedco/listconews/sehk/2021/0823/2021082300014.htm","allotment")</f>
        <v/>
      </c>
      <c r="BX69" s="78">
        <f>HYPERLINK("https://www1.hkexnews.hk/listedco/listconews/sehk/2021/0916/2021091601755.pdf","stabilisation")</f>
        <v/>
      </c>
      <c r="BY69" s="76" t="n"/>
      <c r="BZ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72" t="n"/>
      <c r="AC70" s="66" t="n"/>
      <c r="AD70" s="72" t="n"/>
      <c r="AE70" s="63" t="n"/>
      <c r="AF70" s="63" t="inlineStr">
        <is>
          <t>full</t>
        </is>
      </c>
      <c r="AG70" s="63" t="inlineStr">
        <is>
          <t>2021-10-03</t>
        </is>
      </c>
      <c r="AH70" s="63" t="inlineStr">
        <is>
          <t>China International Capital Corporation Hong Kong Securities Limited</t>
        </is>
      </c>
      <c r="AI70" s="63" t="inlineStr">
        <is>
          <t>China International</t>
        </is>
      </c>
      <c r="AJ70" s="73" t="n">
        <v>22.91</v>
      </c>
      <c r="AK70" s="72" t="n">
        <v>16.59</v>
      </c>
      <c r="AL70" s="72" t="n">
        <v>5.42</v>
      </c>
      <c r="AM70" s="72" t="n">
        <v>16.34</v>
      </c>
      <c r="AN70" s="72" t="n">
        <v>2.93</v>
      </c>
      <c r="AO70" s="72" t="n">
        <v>4.96</v>
      </c>
      <c r="AP70" s="72" t="n">
        <v>-5.35</v>
      </c>
      <c r="AQ70" s="72" t="n">
        <v>-16.26</v>
      </c>
      <c r="AR70" s="72" t="n">
        <v>-14.6</v>
      </c>
      <c r="AS70" s="72" t="n">
        <v>19.3</v>
      </c>
      <c r="AT70" s="72" t="n">
        <v>5.11</v>
      </c>
      <c r="AU70" s="72" t="n">
        <v>16.34</v>
      </c>
      <c r="AV70" s="72" t="n">
        <v>-12.02</v>
      </c>
      <c r="AW70" s="72" t="n">
        <v>-2.18</v>
      </c>
      <c r="AX70" s="72" t="n">
        <v>-4.24</v>
      </c>
      <c r="AY70" s="63" t="inlineStr">
        <is>
          <t>Hang Seng Commerce &amp; Industry sub-index</t>
        </is>
      </c>
      <c r="AZ70" s="72" t="n">
        <v>-92.01000000000001</v>
      </c>
      <c r="BA70" s="64" t="inlineStr">
        <is>
          <t>2026-08-28</t>
        </is>
      </c>
      <c r="BB70" s="65" t="n">
        <v>899.7</v>
      </c>
      <c r="BC70" s="68" t="n">
        <v>106.7</v>
      </c>
      <c r="BD70" s="63" t="inlineStr">
        <is>
          <t>Y</t>
        </is>
      </c>
      <c r="BE70" s="74" t="n">
        <v>254.3</v>
      </c>
      <c r="BF70" s="74" t="n"/>
      <c r="BG70" s="74" t="n">
        <v>49.6</v>
      </c>
      <c r="BH70" s="74" t="n">
        <v>30.2</v>
      </c>
      <c r="BI70" s="75">
        <f>IF('BBG Verify'!S70="","not filed — run on terminal",'BBG Verify'!S70)</f>
        <v/>
      </c>
      <c r="BJ70" s="76" t="inlineStr">
        <is>
          <t>N</t>
        </is>
      </c>
      <c r="BK70" s="77">
        <f>IF('BBG Verify'!K70="","not filed — run on terminal",'BBG Verify'!K70)</f>
        <v/>
      </c>
      <c r="BL70" s="63" t="inlineStr">
        <is>
          <t>N/A</t>
        </is>
      </c>
      <c r="BM70" s="63" t="inlineStr">
        <is>
          <t>N/A</t>
        </is>
      </c>
      <c r="BN70" s="63" t="inlineStr">
        <is>
          <t>N/A</t>
        </is>
      </c>
      <c r="BO70" s="63" t="inlineStr">
        <is>
          <t>N/A</t>
        </is>
      </c>
      <c r="BP70" s="63" t="inlineStr">
        <is>
          <t>N/A</t>
        </is>
      </c>
      <c r="BQ70" s="63" t="inlineStr">
        <is>
          <t>N/A</t>
        </is>
      </c>
      <c r="BR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S70" s="63" t="inlineStr">
        <is>
          <t>China International Capital Corporation Hong Kong Securities Limited</t>
        </is>
      </c>
      <c r="BT70" s="63" t="inlineStr">
        <is>
          <t>China International Capital Corporation Hong Kong Securities Limited</t>
        </is>
      </c>
      <c r="BU70" s="63" t="inlineStr">
        <is>
          <t>China International Capital Corporation Hong Kong Securities Limited</t>
        </is>
      </c>
      <c r="BV70" s="78">
        <f>HYPERLINK("https://www1.hkexnews.hk/listedco/listconews/sehk/2021/0831/2021083100011.pdf","prospectus")</f>
        <v/>
      </c>
      <c r="BW70" s="78">
        <f>HYPERLINK("https://www1.hkexnews.hk/listedco/listconews/sehk/2021/0909/2021090900010.htm","allotment")</f>
        <v/>
      </c>
      <c r="BX70" s="78">
        <f>HYPERLINK("https://www1.hkexnews.hk/listedco/listconews/sehk/2021/1003/2021100300023.pdf","stabilisation")</f>
        <v/>
      </c>
      <c r="BY70" s="76" t="n"/>
      <c r="BZ70" s="63" t="inlineStr">
        <is>
          <t>A/H: no A-share listing · market cap: prospectus states HK$25,832m at HK$18.82; rescaled to the struck HK$19.77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72" t="n"/>
      <c r="AC71" s="66" t="n"/>
      <c r="AD71" s="72" t="n"/>
      <c r="AE71" s="63" t="n"/>
      <c r="AF71" s="63" t="inlineStr">
        <is>
          <t>lapsed</t>
        </is>
      </c>
      <c r="AG71" s="63" t="inlineStr">
        <is>
          <t>2021-10-16</t>
        </is>
      </c>
      <c r="AH71" s="63" t="inlineStr">
        <is>
          <t>Goldman Sachs</t>
        </is>
      </c>
      <c r="AI71" s="63" t="inlineStr">
        <is>
          <t>Goldman Sachs</t>
        </is>
      </c>
      <c r="AJ71" s="73" t="n">
        <v>-19.79</v>
      </c>
      <c r="AK71" s="72" t="n">
        <v>-3.74</v>
      </c>
      <c r="AL71" s="72" t="n">
        <v>-16.67</v>
      </c>
      <c r="AM71" s="72" t="n">
        <v>-27.81</v>
      </c>
      <c r="AN71" s="72" t="n">
        <v>-39.57</v>
      </c>
      <c r="AO71" s="72" t="n">
        <v>-56.74</v>
      </c>
      <c r="AP71" s="72" t="n">
        <v>-10</v>
      </c>
      <c r="AQ71" s="72" t="n">
        <v>-24.66</v>
      </c>
      <c r="AR71" s="72" t="n">
        <v>-46.07</v>
      </c>
      <c r="AS71" s="72" t="n">
        <v>-25.6</v>
      </c>
      <c r="AT71" s="72" t="n">
        <v>-32.85</v>
      </c>
      <c r="AU71" s="72" t="n">
        <v>-40.49</v>
      </c>
      <c r="AV71" s="72" t="n">
        <v>-18.1</v>
      </c>
      <c r="AW71" s="72" t="n">
        <v>-6.72</v>
      </c>
      <c r="AX71" s="72" t="n">
        <v>-6.56</v>
      </c>
      <c r="AY71" s="63" t="inlineStr">
        <is>
          <t>China Biotech ETF (HS biotech proxy)</t>
        </is>
      </c>
      <c r="AZ71" s="72" t="n">
        <v>-96.5</v>
      </c>
      <c r="BA71" s="64" t="inlineStr">
        <is>
          <t>2026-08-28</t>
        </is>
      </c>
      <c r="BB71" s="65" t="n">
        <v>4.1</v>
      </c>
      <c r="BC71" s="68" t="n"/>
      <c r="BD71" s="63" t="n"/>
      <c r="BE71" s="75">
        <f>IF('BBG Verify'!O71="","not filed — run on terminal",'BBG Verify'!O71)</f>
        <v/>
      </c>
      <c r="BF71" s="74" t="n"/>
      <c r="BG71" s="74" t="n"/>
      <c r="BH71" s="74" t="n">
        <v>2301.2</v>
      </c>
      <c r="BI71" s="75">
        <f>IF('BBG Verify'!S71="","not filed — run on terminal",'BBG Verify'!S71)</f>
        <v/>
      </c>
      <c r="BJ71" s="76" t="inlineStr">
        <is>
          <t>N</t>
        </is>
      </c>
      <c r="BK71" s="77">
        <f>IF('BBG Verify'!K71="","not filed — run on terminal",'BBG Verify'!K71)</f>
        <v/>
      </c>
      <c r="BL71" s="63" t="inlineStr">
        <is>
          <t>N/A</t>
        </is>
      </c>
      <c r="BM71" s="63" t="inlineStr">
        <is>
          <t>N/A</t>
        </is>
      </c>
      <c r="BN71" s="63" t="inlineStr">
        <is>
          <t>N/A</t>
        </is>
      </c>
      <c r="BO71" s="63" t="inlineStr">
        <is>
          <t>N/A</t>
        </is>
      </c>
      <c r="BP71" s="63" t="inlineStr">
        <is>
          <t>N/A</t>
        </is>
      </c>
      <c r="BQ71" s="63" t="inlineStr">
        <is>
          <t>N/A</t>
        </is>
      </c>
      <c r="BR71" s="76" t="inlineStr">
        <is>
          <t>Goldman Sachs (Asia) L.L.C; Haitong International Capital Limited</t>
        </is>
      </c>
      <c r="BS71" s="63" t="inlineStr">
        <is>
          <t>Haitong International Capital Limited; Goldman Sachs (Asia) L.L.C.</t>
        </is>
      </c>
      <c r="BT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U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V71" s="78">
        <f>HYPERLINK("https://www1.hkexnews.hk/listedco/listconews/sehk/2021/0913/2021091300015.pdf","prospectus")</f>
        <v/>
      </c>
      <c r="BW71" s="78">
        <f>HYPERLINK("https://www1.hkexnews.hk/listedco/listconews/sehk/2021/0923/2021092300020.htm","allotment")</f>
        <v/>
      </c>
      <c r="BX71" s="78">
        <f>HYPERLINK("https://www1.hkexnews.hk/listedco/listconews/sehk/2021/1017/2021101700017.pdf","stabilisation")</f>
        <v/>
      </c>
      <c r="BY71" s="76" t="n"/>
      <c r="BZ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72" t="n"/>
      <c r="AC72" s="66" t="n"/>
      <c r="AD72" s="72" t="n"/>
      <c r="AE72" s="63" t="n"/>
      <c r="AF72" s="63" t="inlineStr">
        <is>
          <t>lapsed (no over-allocation)</t>
        </is>
      </c>
      <c r="AG72" s="63" t="n"/>
      <c r="AH72" s="63" t="inlineStr">
        <is>
          <t>ABCI Securities Company Limited</t>
        </is>
      </c>
      <c r="AI72" s="63" t="inlineStr">
        <is>
          <t>ABCI</t>
        </is>
      </c>
      <c r="AJ72" s="73" t="n">
        <v>4.17</v>
      </c>
      <c r="AK72" s="72" t="n">
        <v>1.01</v>
      </c>
      <c r="AL72" s="72" t="n">
        <v>3.13</v>
      </c>
      <c r="AM72" s="72" t="n">
        <v>-4.92</v>
      </c>
      <c r="AN72" s="72" t="n">
        <v>-8.59</v>
      </c>
      <c r="AO72" s="72" t="n">
        <v>-4.67</v>
      </c>
      <c r="AP72" s="72" t="n">
        <v>-8.73</v>
      </c>
      <c r="AQ72" s="72" t="n">
        <v>-12.25</v>
      </c>
      <c r="AR72" s="72" t="n">
        <v>-8.49</v>
      </c>
      <c r="AS72" s="72" t="n">
        <v>-8.08</v>
      </c>
      <c r="AT72" s="72" t="n">
        <v>-12.64</v>
      </c>
      <c r="AU72" s="72" t="n">
        <v>-6</v>
      </c>
      <c r="AV72" s="72" t="n">
        <v>-14.52</v>
      </c>
      <c r="AW72" s="72" t="n">
        <v>4.05</v>
      </c>
      <c r="AX72" s="72" t="n">
        <v>2.27</v>
      </c>
      <c r="AY72" s="63" t="inlineStr">
        <is>
          <t>Hang Seng Finance sub-index</t>
        </is>
      </c>
      <c r="AZ72" s="72" t="n">
        <v>-59.15</v>
      </c>
      <c r="BA72" s="64" t="inlineStr">
        <is>
          <t>2026-08-28</t>
        </is>
      </c>
      <c r="BB72" s="65" t="n"/>
      <c r="BC72" s="68" t="n"/>
      <c r="BD72" s="63" t="n"/>
      <c r="BE72" s="75">
        <f>IF('BBG Verify'!O72="","not filed — run on terminal",'BBG Verify'!O72)</f>
        <v/>
      </c>
      <c r="BF72" s="74" t="n"/>
      <c r="BG72" s="74" t="n">
        <v>5</v>
      </c>
      <c r="BH72" s="74" t="n"/>
      <c r="BI72" s="75">
        <f>IF('BBG Verify'!S72="","not filed — run on terminal",'BBG Verify'!S72)</f>
        <v/>
      </c>
      <c r="BJ72" s="76" t="inlineStr">
        <is>
          <t>N</t>
        </is>
      </c>
      <c r="BK72" s="77">
        <f>IF('BBG Verify'!K72="","not filed — run on terminal",'BBG Verify'!K72)</f>
        <v/>
      </c>
      <c r="BL72" s="63" t="inlineStr">
        <is>
          <t>N/A</t>
        </is>
      </c>
      <c r="BM72" s="63" t="inlineStr">
        <is>
          <t>N/A</t>
        </is>
      </c>
      <c r="BN72" s="63" t="inlineStr">
        <is>
          <t>N/A</t>
        </is>
      </c>
      <c r="BO72" s="63" t="inlineStr">
        <is>
          <t>N/A</t>
        </is>
      </c>
      <c r="BP72" s="63" t="inlineStr">
        <is>
          <t>N/A</t>
        </is>
      </c>
      <c r="BQ72" s="63" t="inlineStr">
        <is>
          <t>N/A</t>
        </is>
      </c>
      <c r="BR72" s="76" t="n"/>
      <c r="BS72" s="63" t="inlineStr">
        <is>
          <t>CMB International Capital Limited; China Merchants Securities (HK) Company Limited; ICBC International Capital Limited; ABCI Capital Limited</t>
        </is>
      </c>
      <c r="BT72" s="63" t="inlineStr">
        <is>
          <t>ABCI Securities Company Limited; AMTD Global Markets Limited; CCB International Capital Limited; CMB International Capital Limited; China Merchants Securities (HK) Company Limited; Fortune (HK) Securities Limited</t>
        </is>
      </c>
      <c r="BU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V72" s="78">
        <f>HYPERLINK("https://www1.hkexnews.hk/listedco/listconews/sehk/2021/0916/2021091600052.htm","prospectus")</f>
        <v/>
      </c>
      <c r="BW72" s="78">
        <f>HYPERLINK("https://www1.hkexnews.hk/listedco/listconews/sehk/2021/0928/2021092800010.htm","allotment")</f>
        <v/>
      </c>
      <c r="BX72" s="78">
        <f>HYPERLINK("https://www1.hkexnews.hk/listedco/listconews/sehk/2021/1021/2021102100557.pdf","stabilisation")</f>
        <v/>
      </c>
      <c r="BY72" s="76" t="n"/>
      <c r="BZ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72" t="n"/>
      <c r="AC73" s="66" t="n"/>
      <c r="AD73" s="72" t="n"/>
      <c r="AE73" s="63" t="n"/>
      <c r="AF73" s="63" t="inlineStr">
        <is>
          <t>lapsed</t>
        </is>
      </c>
      <c r="AG73" s="63" t="inlineStr">
        <is>
          <t>2021-10-17</t>
        </is>
      </c>
      <c r="AH73" s="63" t="inlineStr">
        <is>
          <t>Goldman Sachs</t>
        </is>
      </c>
      <c r="AI73" s="63" t="inlineStr">
        <is>
          <t>Goldman Sachs</t>
        </is>
      </c>
      <c r="AJ73" s="73" t="n">
        <v>-17.25</v>
      </c>
      <c r="AK73" s="72" t="n">
        <v>-18.75</v>
      </c>
      <c r="AL73" s="72" t="n">
        <v>1.85</v>
      </c>
      <c r="AM73" s="72" t="n">
        <v>-3.12</v>
      </c>
      <c r="AN73" s="72" t="n">
        <v>-43.81</v>
      </c>
      <c r="AO73" s="72" t="n">
        <v>-42.5</v>
      </c>
      <c r="AP73" s="72" t="n">
        <v>17.08</v>
      </c>
      <c r="AQ73" s="72" t="n">
        <v>-32.1</v>
      </c>
      <c r="AR73" s="72" t="n">
        <v>-30.51</v>
      </c>
      <c r="AS73" s="72" t="n">
        <v>-1.95</v>
      </c>
      <c r="AT73" s="72" t="n">
        <v>-34.62</v>
      </c>
      <c r="AU73" s="72" t="n">
        <v>-26.95</v>
      </c>
      <c r="AV73" s="72" t="n">
        <v>-24.03</v>
      </c>
      <c r="AW73" s="72" t="n">
        <v>-9.19</v>
      </c>
      <c r="AX73" s="72" t="n">
        <v>-8.07</v>
      </c>
      <c r="AY73" s="63" t="inlineStr">
        <is>
          <t>China Biotech ETF (HS biotech proxy)</t>
        </is>
      </c>
      <c r="AZ73" s="72" t="n">
        <v>-93.28</v>
      </c>
      <c r="BA73" s="64" t="inlineStr">
        <is>
          <t>2026-08-28</t>
        </is>
      </c>
      <c r="BB73" s="65" t="n">
        <v>7.5</v>
      </c>
      <c r="BC73" s="68" t="n">
        <v>-27.3</v>
      </c>
      <c r="BD73" s="63" t="inlineStr">
        <is>
          <t>N</t>
        </is>
      </c>
      <c r="BE73" s="63" t="inlineStr">
        <is>
          <t>n/m</t>
        </is>
      </c>
      <c r="BF73" s="74" t="n"/>
      <c r="BG73" s="74" t="n"/>
      <c r="BH73" s="74" t="n">
        <v>835.3</v>
      </c>
      <c r="BI73" s="75">
        <f>IF('BBG Verify'!S73="","not filed — run on terminal",'BBG Verify'!S73)</f>
        <v/>
      </c>
      <c r="BJ73" s="76" t="inlineStr">
        <is>
          <t>N</t>
        </is>
      </c>
      <c r="BK73" s="77">
        <f>IF('BBG Verify'!K73="","not filed — run on terminal",'BBG Verify'!K73)</f>
        <v/>
      </c>
      <c r="BL73" s="63" t="inlineStr">
        <is>
          <t>N/A</t>
        </is>
      </c>
      <c r="BM73" s="63" t="inlineStr">
        <is>
          <t>N/A</t>
        </is>
      </c>
      <c r="BN73" s="63" t="inlineStr">
        <is>
          <t>N/A</t>
        </is>
      </c>
      <c r="BO73" s="63" t="inlineStr">
        <is>
          <t>N/A</t>
        </is>
      </c>
      <c r="BP73" s="63" t="inlineStr">
        <is>
          <t>N/A</t>
        </is>
      </c>
      <c r="BQ73" s="63" t="inlineStr">
        <is>
          <t>N/A</t>
        </is>
      </c>
      <c r="BR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S73" s="63" t="inlineStr">
        <is>
          <t>China International Capital Corporation Hong Kong Securities Limited; Goldman Sachs (Asia) L.L.C.</t>
        </is>
      </c>
      <c r="BT73" s="63" t="inlineStr">
        <is>
          <t>BOCI Asia Limited; China International Capital Corporation Hong Kong Securities Limited; China Renaissance Securities (Hong Kong) Limited; Goldman Sachs (Asia) L.L.C.</t>
        </is>
      </c>
      <c r="BU73" s="63" t="inlineStr">
        <is>
          <t>BOCI Asia Limited; China International Capital Corporation Hong Kong Securities Limited; China Renaissance Securities (Hong Kong) Limited; Goldman Sachs (Asia) L.L.C.</t>
        </is>
      </c>
      <c r="BV73" s="78">
        <f>HYPERLINK("https://www1.hkexnews.hk/listedco/listconews/sehk/2021/0914/2021091400015.pdf","prospectus")</f>
        <v/>
      </c>
      <c r="BW73" s="78">
        <f>HYPERLINK("https://www1.hkexnews.hk/listedco/listconews/sehk/2021/0928/2021092800028.htm","allotment")</f>
        <v/>
      </c>
      <c r="BX73" s="78">
        <f>HYPERLINK("https://www1.hkexnews.hk/listedco/listconews/sehk/2021/1017/2021101700005.pdf","stabilisation")</f>
        <v/>
      </c>
      <c r="BY73" s="76" t="n"/>
      <c r="BZ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72" t="n"/>
      <c r="AC74" s="66" t="n"/>
      <c r="AD74" s="72" t="n"/>
      <c r="AE74" s="63" t="n"/>
      <c r="AF74" s="63" t="n"/>
      <c r="AG74" s="63" t="n"/>
      <c r="AH74" s="63" t="n"/>
      <c r="AI74" s="63" t="n"/>
      <c r="AJ74" s="73" t="n">
        <v>4.73</v>
      </c>
      <c r="AK74" s="72" t="n">
        <v>4.38</v>
      </c>
      <c r="AL74" s="72" t="n">
        <v>0.34</v>
      </c>
      <c r="AM74" s="72" t="n">
        <v>10.64</v>
      </c>
      <c r="AN74" s="72" t="n">
        <v>8.9</v>
      </c>
      <c r="AO74" s="72" t="n">
        <v>-6.05</v>
      </c>
      <c r="AP74" s="72" t="n">
        <v>5.64</v>
      </c>
      <c r="AQ74" s="72" t="n">
        <v>3.98</v>
      </c>
      <c r="AR74" s="72" t="n">
        <v>-10.29</v>
      </c>
      <c r="AS74" s="72" t="n">
        <v>8.119999999999999</v>
      </c>
      <c r="AT74" s="72" t="n">
        <v>7.57</v>
      </c>
      <c r="AU74" s="72" t="n">
        <v>-6.76</v>
      </c>
      <c r="AV74" s="72" t="n">
        <v>0.88</v>
      </c>
      <c r="AW74" s="72" t="n">
        <v>1.33</v>
      </c>
      <c r="AX74" s="72" t="n">
        <v>3.1</v>
      </c>
      <c r="AY74" s="63" t="inlineStr">
        <is>
          <t>Hang Seng Finance sub-index</t>
        </is>
      </c>
      <c r="AZ74" s="72" t="n">
        <v>-25.03</v>
      </c>
      <c r="BA74" s="64" t="inlineStr">
        <is>
          <t>2026-08-28</t>
        </is>
      </c>
      <c r="BB74" s="65" t="n"/>
      <c r="BC74" s="68" t="n"/>
      <c r="BD74" s="63" t="n"/>
      <c r="BE74" s="74" t="n">
        <v>17.4</v>
      </c>
      <c r="BF74" s="74" t="n">
        <v>17.4</v>
      </c>
      <c r="BG74" s="74" t="n">
        <v>8.800000000000001</v>
      </c>
      <c r="BH74" s="74" t="n"/>
      <c r="BI74" s="75">
        <f>IF('BBG Verify'!S74="","not filed — run on terminal",'BBG Verify'!S74)</f>
        <v/>
      </c>
      <c r="BJ74" s="76" t="inlineStr">
        <is>
          <t>N</t>
        </is>
      </c>
      <c r="BK74" s="77">
        <f>IF('BBG Verify'!K74="","not filed — run on terminal",'BBG Verify'!K74)</f>
        <v/>
      </c>
      <c r="BL74" s="63" t="inlineStr">
        <is>
          <t>N/A</t>
        </is>
      </c>
      <c r="BM74" s="63" t="inlineStr">
        <is>
          <t>N/A</t>
        </is>
      </c>
      <c r="BN74" s="63" t="inlineStr">
        <is>
          <t>N/A</t>
        </is>
      </c>
      <c r="BO74" s="63" t="inlineStr">
        <is>
          <t>N/A</t>
        </is>
      </c>
      <c r="BP74" s="63" t="inlineStr">
        <is>
          <t>N/A</t>
        </is>
      </c>
      <c r="BQ74" s="63" t="inlineStr">
        <is>
          <t>N/A</t>
        </is>
      </c>
      <c r="BR74" s="76" t="n"/>
      <c r="BS74" s="63" t="n"/>
      <c r="BT74" s="63" t="n"/>
      <c r="BU74" s="63" t="n"/>
      <c r="BV74" s="78">
        <f>HYPERLINK("https://www1.hkexnews.hk/listedco/listconews/sehk/2021/0920/2021092000007.pdf","prospectus")</f>
        <v/>
      </c>
      <c r="BW74" s="78">
        <f>HYPERLINK("https://www1.hkexnews.hk/listedco/listconews/sehk/2021/0930/2021093000120.htm","allotment")</f>
        <v/>
      </c>
      <c r="BX74" s="63" t="n"/>
      <c r="BY74" s="76" t="n"/>
      <c r="BZ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72" t="n"/>
      <c r="AC75" s="66" t="n"/>
      <c r="AD75" s="72" t="n"/>
      <c r="AE75" s="63" t="n"/>
      <c r="AF75" s="63" t="inlineStr">
        <is>
          <t>partial</t>
        </is>
      </c>
      <c r="AG75" s="63" t="n"/>
      <c r="AH75" s="63" t="inlineStr">
        <is>
          <t>Morgan Stanley Asia Limited</t>
        </is>
      </c>
      <c r="AI75" s="63" t="inlineStr">
        <is>
          <t>Morgan Stanley</t>
        </is>
      </c>
      <c r="AJ75" s="73" t="n">
        <v>-0.48</v>
      </c>
      <c r="AK75" s="72" t="n">
        <v>-9.31</v>
      </c>
      <c r="AL75" s="72" t="n">
        <v>9.74</v>
      </c>
      <c r="AM75" s="72" t="n">
        <v>-6.9</v>
      </c>
      <c r="AN75" s="72" t="n">
        <v>-13</v>
      </c>
      <c r="AO75" s="72" t="n">
        <v>-31.94</v>
      </c>
      <c r="AP75" s="72" t="n">
        <v>-6.45</v>
      </c>
      <c r="AQ75" s="72" t="n">
        <v>-12.58</v>
      </c>
      <c r="AR75" s="72" t="n">
        <v>-31.61</v>
      </c>
      <c r="AS75" s="72" t="n">
        <v>-7.73</v>
      </c>
      <c r="AT75" s="72" t="n">
        <v>-10.74</v>
      </c>
      <c r="AU75" s="72" t="n">
        <v>-15.87</v>
      </c>
      <c r="AV75" s="72" t="n">
        <v>-10.39</v>
      </c>
      <c r="AW75" s="72" t="n">
        <v>-2.26</v>
      </c>
      <c r="AX75" s="72" t="n">
        <v>-2.19</v>
      </c>
      <c r="AY75" s="63" t="inlineStr">
        <is>
          <t>China Biotech ETF (HS biotech proxy)</t>
        </is>
      </c>
      <c r="AZ75" s="72" t="n">
        <v>-25.6</v>
      </c>
      <c r="BA75" s="64" t="inlineStr">
        <is>
          <t>2026-08-28</t>
        </is>
      </c>
      <c r="BB75" s="65" t="n">
        <v>0.6</v>
      </c>
      <c r="BC75" s="68" t="n">
        <v>-147.3</v>
      </c>
      <c r="BD75" s="63" t="inlineStr">
        <is>
          <t>N</t>
        </is>
      </c>
      <c r="BE75" s="63" t="inlineStr">
        <is>
          <t>n/m</t>
        </is>
      </c>
      <c r="BF75" s="74" t="n"/>
      <c r="BG75" s="74" t="n">
        <v>111.1</v>
      </c>
      <c r="BH75" s="74" t="n">
        <v>14236.7</v>
      </c>
      <c r="BI75" s="75">
        <f>IF('BBG Verify'!S75="","not filed — run on terminal",'BBG Verify'!S75)</f>
        <v/>
      </c>
      <c r="BJ75" s="76" t="inlineStr">
        <is>
          <t>N</t>
        </is>
      </c>
      <c r="BK75" s="77">
        <f>IF('BBG Verify'!K75="","not filed — run on terminal",'BBG Verify'!K75)</f>
        <v/>
      </c>
      <c r="BL75" s="63" t="inlineStr">
        <is>
          <t>N/A</t>
        </is>
      </c>
      <c r="BM75" s="63" t="inlineStr">
        <is>
          <t>N/A</t>
        </is>
      </c>
      <c r="BN75" s="63" t="inlineStr">
        <is>
          <t>N/A</t>
        </is>
      </c>
      <c r="BO75" s="63" t="inlineStr">
        <is>
          <t>N/A</t>
        </is>
      </c>
      <c r="BP75" s="63" t="inlineStr">
        <is>
          <t>N/A</t>
        </is>
      </c>
      <c r="BQ75" s="63" t="inlineStr">
        <is>
          <t>N/A</t>
        </is>
      </c>
      <c r="BR75" s="76" t="inlineStr">
        <is>
          <t>Morgan Stanley Asia Limited; J.P. Morgan Securities (Far East) Limited</t>
        </is>
      </c>
      <c r="BS75" s="63" t="inlineStr">
        <is>
          <t>Morgan Stanley Asia Limited; J.P. Morgan Securities (Far East) Limited</t>
        </is>
      </c>
      <c r="BT75" s="63" t="inlineStr">
        <is>
          <t>Morgan Stanley Asia Limited; J.P. Morgan Securities (Asia Pacific) Limited; China International Capital Corporation Hong Kong Securities Limited</t>
        </is>
      </c>
      <c r="BU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V75" s="78">
        <f>HYPERLINK("https://www1.hkexnews.hk/listedco/listconews/sehk/2021/0930/2021093000017.pdf","prospectus")</f>
        <v/>
      </c>
      <c r="BW75" s="78">
        <f>HYPERLINK("https://www1.hkexnews.hk/listedco/listconews/sehk/2021/1012/2021101200008.htm","allotment")</f>
        <v/>
      </c>
      <c r="BX75" s="78">
        <f>HYPERLINK("https://www1.hkexnews.hk/listedco/listconews/sehk/2021/1105/2021110501527.pdf","stabilisation")</f>
        <v/>
      </c>
      <c r="BY75" s="76" t="n"/>
      <c r="BZ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72" t="n"/>
      <c r="AC76" s="66" t="n"/>
      <c r="AD76" s="72" t="n"/>
      <c r="AE76" s="63" t="n"/>
      <c r="AF76" s="63" t="inlineStr">
        <is>
          <t>partial</t>
        </is>
      </c>
      <c r="AG76" s="63" t="inlineStr">
        <is>
          <t>2021-11-10</t>
        </is>
      </c>
      <c r="AH76" s="63" t="inlineStr">
        <is>
          <t>Goldman Sachs</t>
        </is>
      </c>
      <c r="AI76" s="63" t="inlineStr">
        <is>
          <t>Goldman Sachs</t>
        </is>
      </c>
      <c r="AJ76" s="73" t="n">
        <v>0</v>
      </c>
      <c r="AK76" s="72" t="n">
        <v>1.64</v>
      </c>
      <c r="AL76" s="72" t="n">
        <v>-1.61</v>
      </c>
      <c r="AM76" s="72" t="n">
        <v>0.16</v>
      </c>
      <c r="AN76" s="72" t="n">
        <v>-6.56</v>
      </c>
      <c r="AO76" s="72" t="n">
        <v>-35.74</v>
      </c>
      <c r="AP76" s="72" t="n">
        <v>0.16</v>
      </c>
      <c r="AQ76" s="72" t="n">
        <v>-6.56</v>
      </c>
      <c r="AR76" s="72" t="n">
        <v>-35.74</v>
      </c>
      <c r="AS76" s="72" t="n">
        <v>-1.15</v>
      </c>
      <c r="AT76" s="72" t="n">
        <v>-7.91</v>
      </c>
      <c r="AU76" s="72" t="n">
        <v>-20.8</v>
      </c>
      <c r="AV76" s="72" t="n">
        <v>-6.09</v>
      </c>
      <c r="AW76" s="72" t="n">
        <v>1.35</v>
      </c>
      <c r="AX76" s="72" t="n">
        <v>-0.47</v>
      </c>
      <c r="AY76" s="63" t="inlineStr">
        <is>
          <t>China Biotech ETF (HS biotech proxy)</t>
        </is>
      </c>
      <c r="AZ76" s="72" t="n">
        <v>-75.48</v>
      </c>
      <c r="BA76" s="64" t="inlineStr">
        <is>
          <t>2026-08-28</t>
        </is>
      </c>
      <c r="BB76" s="65" t="n">
        <v>19.5</v>
      </c>
      <c r="BC76" s="68" t="n">
        <v>-4.5</v>
      </c>
      <c r="BD76" s="63" t="inlineStr">
        <is>
          <t>N</t>
        </is>
      </c>
      <c r="BE76" s="63" t="inlineStr">
        <is>
          <t>n/m</t>
        </is>
      </c>
      <c r="BF76" s="74" t="n"/>
      <c r="BG76" s="74" t="n">
        <v>62.2</v>
      </c>
      <c r="BH76" s="74" t="n">
        <v>589</v>
      </c>
      <c r="BI76" s="75">
        <f>IF('BBG Verify'!S76="","not filed — run on terminal",'BBG Verify'!S76)</f>
        <v/>
      </c>
      <c r="BJ76" s="76" t="inlineStr">
        <is>
          <t>N</t>
        </is>
      </c>
      <c r="BK76" s="77">
        <f>IF('BBG Verify'!K76="","not filed — run on terminal",'BBG Verify'!K76)</f>
        <v/>
      </c>
      <c r="BL76" s="63" t="inlineStr">
        <is>
          <t>N/A</t>
        </is>
      </c>
      <c r="BM76" s="63" t="inlineStr">
        <is>
          <t>N/A</t>
        </is>
      </c>
      <c r="BN76" s="63" t="inlineStr">
        <is>
          <t>N/A</t>
        </is>
      </c>
      <c r="BO76" s="63" t="inlineStr">
        <is>
          <t>N/A</t>
        </is>
      </c>
      <c r="BP76" s="63" t="inlineStr">
        <is>
          <t>N/A</t>
        </is>
      </c>
      <c r="BQ76" s="63" t="inlineStr">
        <is>
          <t>N/A</t>
        </is>
      </c>
      <c r="BR76" s="76" t="inlineStr">
        <is>
          <t>Goldman Sachs (Asia) L.L.C; China International Capital Corporation Hong Kong Securities Limited</t>
        </is>
      </c>
      <c r="BS76" s="63" t="inlineStr">
        <is>
          <t>China International Capital Corporation Hong Kong Securities Limited; Goldman Sachs (Asia) L.L.C.</t>
        </is>
      </c>
      <c r="BT76" s="63" t="inlineStr">
        <is>
          <t>Goldman Sachs (Asia) L.L.C; China International Capital Corporation Hong Kong Securities Limited; CLSA Limited</t>
        </is>
      </c>
      <c r="BU76" s="63" t="inlineStr">
        <is>
          <t>China International Capital Corporation Hong Kong Securities Limited; CLSA Limited; Goldman Sachs (Asia) L.L.C.</t>
        </is>
      </c>
      <c r="BV76" s="78">
        <f>HYPERLINK("https://www1.hkexnews.hk/listedco/listconews/sehk/2021/1006/2021100600007.pdf","prospectus")</f>
        <v/>
      </c>
      <c r="BW76" s="78">
        <f>HYPERLINK("https://www1.hkexnews.hk/listedco/listconews/sehk/2021/1018/2021101800008.htm","allotment")</f>
        <v/>
      </c>
      <c r="BX76" s="78">
        <f>HYPERLINK("https://www1.hkexnews.hk/listedco/listconews/sehk/2021/1111/2021111100027.pdf","stabilisation")</f>
        <v/>
      </c>
      <c r="BY76" s="76" t="n"/>
      <c r="BZ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no grey-market headline on file for this deal — AAStocks publishes one per listing but keeps only recent items on the stock's news page, and no public archive of past evening sessions exists; captured from this run onward</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72" t="n"/>
      <c r="AC77" s="66" t="n"/>
      <c r="AD77" s="72" t="n"/>
      <c r="AE77" s="63" t="n"/>
      <c r="AF77" s="63" t="inlineStr">
        <is>
          <t>full</t>
        </is>
      </c>
      <c r="AG77" s="63" t="inlineStr">
        <is>
          <t>2021-11-25</t>
        </is>
      </c>
      <c r="AH77" s="63" t="n"/>
      <c r="AI77" s="63" t="n"/>
      <c r="AJ77" s="73" t="n">
        <v>6.02</v>
      </c>
      <c r="AK77" s="72" t="n">
        <v>-7.87</v>
      </c>
      <c r="AL77" s="72" t="n">
        <v>15.08</v>
      </c>
      <c r="AM77" s="72" t="n">
        <v>34.03</v>
      </c>
      <c r="AN77" s="72" t="n">
        <v>24.19</v>
      </c>
      <c r="AO77" s="72" t="n">
        <v>9.949999999999999</v>
      </c>
      <c r="AP77" s="72" t="n">
        <v>26.42</v>
      </c>
      <c r="AQ77" s="72" t="n">
        <v>17.14</v>
      </c>
      <c r="AR77" s="72" t="n">
        <v>3.71</v>
      </c>
      <c r="AS77" s="72" t="n">
        <v>36.38</v>
      </c>
      <c r="AT77" s="72" t="n">
        <v>22.54</v>
      </c>
      <c r="AU77" s="72" t="n">
        <v>32.97</v>
      </c>
      <c r="AV77" s="72" t="n">
        <v>13.85</v>
      </c>
      <c r="AW77" s="72" t="n">
        <v>1.65</v>
      </c>
      <c r="AX77" s="72" t="n">
        <v>3.29</v>
      </c>
      <c r="AY77" s="63" t="inlineStr">
        <is>
          <t>China Biotech ETF (HS biotech proxy)</t>
        </is>
      </c>
      <c r="AZ77" s="72" t="n">
        <v>-49.07</v>
      </c>
      <c r="BA77" s="64" t="inlineStr">
        <is>
          <t>2026-08-28</t>
        </is>
      </c>
      <c r="BB77" s="65" t="n">
        <v>8.800000000000001</v>
      </c>
      <c r="BC77" s="68" t="n">
        <v>-53.9</v>
      </c>
      <c r="BD77" s="63" t="inlineStr">
        <is>
          <t>N</t>
        </is>
      </c>
      <c r="BE77" s="63" t="inlineStr">
        <is>
          <t>n/m</t>
        </is>
      </c>
      <c r="BF77" s="74" t="n"/>
      <c r="BG77" s="74" t="n"/>
      <c r="BH77" s="74" t="n">
        <v>4705.8</v>
      </c>
      <c r="BI77" s="75">
        <f>IF('BBG Verify'!S77="","not filed — run on terminal",'BBG Verify'!S77)</f>
        <v/>
      </c>
      <c r="BJ77" s="76" t="inlineStr">
        <is>
          <t>N</t>
        </is>
      </c>
      <c r="BK77" s="77">
        <f>IF('BBG Verify'!K77="","not filed — run on terminal",'BBG Verify'!K77)</f>
        <v/>
      </c>
      <c r="BL77" s="63" t="inlineStr">
        <is>
          <t>N/A</t>
        </is>
      </c>
      <c r="BM77" s="63" t="inlineStr">
        <is>
          <t>N/A</t>
        </is>
      </c>
      <c r="BN77" s="63" t="inlineStr">
        <is>
          <t>N/A</t>
        </is>
      </c>
      <c r="BO77" s="63" t="inlineStr">
        <is>
          <t>N/A</t>
        </is>
      </c>
      <c r="BP77" s="63" t="inlineStr">
        <is>
          <t>N/A</t>
        </is>
      </c>
      <c r="BQ77" s="63" t="inlineStr">
        <is>
          <t>N/A</t>
        </is>
      </c>
      <c r="BR77" s="76" t="inlineStr">
        <is>
          <t>J.P. Morgan Securities (Far East) Limited; China International Capital Corporation Hong Kong Securities Limited</t>
        </is>
      </c>
      <c r="BS77" s="63" t="inlineStr">
        <is>
          <t>China International Capital Corporation Hong Kong Securities Limited; J.P. Morgan Securities (Far East) Limited</t>
        </is>
      </c>
      <c r="BT77" s="63" t="inlineStr">
        <is>
          <t>J.P. Morgan Securities (Asia Pacific) Limited; China International Capital Corporation Hong Kong Securities Limited</t>
        </is>
      </c>
      <c r="BU77" s="63" t="inlineStr">
        <is>
          <t>China International Capital Corporation Hong Kong Securities Limited; Futu Securities International (Hong Kong) Limited; J.P. Morgan Securities (Asia Pacific) Limited; Livermore Holdings Limited</t>
        </is>
      </c>
      <c r="BV77" s="78">
        <f>HYPERLINK("https://www1.hkexnews.hk/listedco/listconews/sehk/2021/1021/2021102100011.pdf","prospectus")</f>
        <v/>
      </c>
      <c r="BW77" s="78">
        <f>HYPERLINK("https://www1.hkexnews.hk/listedco/listconews/sehk/2021/1101/2021110100012.htm","allotment")</f>
        <v/>
      </c>
      <c r="BX77" s="78">
        <f>HYPERLINK("https://www1.hkexnews.hk/listedco/listconews/sehk/2021/1125/2021112501059.pdf","stabilisation")</f>
        <v/>
      </c>
      <c r="BY77" s="76" t="n"/>
      <c r="BZ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72" t="n"/>
      <c r="AC78" s="66" t="n"/>
      <c r="AD78" s="72" t="n"/>
      <c r="AE78" s="63" t="n"/>
      <c r="AF78" s="63" t="inlineStr">
        <is>
          <t>lapsed</t>
        </is>
      </c>
      <c r="AG78" s="63" t="inlineStr">
        <is>
          <t>2021-11-28</t>
        </is>
      </c>
      <c r="AH78" s="63" t="n"/>
      <c r="AI78" s="63" t="n"/>
      <c r="AJ78" s="73" t="n">
        <v>-9.449999999999999</v>
      </c>
      <c r="AK78" s="72" t="n">
        <v>-9.99</v>
      </c>
      <c r="AL78" s="72" t="n">
        <v>0.6</v>
      </c>
      <c r="AM78" s="72" t="n">
        <v>-12.98</v>
      </c>
      <c r="AN78" s="72" t="n">
        <v>-24.37</v>
      </c>
      <c r="AO78" s="72" t="n">
        <v>-56.06</v>
      </c>
      <c r="AP78" s="72" t="n">
        <v>-3.9</v>
      </c>
      <c r="AQ78" s="72" t="n">
        <v>-16.48</v>
      </c>
      <c r="AR78" s="72" t="n">
        <v>-51.47</v>
      </c>
      <c r="AS78" s="72" t="n">
        <v>-13.64</v>
      </c>
      <c r="AT78" s="72" t="n">
        <v>-20.53</v>
      </c>
      <c r="AU78" s="72" t="n">
        <v>-31.59</v>
      </c>
      <c r="AV78" s="72" t="n">
        <v>-13.93</v>
      </c>
      <c r="AW78" s="72" t="n">
        <v>-3.84</v>
      </c>
      <c r="AX78" s="72" t="n">
        <v>-2.55</v>
      </c>
      <c r="AY78" s="63" t="inlineStr">
        <is>
          <t>China Biotech ETF (HS biotech proxy)</t>
        </is>
      </c>
      <c r="AZ78" s="72" t="n">
        <v>-87.31999999999999</v>
      </c>
      <c r="BA78" s="64" t="inlineStr">
        <is>
          <t>2026-08-28</t>
        </is>
      </c>
      <c r="BB78" s="65" t="n">
        <v>7.2</v>
      </c>
      <c r="BC78" s="68" t="n">
        <v>-53.7</v>
      </c>
      <c r="BD78" s="63" t="inlineStr">
        <is>
          <t>N</t>
        </is>
      </c>
      <c r="BE78" s="63" t="inlineStr">
        <is>
          <t>n/m</t>
        </is>
      </c>
      <c r="BF78" s="74" t="n"/>
      <c r="BG78" s="74" t="n"/>
      <c r="BH78" s="74" t="n">
        <v>1124.9</v>
      </c>
      <c r="BI78" s="75">
        <f>IF('BBG Verify'!S78="","not filed — run on terminal",'BBG Verify'!S78)</f>
        <v/>
      </c>
      <c r="BJ78" s="76" t="inlineStr">
        <is>
          <t>N</t>
        </is>
      </c>
      <c r="BK78" s="77">
        <f>IF('BBG Verify'!K78="","not filed — run on terminal",'BBG Verify'!K78)</f>
        <v/>
      </c>
      <c r="BL78" s="63" t="inlineStr">
        <is>
          <t>N/A</t>
        </is>
      </c>
      <c r="BM78" s="63" t="inlineStr">
        <is>
          <t>N/A</t>
        </is>
      </c>
      <c r="BN78" s="63" t="inlineStr">
        <is>
          <t>N/A</t>
        </is>
      </c>
      <c r="BO78" s="63" t="inlineStr">
        <is>
          <t>N/A</t>
        </is>
      </c>
      <c r="BP78" s="63" t="inlineStr">
        <is>
          <t>N/A</t>
        </is>
      </c>
      <c r="BQ78" s="63" t="inlineStr">
        <is>
          <t>N/A</t>
        </is>
      </c>
      <c r="BR78" s="76" t="n"/>
      <c r="BS78" s="63" t="inlineStr">
        <is>
          <t>UBS Securities Hong Kong Limited; CLSA Capital Markets Limited</t>
        </is>
      </c>
      <c r="BT78" s="63" t="inlineStr">
        <is>
          <t>CLSA Limited; CMB International Capital Limited; China PA Securities (Hong Kong) Company Limited; Essence International Securities (Hong Kong) Limited; Fosun Hani Securities Limited; Guodu Securities (Hong Kong) Limited</t>
        </is>
      </c>
      <c r="BU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V78" s="78">
        <f>HYPERLINK("https://www1.hkexnews.hk/listedco/listconews/sehk/2021/1026/2021102600012.htm","prospectus")</f>
        <v/>
      </c>
      <c r="BW78" s="78">
        <f>HYPERLINK("https://www1.hkexnews.hk/listedco/listconews/sehk/2021/1104/2021110400022.htm","allotment")</f>
        <v/>
      </c>
      <c r="BX78" s="78">
        <f>HYPERLINK("https://www1.hkexnews.hk/listedco/listconews/sehk/2021/1128/2021112800017.pdf","stabilisation")</f>
        <v/>
      </c>
      <c r="BY78" s="76" t="n"/>
      <c r="BZ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72" t="n"/>
      <c r="AC79" s="66" t="n"/>
      <c r="AD79" s="72" t="n"/>
      <c r="AE79" s="63" t="n"/>
      <c r="AF79" s="63" t="inlineStr">
        <is>
          <t>lapsed</t>
        </is>
      </c>
      <c r="AG79" s="63" t="inlineStr">
        <is>
          <t>2021-11-27</t>
        </is>
      </c>
      <c r="AH79" s="63" t="n"/>
      <c r="AI79" s="63" t="n"/>
      <c r="AJ79" s="73" t="n">
        <v>-2.99</v>
      </c>
      <c r="AK79" s="72" t="n">
        <v>0</v>
      </c>
      <c r="AL79" s="72" t="n">
        <v>-2.99</v>
      </c>
      <c r="AM79" s="72" t="n">
        <v>-22.57</v>
      </c>
      <c r="AN79" s="72" t="n">
        <v>-16.89</v>
      </c>
      <c r="AO79" s="72" t="n">
        <v>-17.79</v>
      </c>
      <c r="AP79" s="72" t="n">
        <v>-20.18</v>
      </c>
      <c r="AQ79" s="72" t="n">
        <v>-14.33</v>
      </c>
      <c r="AR79" s="72" t="n">
        <v>-15.26</v>
      </c>
      <c r="AS79" s="72" t="n">
        <v>-23.23</v>
      </c>
      <c r="AT79" s="72" t="n">
        <v>-13.05</v>
      </c>
      <c r="AU79" s="72" t="n">
        <v>6.68</v>
      </c>
      <c r="AV79" s="72" t="n">
        <v>-11.78</v>
      </c>
      <c r="AW79" s="72" t="n">
        <v>-3.84</v>
      </c>
      <c r="AX79" s="72" t="n">
        <v>-2.55</v>
      </c>
      <c r="AY79" s="63" t="inlineStr">
        <is>
          <t>China Biotech ETF (HS biotech proxy)</t>
        </is>
      </c>
      <c r="AZ79" s="72" t="n">
        <v>-83.33</v>
      </c>
      <c r="BA79" s="64" t="inlineStr">
        <is>
          <t>2026-08-28</t>
        </is>
      </c>
      <c r="BB79" s="65" t="n">
        <v>1119.8</v>
      </c>
      <c r="BC79" s="68" t="n">
        <v>-163</v>
      </c>
      <c r="BD79" s="63" t="inlineStr">
        <is>
          <t>N</t>
        </is>
      </c>
      <c r="BE79" s="63" t="inlineStr">
        <is>
          <t>n/m</t>
        </is>
      </c>
      <c r="BF79" s="74" t="n"/>
      <c r="BG79" s="74" t="n"/>
      <c r="BH79" s="74" t="n">
        <v>13.2</v>
      </c>
      <c r="BI79" s="75">
        <f>IF('BBG Verify'!S79="","not filed — run on terminal",'BBG Verify'!S79)</f>
        <v/>
      </c>
      <c r="BJ79" s="76" t="inlineStr">
        <is>
          <t>N</t>
        </is>
      </c>
      <c r="BK79" s="77">
        <f>IF('BBG Verify'!K79="","not filed — run on terminal",'BBG Verify'!K79)</f>
        <v/>
      </c>
      <c r="BL79" s="63" t="inlineStr">
        <is>
          <t>N/A</t>
        </is>
      </c>
      <c r="BM79" s="63" t="inlineStr">
        <is>
          <t>N/A</t>
        </is>
      </c>
      <c r="BN79" s="63" t="inlineStr">
        <is>
          <t>N/A</t>
        </is>
      </c>
      <c r="BO79" s="63" t="inlineStr">
        <is>
          <t>N/A</t>
        </is>
      </c>
      <c r="BP79" s="63" t="inlineStr">
        <is>
          <t>N/A</t>
        </is>
      </c>
      <c r="BQ79" s="63" t="inlineStr">
        <is>
          <t>N/A</t>
        </is>
      </c>
      <c r="BR79" s="76" t="inlineStr">
        <is>
          <t>Goldman Sachs (Asia) L.L.C; China International Capital Corporation Hong Kong Securities Limited</t>
        </is>
      </c>
      <c r="BS79" s="63" t="inlineStr">
        <is>
          <t>China International Capital Corporation Hong Kong Securities Limited; Goldman Sachs (Asia) L.L.C.</t>
        </is>
      </c>
      <c r="BT79" s="63" t="inlineStr">
        <is>
          <t>China International Capital Corporation Hong Kong Securities Limited; Credit Suisse (Hong Kong) Limited; Goldman Sachs (Asia) L.L.C.</t>
        </is>
      </c>
      <c r="BU79" s="63" t="inlineStr">
        <is>
          <t>China International Capital Corporation Hong Kong Securities Limited; Credit Suisse (Hong Kong) Limited; Goldman Sachs (Asia) L.L.C.</t>
        </is>
      </c>
      <c r="BV79" s="78">
        <f>HYPERLINK("https://www1.hkexnews.hk/listedco/listconews/sehk/2021/1025/2021102500007.pdf","prospectus")</f>
        <v/>
      </c>
      <c r="BW79" s="78">
        <f>HYPERLINK("https://www1.hkexnews.hk/listedco/listconews/sehk/2021/1104/2021110400036.htm","allotment")</f>
        <v/>
      </c>
      <c r="BX79" s="78">
        <f>HYPERLINK("https://www1.hkexnews.hk/listedco/listconews/sehk/2021/1129/2021112900089.pdf","stabilisation")</f>
        <v/>
      </c>
      <c r="BY79" s="76" t="n"/>
      <c r="BZ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72" t="n"/>
      <c r="AC80" s="66" t="n"/>
      <c r="AD80" s="72" t="n"/>
      <c r="AE80" s="63" t="n"/>
      <c r="AF80" s="63" t="inlineStr">
        <is>
          <t>lapsed</t>
        </is>
      </c>
      <c r="AG80" s="63" t="inlineStr">
        <is>
          <t>2021-11-28</t>
        </is>
      </c>
      <c r="AH80" s="63" t="inlineStr">
        <is>
          <t>Guotai Junan Securities</t>
        </is>
      </c>
      <c r="AI80" s="63" t="inlineStr">
        <is>
          <t>Guotai Junan</t>
        </is>
      </c>
      <c r="AJ80" s="73" t="n">
        <v>-4.48</v>
      </c>
      <c r="AK80" s="72" t="n">
        <v>0</v>
      </c>
      <c r="AL80" s="72" t="n">
        <v>-4.48</v>
      </c>
      <c r="AM80" s="72" t="n">
        <v>-1.94</v>
      </c>
      <c r="AN80" s="72" t="n">
        <v>-19.4</v>
      </c>
      <c r="AO80" s="72" t="n">
        <v>-13.58</v>
      </c>
      <c r="AP80" s="72" t="n">
        <v>2.66</v>
      </c>
      <c r="AQ80" s="72" t="n">
        <v>-15.62</v>
      </c>
      <c r="AR80" s="72" t="n">
        <v>-9.529999999999999</v>
      </c>
      <c r="AS80" s="72" t="n">
        <v>-4.03</v>
      </c>
      <c r="AT80" s="72" t="n">
        <v>-15.83</v>
      </c>
      <c r="AU80" s="72" t="n">
        <v>-13.42</v>
      </c>
      <c r="AV80" s="72" t="n">
        <v>-12.47</v>
      </c>
      <c r="AW80" s="72" t="n">
        <v>-3.57</v>
      </c>
      <c r="AX80" s="72" t="n">
        <v>-3.15</v>
      </c>
      <c r="AY80" s="63" t="inlineStr">
        <is>
          <t>Hang Seng Index</t>
        </is>
      </c>
      <c r="AZ80" s="72" t="n">
        <v>-39.7</v>
      </c>
      <c r="BA80" s="64" t="inlineStr">
        <is>
          <t>2026-08-28</t>
        </is>
      </c>
      <c r="BB80" s="65" t="n">
        <v>6996.8</v>
      </c>
      <c r="BC80" s="68" t="n">
        <v>146.5</v>
      </c>
      <c r="BD80" s="63" t="inlineStr">
        <is>
          <t>Y</t>
        </is>
      </c>
      <c r="BE80" s="74" t="n">
        <v>34.8</v>
      </c>
      <c r="BF80" s="74" t="n"/>
      <c r="BG80" s="74" t="n">
        <v>12.9</v>
      </c>
      <c r="BH80" s="74" t="n">
        <v>0.7</v>
      </c>
      <c r="BI80" s="75">
        <f>IF('BBG Verify'!S80="","not filed — run on terminal",'BBG Verify'!S80)</f>
        <v/>
      </c>
      <c r="BJ80" s="76" t="inlineStr">
        <is>
          <t>N</t>
        </is>
      </c>
      <c r="BK80" s="77">
        <f>IF('BBG Verify'!K80="","not filed — run on terminal",'BBG Verify'!K80)</f>
        <v/>
      </c>
      <c r="BL80" s="63" t="inlineStr">
        <is>
          <t>N/A</t>
        </is>
      </c>
      <c r="BM80" s="63" t="inlineStr">
        <is>
          <t>N/A</t>
        </is>
      </c>
      <c r="BN80" s="63" t="inlineStr">
        <is>
          <t>N/A</t>
        </is>
      </c>
      <c r="BO80" s="63" t="inlineStr">
        <is>
          <t>N/A</t>
        </is>
      </c>
      <c r="BP80" s="63" t="inlineStr">
        <is>
          <t>N/A</t>
        </is>
      </c>
      <c r="BQ80" s="63" t="inlineStr">
        <is>
          <t>N/A</t>
        </is>
      </c>
      <c r="BR80" s="76" t="inlineStr">
        <is>
          <t>CMBC International Capital Limited; Financial Adviser SBI China Capital Hong Kong Securities Limited</t>
        </is>
      </c>
      <c r="BS80" s="63" t="inlineStr">
        <is>
          <t>CMBC International Capital Limited</t>
        </is>
      </c>
      <c r="BT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U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V80" s="78">
        <f>HYPERLINK("https://www1.hkexnews.hk/listedco/listconews/sehk/2021/1026/2021102600091.pdf","prospectus")</f>
        <v/>
      </c>
      <c r="BW80" s="78">
        <f>HYPERLINK("https://www1.hkexnews.hk/listedco/listconews/sehk/2021/1105/2021110500012.htm","allotment")</f>
        <v/>
      </c>
      <c r="BX80" s="78">
        <f>HYPERLINK("https://www1.hkexnews.hk/listedco/listconews/sehk/2021/1128/2021112800021.pdf","stabilisation")</f>
        <v/>
      </c>
      <c r="BY80" s="76" t="n"/>
      <c r="BZ80"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72" t="n"/>
      <c r="AC81" s="66" t="n"/>
      <c r="AD81" s="72" t="n"/>
      <c r="AE81" s="63" t="n"/>
      <c r="AF81" s="63" t="inlineStr">
        <is>
          <t>lapsed</t>
        </is>
      </c>
      <c r="AG81" s="63" t="inlineStr">
        <is>
          <t>2021-12-03</t>
        </is>
      </c>
      <c r="AH81" s="63" t="inlineStr">
        <is>
          <t>China International Capital Corporation Hong Kong Securities Limited</t>
        </is>
      </c>
      <c r="AI81" s="63" t="inlineStr">
        <is>
          <t>China International</t>
        </is>
      </c>
      <c r="AJ81" s="73" t="n">
        <v>-0.24</v>
      </c>
      <c r="AK81" s="72" t="n">
        <v>0</v>
      </c>
      <c r="AL81" s="72" t="n">
        <v>-0.24</v>
      </c>
      <c r="AM81" s="72" t="n">
        <v>-9.300000000000001</v>
      </c>
      <c r="AN81" s="72" t="n">
        <v>-31.28</v>
      </c>
      <c r="AO81" s="72" t="n">
        <v>-42.63</v>
      </c>
      <c r="AP81" s="72" t="n">
        <v>-9.08</v>
      </c>
      <c r="AQ81" s="72" t="n">
        <v>-31.11</v>
      </c>
      <c r="AR81" s="72" t="n">
        <v>-42.49</v>
      </c>
      <c r="AS81" s="72" t="n">
        <v>-13.82</v>
      </c>
      <c r="AT81" s="72" t="n">
        <v>-34.16</v>
      </c>
      <c r="AU81" s="72" t="n">
        <v>-51.1</v>
      </c>
      <c r="AV81" s="72" t="n">
        <v>-30.94</v>
      </c>
      <c r="AW81" s="72" t="n">
        <v>2.88</v>
      </c>
      <c r="AX81" s="72" t="n">
        <v>-0.17</v>
      </c>
      <c r="AY81" s="63" t="inlineStr">
        <is>
          <t>Hang Seng Properties sub-index</t>
        </is>
      </c>
      <c r="AZ81" s="72" t="n">
        <v>-76.69</v>
      </c>
      <c r="BA81" s="64" t="inlineStr">
        <is>
          <t>2026-08-28</t>
        </is>
      </c>
      <c r="BB81" s="65" t="n">
        <v>1199.6</v>
      </c>
      <c r="BC81" s="68" t="n">
        <v>75.59999999999999</v>
      </c>
      <c r="BD81" s="63" t="inlineStr">
        <is>
          <t>Y</t>
        </is>
      </c>
      <c r="BE81" s="74" t="n">
        <v>16.1</v>
      </c>
      <c r="BF81" s="74" t="n"/>
      <c r="BG81" s="74" t="n">
        <v>4.6</v>
      </c>
      <c r="BH81" s="74" t="n">
        <v>1</v>
      </c>
      <c r="BI81" s="75">
        <f>IF('BBG Verify'!S81="","not filed — run on terminal",'BBG Verify'!S81)</f>
        <v/>
      </c>
      <c r="BJ81" s="76" t="inlineStr">
        <is>
          <t>N</t>
        </is>
      </c>
      <c r="BK81" s="77">
        <f>IF('BBG Verify'!K81="","not filed — run on terminal",'BBG Verify'!K81)</f>
        <v/>
      </c>
      <c r="BL81" s="63" t="inlineStr">
        <is>
          <t>N/A</t>
        </is>
      </c>
      <c r="BM81" s="63" t="inlineStr">
        <is>
          <t>N/A</t>
        </is>
      </c>
      <c r="BN81" s="63" t="inlineStr">
        <is>
          <t>N/A</t>
        </is>
      </c>
      <c r="BO81" s="63" t="inlineStr">
        <is>
          <t>N/A</t>
        </is>
      </c>
      <c r="BP81" s="63" t="inlineStr">
        <is>
          <t>N/A</t>
        </is>
      </c>
      <c r="BQ81" s="63" t="inlineStr">
        <is>
          <t>N/A</t>
        </is>
      </c>
      <c r="BR81" s="76" t="inlineStr">
        <is>
          <t>China International Capital Corporation Hong Kong Securities Limited</t>
        </is>
      </c>
      <c r="BS81" s="63" t="inlineStr">
        <is>
          <t>China International Capital Corporation Hong Kong Securities Limited</t>
        </is>
      </c>
      <c r="BT81" s="63" t="inlineStr">
        <is>
          <t>China International Capital Corporation Hong Kong Securities Limited; Zhongtai International Securities Limited; BOCOM International Securities Limited; CMBC Securities Company Limited; CCB International Capital Limited</t>
        </is>
      </c>
      <c r="BU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V81" s="78">
        <f>HYPERLINK("https://www1.hkexnews.hk/listedco/listconews/sehk/2021/1029/2021102900097.pdf","prospectus")</f>
        <v/>
      </c>
      <c r="BW81" s="78">
        <f>HYPERLINK("https://www1.hkexnews.hk/listedco/listconews/sehk/2021/1109/2021110900030.htm","allotment")</f>
        <v/>
      </c>
      <c r="BX81" s="78">
        <f>HYPERLINK("https://www1.hkexnews.hk/listedco/listconews/sehk/2021/1203/2021120301558.pdf","stabilisation")</f>
        <v/>
      </c>
      <c r="BY81" s="76" t="n"/>
      <c r="BZ81"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72" t="n"/>
      <c r="AC82" s="66" t="n"/>
      <c r="AD82" s="72" t="n"/>
      <c r="AE82" s="63" t="n"/>
      <c r="AF82" s="63" t="inlineStr">
        <is>
          <t>lapsed (no over-allocation)</t>
        </is>
      </c>
      <c r="AG82" s="63" t="inlineStr">
        <is>
          <t>2021-12-03</t>
        </is>
      </c>
      <c r="AH82" s="63" t="inlineStr">
        <is>
          <t>First Shanghai Securities Limited</t>
        </is>
      </c>
      <c r="AI82" s="63" t="inlineStr">
        <is>
          <t>First Shanghai</t>
        </is>
      </c>
      <c r="AJ82" s="73" t="n">
        <v>-10.78</v>
      </c>
      <c r="AK82" s="72" t="n">
        <v>1.96</v>
      </c>
      <c r="AL82" s="72" t="n">
        <v>-12.5</v>
      </c>
      <c r="AM82" s="72" t="n">
        <v>-3.92</v>
      </c>
      <c r="AN82" s="72" t="n">
        <v>-10.78</v>
      </c>
      <c r="AO82" s="72" t="n">
        <v>-17.65</v>
      </c>
      <c r="AP82" s="72" t="n">
        <v>7.69</v>
      </c>
      <c r="AQ82" s="72" t="n">
        <v>0</v>
      </c>
      <c r="AR82" s="72" t="n">
        <v>-7.7</v>
      </c>
      <c r="AS82" s="72" t="n">
        <v>-2.51</v>
      </c>
      <c r="AT82" s="72" t="n">
        <v>-2.37</v>
      </c>
      <c r="AU82" s="72" t="n">
        <v>-4.62</v>
      </c>
      <c r="AV82" s="72" t="n">
        <v>9.01</v>
      </c>
      <c r="AW82" s="72" t="n">
        <v>-8.41</v>
      </c>
      <c r="AX82" s="72" t="n">
        <v>-9.01</v>
      </c>
      <c r="AY82" s="63" t="inlineStr">
        <is>
          <t>Hang Seng Commerce &amp; Industry sub-index</t>
        </is>
      </c>
      <c r="AZ82" s="72" t="n">
        <v>10.29</v>
      </c>
      <c r="BA82" s="64" t="inlineStr">
        <is>
          <t>2026-08-28</t>
        </is>
      </c>
      <c r="BB82" s="65" t="n">
        <v>225.9</v>
      </c>
      <c r="BC82" s="68" t="n">
        <v>80.2</v>
      </c>
      <c r="BD82" s="63" t="inlineStr">
        <is>
          <t>Y</t>
        </is>
      </c>
      <c r="BE82" s="74" t="n">
        <v>14.1</v>
      </c>
      <c r="BF82" s="74" t="n"/>
      <c r="BG82" s="74" t="n">
        <v>12.2</v>
      </c>
      <c r="BH82" s="74" t="n">
        <v>5</v>
      </c>
      <c r="BI82" s="75">
        <f>IF('BBG Verify'!S82="","not filed — run on terminal",'BBG Verify'!S82)</f>
        <v/>
      </c>
      <c r="BJ82" s="76" t="inlineStr">
        <is>
          <t>N</t>
        </is>
      </c>
      <c r="BK82" s="77">
        <f>IF('BBG Verify'!K82="","not filed — run on terminal",'BBG Verify'!K82)</f>
        <v/>
      </c>
      <c r="BL82" s="63" t="inlineStr">
        <is>
          <t>N/A</t>
        </is>
      </c>
      <c r="BM82" s="63" t="inlineStr">
        <is>
          <t>N/A</t>
        </is>
      </c>
      <c r="BN82" s="63" t="inlineStr">
        <is>
          <t>N/A</t>
        </is>
      </c>
      <c r="BO82" s="63" t="inlineStr">
        <is>
          <t>N/A</t>
        </is>
      </c>
      <c r="BP82" s="63" t="inlineStr">
        <is>
          <t>N/A</t>
        </is>
      </c>
      <c r="BQ82" s="63" t="inlineStr">
        <is>
          <t>N/A</t>
        </is>
      </c>
      <c r="BR82" s="76" t="inlineStr">
        <is>
          <t>First Shanghai Capital Limited</t>
        </is>
      </c>
      <c r="BS82" s="63" t="inlineStr">
        <is>
          <t>First Shanghai Capital Limited</t>
        </is>
      </c>
      <c r="BT82" s="63" t="inlineStr">
        <is>
          <t>First Shanghai Securities Limited; Zhongtai International Securities Limited; Valuable Capital Limited; ICBC International Capital Limited; Blackwell Global Securities Limited</t>
        </is>
      </c>
      <c r="BU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V82" s="78">
        <f>HYPERLINK("https://www1.hkexnews.hk/listedco/listconews/sehk/2021/1029/2021102900113.pdf","prospectus")</f>
        <v/>
      </c>
      <c r="BW82" s="78">
        <f>HYPERLINK("https://www1.hkexnews.hk/listedco/listconews/sehk/2021/1111/2021111100010.htm","allotment")</f>
        <v/>
      </c>
      <c r="BX82" s="78">
        <f>HYPERLINK("https://www1.hkexnews.hk/listedco/listconews/sehk/2021/1203/2021120301544.pdf","stabilisation")</f>
        <v/>
      </c>
      <c r="BY82" s="76" t="n"/>
      <c r="BZ82"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72" t="n"/>
      <c r="AC83" s="66" t="n"/>
      <c r="AD83" s="72" t="n"/>
      <c r="AE83" s="63" t="n"/>
      <c r="AF83" s="63" t="inlineStr">
        <is>
          <t>lapsed</t>
        </is>
      </c>
      <c r="AG83" s="63" t="inlineStr">
        <is>
          <t>2021-12-26</t>
        </is>
      </c>
      <c r="AH83" s="63" t="inlineStr">
        <is>
          <t>Merrill Lynch</t>
        </is>
      </c>
      <c r="AI83" s="63" t="inlineStr">
        <is>
          <t>Merrill Lynch</t>
        </is>
      </c>
      <c r="AJ83" s="73" t="n">
        <v>-2.49</v>
      </c>
      <c r="AK83" s="72" t="n">
        <v>0</v>
      </c>
      <c r="AL83" s="72" t="n">
        <v>-2.49</v>
      </c>
      <c r="AM83" s="72" t="n">
        <v>-2.73</v>
      </c>
      <c r="AN83" s="72" t="n">
        <v>-27.02</v>
      </c>
      <c r="AO83" s="72" t="n">
        <v>-55.12</v>
      </c>
      <c r="AP83" s="72" t="n">
        <v>-0.25</v>
      </c>
      <c r="AQ83" s="72" t="n">
        <v>-25.16</v>
      </c>
      <c r="AR83" s="72" t="n">
        <v>-53.97</v>
      </c>
      <c r="AS83" s="72" t="n">
        <v>-3.15</v>
      </c>
      <c r="AT83" s="72" t="n">
        <v>-20.01</v>
      </c>
      <c r="AU83" s="72" t="n">
        <v>-29.15</v>
      </c>
      <c r="AV83" s="72" t="n">
        <v>-19.01</v>
      </c>
      <c r="AW83" s="72" t="n">
        <v>-7.01</v>
      </c>
      <c r="AX83" s="72" t="n">
        <v>-6.15</v>
      </c>
      <c r="AY83" s="63" t="inlineStr">
        <is>
          <t>HSTECH (Hang Seng TECH ETF)</t>
        </is>
      </c>
      <c r="AZ83" s="72" t="n">
        <v>-55.56</v>
      </c>
      <c r="BA83" s="64" t="inlineStr">
        <is>
          <t>2026-08-28</t>
        </is>
      </c>
      <c r="BB83" s="65" t="n">
        <v>5385.3</v>
      </c>
      <c r="BC83" s="68" t="n"/>
      <c r="BD83" s="63" t="n"/>
      <c r="BE83" s="75">
        <f>IF('BBG Verify'!O83="","not filed — run on terminal",'BBG Verify'!O83)</f>
        <v/>
      </c>
      <c r="BF83" s="74" t="n"/>
      <c r="BG83" s="74" t="n">
        <v>7.7</v>
      </c>
      <c r="BH83" s="74" t="n">
        <v>6.8</v>
      </c>
      <c r="BI83" s="75">
        <f>IF('BBG Verify'!S83="","not filed — run on terminal",'BBG Verify'!S83)</f>
        <v/>
      </c>
      <c r="BJ83" s="76" t="inlineStr">
        <is>
          <t>N</t>
        </is>
      </c>
      <c r="BK83" s="77">
        <f>IF('BBG Verify'!K83="","not filed — run on terminal",'BBG Verify'!K83)</f>
        <v/>
      </c>
      <c r="BL83" s="63" t="inlineStr">
        <is>
          <t>N/A</t>
        </is>
      </c>
      <c r="BM83" s="63" t="inlineStr">
        <is>
          <t>N/A</t>
        </is>
      </c>
      <c r="BN83" s="63" t="inlineStr">
        <is>
          <t>N/A</t>
        </is>
      </c>
      <c r="BO83" s="63" t="inlineStr">
        <is>
          <t>N/A</t>
        </is>
      </c>
      <c r="BP83" s="63" t="inlineStr">
        <is>
          <t>N/A</t>
        </is>
      </c>
      <c r="BQ83" s="63" t="inlineStr">
        <is>
          <t>N/A</t>
        </is>
      </c>
      <c r="BR83" s="76" t="inlineStr">
        <is>
          <t>BofA Securities; CICC; Credit Suisse</t>
        </is>
      </c>
      <c r="BS83" s="63" t="inlineStr">
        <is>
          <t>China International Capital Corporation Hong Kong Securities Limited; Merrill Lynch (Asia Pacific) Limited; Credit Suisse (Hong Kong) Limited</t>
        </is>
      </c>
      <c r="BT83" s="63" t="inlineStr">
        <is>
          <t>ABCI Securities Company Limited; BOCI Asia Limited; CCB International Capital Limited; Citigroup Global Markets Asia Limited; China International Capital Corporation Hong Kong Securities Limited; CMB International Capital Corporation Limited</t>
        </is>
      </c>
      <c r="BU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V83" s="78">
        <f>HYPERLINK("https://www1.hkexnews.hk/listedco/listconews/sehk/2021/1123/2021112300032.pdf","prospectus")</f>
        <v/>
      </c>
      <c r="BW83" s="78">
        <f>HYPERLINK("https://www1.hkexnews.hk/listedco/listconews/sehk/2021/1201/2021120100040.htm","allotment")</f>
        <v/>
      </c>
      <c r="BX83" s="78">
        <f>HYPERLINK("https://www1.hkexnews.hk/listedco/listconews/sehk/2021/1227/2021122700001.pdf","stabilisation")</f>
        <v/>
      </c>
      <c r="BY83" s="76" t="n"/>
      <c r="BZ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72" t="n"/>
      <c r="AC84" s="66" t="n"/>
      <c r="AD84" s="72" t="n"/>
      <c r="AE84" s="63" t="n"/>
      <c r="AF84" s="63" t="inlineStr">
        <is>
          <t>partial</t>
        </is>
      </c>
      <c r="AG84" s="63" t="inlineStr">
        <is>
          <t>2022-01-01</t>
        </is>
      </c>
      <c r="AH84" s="63" t="inlineStr">
        <is>
          <t>Goldman Sachs</t>
        </is>
      </c>
      <c r="AI84" s="63" t="inlineStr">
        <is>
          <t>Goldman Sachs</t>
        </is>
      </c>
      <c r="AJ84" s="73" t="n">
        <v>-7.18</v>
      </c>
      <c r="AK84" s="72" t="n">
        <v>-6.09</v>
      </c>
      <c r="AL84" s="72" t="n">
        <v>-1.16</v>
      </c>
      <c r="AM84" s="72" t="n">
        <v>-19.65</v>
      </c>
      <c r="AN84" s="72" t="n">
        <v>-4.4</v>
      </c>
      <c r="AO84" s="72" t="n">
        <v>-28.52</v>
      </c>
      <c r="AP84" s="72" t="n">
        <v>-13.43</v>
      </c>
      <c r="AQ84" s="72" t="n">
        <v>3</v>
      </c>
      <c r="AR84" s="72" t="n">
        <v>-22.99</v>
      </c>
      <c r="AS84" s="72" t="n">
        <v>-16.44</v>
      </c>
      <c r="AT84" s="72" t="n">
        <v>3.72</v>
      </c>
      <c r="AU84" s="72" t="n">
        <v>0.45</v>
      </c>
      <c r="AV84" s="72" t="n">
        <v>10.89</v>
      </c>
      <c r="AW84" s="72" t="n">
        <v>-8.119999999999999</v>
      </c>
      <c r="AX84" s="72" t="n">
        <v>-7.89</v>
      </c>
      <c r="AY84" s="63" t="inlineStr">
        <is>
          <t>HSTECH (Hang Seng TECH ETF)</t>
        </is>
      </c>
      <c r="AZ84" s="72" t="n">
        <v>-79.93000000000001</v>
      </c>
      <c r="BA84" s="64" t="inlineStr">
        <is>
          <t>2026-08-28</t>
        </is>
      </c>
      <c r="BB84" s="65" t="n"/>
      <c r="BC84" s="68" t="n"/>
      <c r="BD84" s="63" t="n"/>
      <c r="BE84" s="74" t="n">
        <v>11.2</v>
      </c>
      <c r="BF84" s="74" t="n">
        <v>11.2</v>
      </c>
      <c r="BG84" s="74" t="n">
        <v>4.9</v>
      </c>
      <c r="BH84" s="74" t="n"/>
      <c r="BI84" s="75">
        <f>IF('BBG Verify'!S84="","not filed — run on terminal",'BBG Verify'!S84)</f>
        <v/>
      </c>
      <c r="BJ84" s="76" t="inlineStr">
        <is>
          <t>N</t>
        </is>
      </c>
      <c r="BK84" s="77">
        <f>IF('BBG Verify'!K84="","not filed — run on terminal",'BBG Verify'!K84)</f>
        <v/>
      </c>
      <c r="BL84" s="63" t="inlineStr">
        <is>
          <t>N/A</t>
        </is>
      </c>
      <c r="BM84" s="63" t="inlineStr">
        <is>
          <t>N/A</t>
        </is>
      </c>
      <c r="BN84" s="63" t="inlineStr">
        <is>
          <t>N/A</t>
        </is>
      </c>
      <c r="BO84" s="63" t="inlineStr">
        <is>
          <t>N/A</t>
        </is>
      </c>
      <c r="BP84" s="63" t="inlineStr">
        <is>
          <t>N/A</t>
        </is>
      </c>
      <c r="BQ84" s="63" t="inlineStr">
        <is>
          <t>N/A</t>
        </is>
      </c>
      <c r="BR84" s="76" t="inlineStr">
        <is>
          <t>Goldman Sachs (Asia) L.L.C; Credit Suisse (Hong Kong) Limited; CLSA Capital Markets Limited; China International Capital Corporation Hong Kong Securities Limited; CLSA Limited</t>
        </is>
      </c>
      <c r="BS84" s="63" t="inlineStr">
        <is>
          <t>China International Capital Corporation Hong Kong Securities Limited; Goldman Sachs (Asia) L.L.C.; CLSA Capital Markets Limited; Credit Suisse (Hong Kong) Limited</t>
        </is>
      </c>
      <c r="BT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U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V84" s="78">
        <f>HYPERLINK("https://www1.hkexnews.hk/listedco/listconews/sehk/2021/1129/2021112900007.pdf","prospectus")</f>
        <v/>
      </c>
      <c r="BW84" s="78">
        <f>HYPERLINK("https://www1.hkexnews.hk/listedco/listconews/sehk/2021/1207/2021120700020.htm","allotment")</f>
        <v/>
      </c>
      <c r="BX84" s="78">
        <f>HYPERLINK("https://www1.hkexnews.hk/listedco/listconews/sehk/2022/0102/2022010200019.pdf","stabilisation")</f>
        <v/>
      </c>
      <c r="BY84" s="76" t="n"/>
      <c r="BZ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72" t="n"/>
      <c r="AC85" s="66" t="n"/>
      <c r="AD85" s="72" t="n"/>
      <c r="AE85" s="63" t="n"/>
      <c r="AF85" s="63" t="n"/>
      <c r="AG85" s="63" t="inlineStr">
        <is>
          <t>2022-01-02</t>
        </is>
      </c>
      <c r="AH85" s="63" t="n"/>
      <c r="AI85" s="63" t="n"/>
      <c r="AJ85" s="73" t="n">
        <v>-26.93</v>
      </c>
      <c r="AK85" s="72" t="n">
        <v>-19.54</v>
      </c>
      <c r="AL85" s="72" t="n">
        <v>-9.18</v>
      </c>
      <c r="AM85" s="72" t="n">
        <v>-30.13</v>
      </c>
      <c r="AN85" s="72" t="n">
        <v>-32.84</v>
      </c>
      <c r="AO85" s="72" t="n">
        <v>-64.37</v>
      </c>
      <c r="AP85" s="72" t="n">
        <v>-4.38</v>
      </c>
      <c r="AQ85" s="72" t="n">
        <v>-8.09</v>
      </c>
      <c r="AR85" s="72" t="n">
        <v>-51.24</v>
      </c>
      <c r="AS85" s="72" t="n">
        <v>-23.79</v>
      </c>
      <c r="AT85" s="72" t="n">
        <v>-22.11</v>
      </c>
      <c r="AU85" s="72" t="n">
        <v>-26.66</v>
      </c>
      <c r="AV85" s="72" t="n">
        <v>1.24</v>
      </c>
      <c r="AW85" s="72" t="n">
        <v>-10.73</v>
      </c>
      <c r="AX85" s="72" t="n">
        <v>-9.33</v>
      </c>
      <c r="AY85" s="63" t="inlineStr">
        <is>
          <t>China Biotech ETF (HS biotech proxy)</t>
        </is>
      </c>
      <c r="AZ85" s="72" t="n">
        <v>-83.42</v>
      </c>
      <c r="BA85" s="64" t="inlineStr">
        <is>
          <t>2026-08-28</t>
        </is>
      </c>
      <c r="BB85" s="65" t="n"/>
      <c r="BC85" s="68" t="n"/>
      <c r="BD85" s="63" t="n"/>
      <c r="BE85" s="75">
        <f>IF('BBG Verify'!O85="","not filed — run on terminal",'BBG Verify'!O85)</f>
        <v/>
      </c>
      <c r="BF85" s="74" t="n"/>
      <c r="BG85" s="74" t="n">
        <v>37.8</v>
      </c>
      <c r="BH85" s="74" t="n"/>
      <c r="BI85" s="75">
        <f>IF('BBG Verify'!S85="","not filed — run on terminal",'BBG Verify'!S85)</f>
        <v/>
      </c>
      <c r="BJ85" s="76" t="inlineStr">
        <is>
          <t>N</t>
        </is>
      </c>
      <c r="BK85" s="77">
        <f>IF('BBG Verify'!K85="","not filed — run on terminal",'BBG Verify'!K85)</f>
        <v/>
      </c>
      <c r="BL85" s="63" t="inlineStr">
        <is>
          <t>N/A</t>
        </is>
      </c>
      <c r="BM85" s="63" t="inlineStr">
        <is>
          <t>N/A</t>
        </is>
      </c>
      <c r="BN85" s="63" t="inlineStr">
        <is>
          <t>N/A</t>
        </is>
      </c>
      <c r="BO85" s="63" t="inlineStr">
        <is>
          <t>N/A</t>
        </is>
      </c>
      <c r="BP85" s="63" t="inlineStr">
        <is>
          <t>N/A</t>
        </is>
      </c>
      <c r="BQ85" s="63" t="inlineStr">
        <is>
          <t>N/A</t>
        </is>
      </c>
      <c r="BR85" s="76" t="n"/>
      <c r="BS85" s="63" t="inlineStr">
        <is>
          <t>Jefferies Hong Kong Limited; Morgan Stanley Asia Limited</t>
        </is>
      </c>
      <c r="BT85" s="63" t="inlineStr">
        <is>
          <t>BOCI Asia Limited; China Merchants Securities (HK) Company Limited; Futu Securities International (Hong Kong) Limited; Haitong International Securities Company Limited; 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n"/>
      <c r="BW85" s="78">
        <f>HYPERLINK("https://www1.hkexnews.hk/listedco/listconews/sehk/2021/1209/2021120900010.htm","allotment")</f>
        <v/>
      </c>
      <c r="BX85" s="63" t="n"/>
      <c r="BY85" s="76" t="n"/>
      <c r="BZ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72" t="n"/>
      <c r="AC86" s="66" t="n"/>
      <c r="AD86" s="72" t="n"/>
      <c r="AE86" s="63" t="n"/>
      <c r="AF86" s="63" t="inlineStr">
        <is>
          <t>lapsed</t>
        </is>
      </c>
      <c r="AG86" s="63" t="inlineStr">
        <is>
          <t>2022-01-02</t>
        </is>
      </c>
      <c r="AH86" s="63" t="inlineStr">
        <is>
          <t>Merrill Lynch International</t>
        </is>
      </c>
      <c r="AI86" s="63" t="inlineStr">
        <is>
          <t>Merrill Lynch</t>
        </is>
      </c>
      <c r="AJ86" s="73" t="n">
        <v>0</v>
      </c>
      <c r="AK86" s="72" t="n">
        <v>15.17</v>
      </c>
      <c r="AL86" s="72" t="n">
        <v>-13.17</v>
      </c>
      <c r="AM86" s="72" t="n">
        <v>-17.24</v>
      </c>
      <c r="AN86" s="72" t="n">
        <v>45.86</v>
      </c>
      <c r="AO86" s="72" t="n">
        <v>-28.45</v>
      </c>
      <c r="AP86" s="72" t="n">
        <v>-17.24</v>
      </c>
      <c r="AQ86" s="72" t="n">
        <v>45.86</v>
      </c>
      <c r="AR86" s="72" t="n">
        <v>-28.45</v>
      </c>
      <c r="AS86" s="72" t="n">
        <v>-10.9</v>
      </c>
      <c r="AT86" s="72" t="n">
        <v>56.59</v>
      </c>
      <c r="AU86" s="72" t="n">
        <v>9.26</v>
      </c>
      <c r="AV86" s="72" t="n">
        <v>55.19</v>
      </c>
      <c r="AW86" s="72" t="n">
        <v>-10.73</v>
      </c>
      <c r="AX86" s="72" t="n">
        <v>-9.33</v>
      </c>
      <c r="AY86" s="63" t="inlineStr">
        <is>
          <t>China Biotech ETF (HS biotech proxy)</t>
        </is>
      </c>
      <c r="AZ86" s="72" t="n">
        <v>0.34</v>
      </c>
      <c r="BA86" s="64" t="inlineStr">
        <is>
          <t>2026-08-28</t>
        </is>
      </c>
      <c r="BB86" s="65" t="n">
        <v>1017.9</v>
      </c>
      <c r="BC86" s="68" t="n">
        <v>-280.9</v>
      </c>
      <c r="BD86" s="63" t="inlineStr">
        <is>
          <t>N</t>
        </is>
      </c>
      <c r="BE86" s="63" t="inlineStr">
        <is>
          <t>n/m</t>
        </is>
      </c>
      <c r="BF86" s="74" t="n"/>
      <c r="BG86" s="74" t="n">
        <v>15.7</v>
      </c>
      <c r="BH86" s="74" t="n">
        <v>5.8</v>
      </c>
      <c r="BI86" s="75">
        <f>IF('BBG Verify'!S86="","not filed — run on terminal",'BBG Verify'!S86)</f>
        <v/>
      </c>
      <c r="BJ86" s="76" t="inlineStr">
        <is>
          <t>N</t>
        </is>
      </c>
      <c r="BK86" s="77">
        <f>IF('BBG Verify'!K86="","not filed — run on terminal",'BBG Verify'!K86)</f>
        <v/>
      </c>
      <c r="BL86" s="63" t="inlineStr">
        <is>
          <t>N/A</t>
        </is>
      </c>
      <c r="BM86" s="63" t="inlineStr">
        <is>
          <t>N/A</t>
        </is>
      </c>
      <c r="BN86" s="63" t="inlineStr">
        <is>
          <t>N/A</t>
        </is>
      </c>
      <c r="BO86" s="63" t="inlineStr">
        <is>
          <t>N/A</t>
        </is>
      </c>
      <c r="BP86" s="63" t="inlineStr">
        <is>
          <t>N/A</t>
        </is>
      </c>
      <c r="BQ86" s="63" t="inlineStr">
        <is>
          <t>N/A</t>
        </is>
      </c>
      <c r="BR86" s="76" t="inlineStr">
        <is>
          <t>Merrill Lynch (Asia Pacific) Limited; Haitong International Capital Limited; Haitong International Securities Company Limited</t>
        </is>
      </c>
      <c r="BS86" s="63" t="inlineStr">
        <is>
          <t>Haitong International Capital Limited; Merrill Lynch (Asia Pacific) Limited</t>
        </is>
      </c>
      <c r="BT86" s="63" t="inlineStr">
        <is>
          <t>Merrill Lynch (Asia Pacific) Limited; Haitong International Securities Company Limited; China International Capital Corporation Hong Kong Securities Limited; GF Securities (Hong Kong) Brokerage Limited; ICBC International Capital Limited</t>
        </is>
      </c>
      <c r="BU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V86" s="78">
        <f>HYPERLINK("https://www1.hkexnews.hk/listedco/listconews/sehk/2021/1130/2021113000025.pdf","prospectus")</f>
        <v/>
      </c>
      <c r="BW86" s="78">
        <f>HYPERLINK("https://www1.hkexnews.hk/listedco/listconews/sehk/2021/1209/2021120900040.htm","allotment")</f>
        <v/>
      </c>
      <c r="BX86" s="78">
        <f>HYPERLINK("https://www1.hkexnews.hk/listedco/listconews/sehk/2022/0103/2022010302918.pdf","stabilisation")</f>
        <v/>
      </c>
      <c r="BY86" s="76" t="n"/>
      <c r="BZ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72" t="n"/>
      <c r="AC87" s="66" t="n"/>
      <c r="AD87" s="72" t="n"/>
      <c r="AE87" s="63" t="n"/>
      <c r="AF87" s="63" t="inlineStr">
        <is>
          <t>partial</t>
        </is>
      </c>
      <c r="AG87" s="63" t="inlineStr">
        <is>
          <t>2022-01-02</t>
        </is>
      </c>
      <c r="AH87" s="63" t="inlineStr">
        <is>
          <t>Goldman Sachs</t>
        </is>
      </c>
      <c r="AI87" s="63" t="inlineStr">
        <is>
          <t>Goldman Sachs</t>
        </is>
      </c>
      <c r="AJ87" s="73" t="n">
        <v>-4.64</v>
      </c>
      <c r="AK87" s="72" t="n">
        <v>0</v>
      </c>
      <c r="AL87" s="72" t="n">
        <v>-4.64</v>
      </c>
      <c r="AM87" s="72" t="n">
        <v>-16.55</v>
      </c>
      <c r="AN87" s="72" t="n">
        <v>-32.27</v>
      </c>
      <c r="AO87" s="72" t="n">
        <v>-44.85</v>
      </c>
      <c r="AP87" s="72" t="n">
        <v>-12.49</v>
      </c>
      <c r="AQ87" s="72" t="n">
        <v>-28.97</v>
      </c>
      <c r="AR87" s="72" t="n">
        <v>-42.17</v>
      </c>
      <c r="AS87" s="72" t="n">
        <v>-10.21</v>
      </c>
      <c r="AT87" s="72" t="n">
        <v>-21.54</v>
      </c>
      <c r="AU87" s="72" t="n">
        <v>-7.14</v>
      </c>
      <c r="AV87" s="72" t="n">
        <v>-19.64</v>
      </c>
      <c r="AW87" s="72" t="n">
        <v>-10.73</v>
      </c>
      <c r="AX87" s="72" t="n">
        <v>-9.33</v>
      </c>
      <c r="AY87" s="63" t="inlineStr">
        <is>
          <t>China Biotech ETF (HS biotech proxy)</t>
        </is>
      </c>
      <c r="AZ87" s="72" t="n">
        <v>-56.12</v>
      </c>
      <c r="BA87" s="64" t="inlineStr">
        <is>
          <t>2026-08-31</t>
        </is>
      </c>
      <c r="BB87" s="65" t="n">
        <v>3450.4</v>
      </c>
      <c r="BC87" s="68" t="n">
        <v>791.7</v>
      </c>
      <c r="BD87" s="63" t="inlineStr">
        <is>
          <t>Y</t>
        </is>
      </c>
      <c r="BE87" s="74" t="n">
        <v>179.1</v>
      </c>
      <c r="BF87" s="74" t="n"/>
      <c r="BG87" s="74" t="n"/>
      <c r="BH87" s="74" t="n">
        <v>41.1</v>
      </c>
      <c r="BI87" s="75">
        <f>IF('BBG Verify'!S87="","not filed — run on terminal",'BBG Verify'!S87)</f>
        <v/>
      </c>
      <c r="BJ87" s="76" t="inlineStr">
        <is>
          <t>Y</t>
        </is>
      </c>
      <c r="BK87" s="63" t="inlineStr">
        <is>
          <t>002821.SZ</t>
        </is>
      </c>
      <c r="BL87" s="72" t="n">
        <v>50.64</v>
      </c>
      <c r="BM87" s="66" t="n">
        <v>584.465</v>
      </c>
      <c r="BN87" s="80" t="n">
        <v>0.5489000000000001</v>
      </c>
      <c r="BO87" s="68" t="n">
        <v>68006.89999999999</v>
      </c>
      <c r="BP87" s="75">
        <f>IF('BBG Verify'!Q87="","run on terminal",'BBG Verify'!Q87)</f>
        <v/>
      </c>
      <c r="BQ87" s="75">
        <f>IF('BBG Verify'!R87="","run on terminal",'BBG Verify'!R87)</f>
        <v/>
      </c>
      <c r="BR87" s="76" t="inlineStr">
        <is>
          <t>Goldman Sachs (Asia) L.L.C; CLSA Capital Markets Limited</t>
        </is>
      </c>
      <c r="BS87" s="63" t="inlineStr">
        <is>
          <t>Goldman Sachs (Asia) L.L.C.; CLSA Capital Markets Limited</t>
        </is>
      </c>
      <c r="BT87" s="63" t="inlineStr">
        <is>
          <t>Goldman Sachs (Asia) L.L.C; CLSA Limited; Credit Suisse (Hong Kong) Limited; Citigroup Global Markets Asia Limited; BOCOM International Securities Limited</t>
        </is>
      </c>
      <c r="BU87" s="63" t="inlineStr">
        <is>
          <t>Beta International Securities Limited; Citigroup Global Markets Asia Limited; CLSA Limited; Credit Suisse (Hong Kong) Limited; Guotai Junan Securities (Hong Kong) Limited; Goldman Sachs (Asia) L.L.C.</t>
        </is>
      </c>
      <c r="BV87" s="78">
        <f>HYPERLINK("https://www1.hkexnews.hk/listedco/listconews/sehk/2021/1130/2021113000029.pdf","prospectus")</f>
        <v/>
      </c>
      <c r="BW87" s="78">
        <f>HYPERLINK("https://www1.hkexnews.hk/listedco/listconews/sehk/2021/1209/2021120900056.htm","allotment")</f>
        <v/>
      </c>
      <c r="BX87" s="78">
        <f>HYPERLINK("https://www1.hkexnews.hk/listedco/listconews/sehk/2022/0102/2022010200055.pdf","stabilisation")</f>
        <v/>
      </c>
      <c r="BY87" s="76" t="n"/>
      <c r="BZ87" s="63" t="inlineStr">
        <is>
          <t>A/H: H listed Dec 2021 (CDMO)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72" t="n"/>
      <c r="AC88" s="66" t="n"/>
      <c r="AD88" s="72" t="n"/>
      <c r="AE88" s="63" t="n"/>
      <c r="AF88" s="63" t="inlineStr">
        <is>
          <t>partial</t>
        </is>
      </c>
      <c r="AG88" s="63" t="inlineStr">
        <is>
          <t>2022-01-05</t>
        </is>
      </c>
      <c r="AH88" s="63" t="inlineStr">
        <is>
          <t>Morgan Stanley Asia Limited</t>
        </is>
      </c>
      <c r="AI88" s="63" t="inlineStr">
        <is>
          <t>Morgan Stanley</t>
        </is>
      </c>
      <c r="AJ88" s="73" t="n">
        <v>5.06</v>
      </c>
      <c r="AK88" s="72" t="n">
        <v>-0.25</v>
      </c>
      <c r="AL88" s="72" t="n">
        <v>5.32</v>
      </c>
      <c r="AM88" s="72" t="n">
        <v>1.14</v>
      </c>
      <c r="AN88" s="72" t="n">
        <v>-17.34</v>
      </c>
      <c r="AO88" s="72" t="n">
        <v>-38.1</v>
      </c>
      <c r="AP88" s="72" t="n">
        <v>-3.73</v>
      </c>
      <c r="AQ88" s="72" t="n">
        <v>-21.32</v>
      </c>
      <c r="AR88" s="72" t="n">
        <v>-41.08</v>
      </c>
      <c r="AS88" s="72" t="n">
        <v>8.140000000000001</v>
      </c>
      <c r="AT88" s="72" t="n">
        <v>-9.119999999999999</v>
      </c>
      <c r="AU88" s="72" t="n">
        <v>-6.64</v>
      </c>
      <c r="AV88" s="72" t="n">
        <v>-14.88</v>
      </c>
      <c r="AW88" s="72" t="n">
        <v>-8.220000000000001</v>
      </c>
      <c r="AX88" s="72" t="n">
        <v>-6.44</v>
      </c>
      <c r="AY88" s="63" t="inlineStr">
        <is>
          <t>China Biotech ETF (HS biotech proxy)</t>
        </is>
      </c>
      <c r="AZ88" s="72" t="n">
        <v>-86.11</v>
      </c>
      <c r="BA88" s="64" t="inlineStr">
        <is>
          <t>2026-08-28</t>
        </is>
      </c>
      <c r="BB88" s="65" t="n">
        <v>1801.8</v>
      </c>
      <c r="BC88" s="68" t="n">
        <v>179.3</v>
      </c>
      <c r="BD88" s="63" t="inlineStr">
        <is>
          <t>Y</t>
        </is>
      </c>
      <c r="BE88" s="74" t="n">
        <v>45.8</v>
      </c>
      <c r="BF88" s="74" t="n"/>
      <c r="BG88" s="74" t="n">
        <v>14.9</v>
      </c>
      <c r="BH88" s="74" t="n">
        <v>4.6</v>
      </c>
      <c r="BI88" s="75">
        <f>IF('BBG Verify'!S88="","not filed — run on terminal",'BBG Verify'!S88)</f>
        <v/>
      </c>
      <c r="BJ88" s="76" t="inlineStr">
        <is>
          <t>N</t>
        </is>
      </c>
      <c r="BK88" s="77">
        <f>IF('BBG Verify'!K88="","not filed — run on terminal",'BBG Verify'!K88)</f>
        <v/>
      </c>
      <c r="BL88" s="63" t="inlineStr">
        <is>
          <t>N/A</t>
        </is>
      </c>
      <c r="BM88" s="63" t="inlineStr">
        <is>
          <t>N/A</t>
        </is>
      </c>
      <c r="BN88" s="63" t="inlineStr">
        <is>
          <t>N/A</t>
        </is>
      </c>
      <c r="BO88" s="63" t="inlineStr">
        <is>
          <t>N/A</t>
        </is>
      </c>
      <c r="BP88" s="63" t="inlineStr">
        <is>
          <t>N/A</t>
        </is>
      </c>
      <c r="BQ88" s="63" t="inlineStr">
        <is>
          <t>N/A</t>
        </is>
      </c>
      <c r="BR88" s="76" t="inlineStr">
        <is>
          <t>Morgan Stanley Asia Limited; China International Capital Corporation Hong Kong Securities Limited</t>
        </is>
      </c>
      <c r="BS88" s="63" t="inlineStr">
        <is>
          <t>China International Capital Corporation Hong Kong Securities Limited; Morgan Stanley Asia Limited</t>
        </is>
      </c>
      <c r="BT88" s="63" t="inlineStr">
        <is>
          <t>Morgan Stanley Asia Limited; China International Capital Corporation Hong Kong Securities Limited; Morgan Stanley &amp; Co. International plc</t>
        </is>
      </c>
      <c r="BU88" s="63" t="inlineStr">
        <is>
          <t>China International Capital Corporation Hong Kong Securities Limited; Morgan Stanley Asia Limited</t>
        </is>
      </c>
      <c r="BV88" s="78">
        <f>HYPERLINK("https://www1.hkexnews.hk/listedco/listconews/sehk/2021/1201/2021120100031.pdf","prospectus")</f>
        <v/>
      </c>
      <c r="BW88" s="78">
        <f>HYPERLINK("https://www1.hkexnews.hk/listedco/listconews/sehk/2021/1210/2021121000062.htm","allotment")</f>
        <v/>
      </c>
      <c r="BX88" s="78">
        <f>HYPERLINK("https://www1.hkexnews.hk/listedco/listconews/sehk/2022/0105/2022010502109.pdf","stabilisation")</f>
        <v/>
      </c>
      <c r="BY88" s="76" t="n"/>
      <c r="BZ88"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72" t="n"/>
      <c r="AC89" s="66" t="n"/>
      <c r="AD89" s="72" t="n"/>
      <c r="AE89" s="63" t="n"/>
      <c r="AF89" s="63" t="inlineStr">
        <is>
          <t>lapsed</t>
        </is>
      </c>
      <c r="AG89" s="63" t="n"/>
      <c r="AH89" s="63" t="inlineStr">
        <is>
          <t>China International Capital Corporation Hong Kong Securities Limited</t>
        </is>
      </c>
      <c r="AI89" s="63" t="inlineStr">
        <is>
          <t>China International</t>
        </is>
      </c>
      <c r="AJ89" s="73" t="n">
        <v>-9.26</v>
      </c>
      <c r="AK89" s="72" t="n">
        <v>-7.43</v>
      </c>
      <c r="AL89" s="72" t="n">
        <v>-1.98</v>
      </c>
      <c r="AM89" s="72" t="n">
        <v>-6.94</v>
      </c>
      <c r="AN89" s="72" t="n">
        <v>-19.85</v>
      </c>
      <c r="AO89" s="72" t="n">
        <v>-52.01</v>
      </c>
      <c r="AP89" s="72" t="n">
        <v>2.56</v>
      </c>
      <c r="AQ89" s="72" t="n">
        <v>-11.67</v>
      </c>
      <c r="AR89" s="72" t="n">
        <v>-47.11</v>
      </c>
      <c r="AS89" s="72" t="n">
        <v>-0.86</v>
      </c>
      <c r="AT89" s="72" t="n">
        <v>-18.45</v>
      </c>
      <c r="AU89" s="72" t="n">
        <v>-32.97</v>
      </c>
      <c r="AV89" s="72" t="n">
        <v>-11.55</v>
      </c>
      <c r="AW89" s="72" t="n">
        <v>-1.4</v>
      </c>
      <c r="AX89" s="72" t="n">
        <v>-0.12</v>
      </c>
      <c r="AY89" s="63" t="inlineStr">
        <is>
          <t>Hang Seng Commerce &amp; Industry sub-index</t>
        </is>
      </c>
      <c r="AZ89" s="72" t="n">
        <v>-50.09</v>
      </c>
      <c r="BA89" s="64" t="inlineStr">
        <is>
          <t>2026-08-28</t>
        </is>
      </c>
      <c r="BB89" s="65" t="n">
        <v>5327.7</v>
      </c>
      <c r="BC89" s="68" t="n">
        <v>-833.4</v>
      </c>
      <c r="BD89" s="63" t="inlineStr">
        <is>
          <t>N</t>
        </is>
      </c>
      <c r="BE89" s="63" t="inlineStr">
        <is>
          <t>n/m</t>
        </is>
      </c>
      <c r="BF89" s="74" t="n"/>
      <c r="BG89" s="74" t="n">
        <v>22.6</v>
      </c>
      <c r="BH89" s="74" t="n">
        <v>2.6</v>
      </c>
      <c r="BI89" s="75">
        <f>IF('BBG Verify'!S89="","not filed — run on terminal",'BBG Verify'!S89)</f>
        <v/>
      </c>
      <c r="BJ89" s="76" t="inlineStr">
        <is>
          <t>N</t>
        </is>
      </c>
      <c r="BK89" s="77">
        <f>IF('BBG Verify'!K89="","not filed — run on terminal",'BBG Verify'!K89)</f>
        <v/>
      </c>
      <c r="BL89" s="63" t="inlineStr">
        <is>
          <t>N/A</t>
        </is>
      </c>
      <c r="BM89" s="63" t="inlineStr">
        <is>
          <t>N/A</t>
        </is>
      </c>
      <c r="BN89" s="63" t="inlineStr">
        <is>
          <t>N/A</t>
        </is>
      </c>
      <c r="BO89" s="63" t="inlineStr">
        <is>
          <t>N/A</t>
        </is>
      </c>
      <c r="BP89" s="63" t="inlineStr">
        <is>
          <t>N/A</t>
        </is>
      </c>
      <c r="BQ89" s="63" t="inlineStr">
        <is>
          <t>N/A</t>
        </is>
      </c>
      <c r="BR89" s="76" t="inlineStr">
        <is>
          <t>China International Capital Corporation Hong Kong Securities Limited; Merrill Lynch (Asia Pacific) Limited</t>
        </is>
      </c>
      <c r="BS89" s="63" t="inlineStr">
        <is>
          <t>China International Capital Corporation Hong Kong Securities Limited; Merrill Lynch (Asia Pacific) Limited</t>
        </is>
      </c>
      <c r="BT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U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V89" s="78">
        <f>HYPERLINK("https://www1.hkexnews.hk/listedco/listconews/sehk/2021/1130/2021113000021.pdf","prospectus")</f>
        <v/>
      </c>
      <c r="BW89" s="78">
        <f>HYPERLINK("https://www1.hkexnews.hk/listedco/listconews/sehk/2021/1213/2021121300010.htm","allotment")</f>
        <v/>
      </c>
      <c r="BX89" s="78">
        <f>HYPERLINK("https://www1.hkexnews.hk/listedco/listconews/sehk/2022/0106/2022010601365.pdf","stabilisation")</f>
        <v/>
      </c>
      <c r="BY89" s="76" t="n"/>
      <c r="BZ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no grey-market headline on file for this deal — AAStocks publishes one per listing but keeps only recent items on the stock's news page, and no public archive of past evening sessions exists; captured from this run onward</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72" t="n"/>
      <c r="AC90" s="66" t="n"/>
      <c r="AD90" s="72" t="n"/>
      <c r="AE90" s="63" t="n"/>
      <c r="AF90" s="63" t="inlineStr">
        <is>
          <t>lapsed (no over-allocation)</t>
        </is>
      </c>
      <c r="AG90" s="63" t="inlineStr">
        <is>
          <t>2022-01-08</t>
        </is>
      </c>
      <c r="AH90" s="63" t="inlineStr">
        <is>
          <t>Guotai Junan Securities</t>
        </is>
      </c>
      <c r="AI90" s="63" t="inlineStr">
        <is>
          <t>Guotai Junan</t>
        </is>
      </c>
      <c r="AJ90" s="73" t="n">
        <v>2.02</v>
      </c>
      <c r="AK90" s="72" t="n">
        <v>-0.67</v>
      </c>
      <c r="AL90" s="72" t="n">
        <v>2.71</v>
      </c>
      <c r="AM90" s="72" t="n">
        <v>0.45</v>
      </c>
      <c r="AN90" s="72" t="n">
        <v>-2.69</v>
      </c>
      <c r="AO90" s="72" t="n">
        <v>4.48</v>
      </c>
      <c r="AP90" s="72" t="n">
        <v>-1.54</v>
      </c>
      <c r="AQ90" s="72" t="n">
        <v>-4.62</v>
      </c>
      <c r="AR90" s="72" t="n">
        <v>2.41</v>
      </c>
      <c r="AS90" s="72" t="n">
        <v>1.2</v>
      </c>
      <c r="AT90" s="72" t="n">
        <v>0.59</v>
      </c>
      <c r="AU90" s="72" t="n">
        <v>24.37</v>
      </c>
      <c r="AV90" s="72" t="n">
        <v>1.52</v>
      </c>
      <c r="AW90" s="72" t="n">
        <v>-3.28</v>
      </c>
      <c r="AX90" s="72" t="n">
        <v>-6.14</v>
      </c>
      <c r="AY90" s="63" t="inlineStr">
        <is>
          <t>China Biotech ETF (HS biotech proxy)</t>
        </is>
      </c>
      <c r="AZ90" s="72" t="n">
        <v>920.1799999999999</v>
      </c>
      <c r="BA90" s="64" t="inlineStr">
        <is>
          <t>2026-08-28</t>
        </is>
      </c>
      <c r="BB90" s="65" t="n">
        <v>13.5</v>
      </c>
      <c r="BC90" s="68" t="n">
        <v>-1.6</v>
      </c>
      <c r="BD90" s="63" t="inlineStr">
        <is>
          <t>N</t>
        </is>
      </c>
      <c r="BE90" s="63" t="inlineStr">
        <is>
          <t>n/m</t>
        </is>
      </c>
      <c r="BF90" s="74" t="n"/>
      <c r="BG90" s="74" t="n">
        <v>28.3</v>
      </c>
      <c r="BH90" s="74" t="n">
        <v>140.9</v>
      </c>
      <c r="BI90" s="75">
        <f>IF('BBG Verify'!S90="","not filed — run on terminal",'BBG Verify'!S90)</f>
        <v/>
      </c>
      <c r="BJ90" s="76" t="inlineStr">
        <is>
          <t>N</t>
        </is>
      </c>
      <c r="BK90" s="77">
        <f>IF('BBG Verify'!K90="","not filed — run on terminal",'BBG Verify'!K90)</f>
        <v/>
      </c>
      <c r="BL90" s="63" t="inlineStr">
        <is>
          <t>N/A</t>
        </is>
      </c>
      <c r="BM90" s="63" t="inlineStr">
        <is>
          <t>N/A</t>
        </is>
      </c>
      <c r="BN90" s="63" t="inlineStr">
        <is>
          <t>N/A</t>
        </is>
      </c>
      <c r="BO90" s="63" t="inlineStr">
        <is>
          <t>N/A</t>
        </is>
      </c>
      <c r="BP90" s="63" t="inlineStr">
        <is>
          <t>N/A</t>
        </is>
      </c>
      <c r="BQ90" s="63" t="inlineStr">
        <is>
          <t>N/A</t>
        </is>
      </c>
      <c r="BR90" s="76" t="inlineStr">
        <is>
          <t>Guotai Junan Capital Limited</t>
        </is>
      </c>
      <c r="BS90" s="63" t="inlineStr">
        <is>
          <t>Guotai Junan Capital Limited</t>
        </is>
      </c>
      <c r="BT90" s="63" t="inlineStr">
        <is>
          <t>Guotai Junan Securities (Hong Kong) Limited</t>
        </is>
      </c>
      <c r="BU90" s="63" t="inlineStr">
        <is>
          <t>Ever-Long Securities Company Limited; Guotai Junan Securities (Hong Kong) Limited; HTF Securities Limited; Merdeka Securities Limited</t>
        </is>
      </c>
      <c r="BV90" s="78">
        <f>HYPERLINK("https://www1.hkexnews.hk/listedco/listconews/sehk/2021/1130/2021113000017.pdf","prospectus")</f>
        <v/>
      </c>
      <c r="BW90" s="78">
        <f>HYPERLINK("https://www1.hkexnews.hk/listedco/listconews/sehk/2021/1215/2021121500014.htm","allotment")</f>
        <v/>
      </c>
      <c r="BX90" s="78">
        <f>HYPERLINK("https://www1.hkexnews.hk/listedco/listconews/sehk/2022/0109/2022010900013.pdf","stabilisation")</f>
        <v/>
      </c>
      <c r="BY90" s="76" t="n"/>
      <c r="BZ90" s="63" t="inlineStr">
        <is>
          <t>P/E: n/m — loss-making at IPO (use P/S)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72" t="n"/>
      <c r="AC91" s="66" t="n"/>
      <c r="AD91" s="72" t="n"/>
      <c r="AE91" s="63" t="n"/>
      <c r="AF91" s="63" t="inlineStr">
        <is>
          <t>partial</t>
        </is>
      </c>
      <c r="AG91" s="63" t="inlineStr">
        <is>
          <t>2022-01-08</t>
        </is>
      </c>
      <c r="AH91" s="63" t="inlineStr">
        <is>
          <t>China International Capital Corporation Hong Kong Securities Limited</t>
        </is>
      </c>
      <c r="AI91" s="63" t="inlineStr">
        <is>
          <t>China International</t>
        </is>
      </c>
      <c r="AJ91" s="73" t="n">
        <v>-4.64</v>
      </c>
      <c r="AK91" s="72" t="n">
        <v>-8.93</v>
      </c>
      <c r="AL91" s="72" t="n">
        <v>4.71</v>
      </c>
      <c r="AM91" s="72" t="n">
        <v>-4.46</v>
      </c>
      <c r="AN91" s="72" t="n">
        <v>-21.34</v>
      </c>
      <c r="AO91" s="72" t="n">
        <v>-61.88</v>
      </c>
      <c r="AP91" s="72" t="n">
        <v>0.19</v>
      </c>
      <c r="AQ91" s="72" t="n">
        <v>-17.51</v>
      </c>
      <c r="AR91" s="72" t="n">
        <v>-60.03</v>
      </c>
      <c r="AS91" s="72" t="n">
        <v>-3.49</v>
      </c>
      <c r="AT91" s="72" t="n">
        <v>-24.74</v>
      </c>
      <c r="AU91" s="72" t="n">
        <v>-52.49</v>
      </c>
      <c r="AV91" s="72" t="n">
        <v>-20.67</v>
      </c>
      <c r="AW91" s="72" t="n">
        <v>3.4</v>
      </c>
      <c r="AX91" s="72" t="n">
        <v>3.16</v>
      </c>
      <c r="AY91" s="63" t="inlineStr">
        <is>
          <t>Hang Seng Index</t>
        </is>
      </c>
      <c r="AZ91" s="72" t="n">
        <v>-71.61</v>
      </c>
      <c r="BA91" s="64" t="inlineStr">
        <is>
          <t>2026-08-28</t>
        </is>
      </c>
      <c r="BB91" s="65" t="n">
        <v>1349.6</v>
      </c>
      <c r="BC91" s="68" t="n">
        <v>124.6</v>
      </c>
      <c r="BD91" s="63" t="inlineStr">
        <is>
          <t>Y</t>
        </is>
      </c>
      <c r="BE91" s="74" t="n">
        <v>61.6</v>
      </c>
      <c r="BF91" s="74" t="n"/>
      <c r="BG91" s="74" t="n">
        <v>14.8</v>
      </c>
      <c r="BH91" s="74" t="n">
        <v>5.7</v>
      </c>
      <c r="BI91" s="75">
        <f>IF('BBG Verify'!S91="","not filed — run on terminal",'BBG Verify'!S91)</f>
        <v/>
      </c>
      <c r="BJ91" s="76" t="inlineStr">
        <is>
          <t>N</t>
        </is>
      </c>
      <c r="BK91" s="77">
        <f>IF('BBG Verify'!K91="","not filed — run on terminal",'BBG Verify'!K91)</f>
        <v/>
      </c>
      <c r="BL91" s="63" t="inlineStr">
        <is>
          <t>N/A</t>
        </is>
      </c>
      <c r="BM91" s="63" t="inlineStr">
        <is>
          <t>N/A</t>
        </is>
      </c>
      <c r="BN91" s="63" t="inlineStr">
        <is>
          <t>N/A</t>
        </is>
      </c>
      <c r="BO91" s="63" t="inlineStr">
        <is>
          <t>N/A</t>
        </is>
      </c>
      <c r="BP91" s="63" t="inlineStr">
        <is>
          <t>N/A</t>
        </is>
      </c>
      <c r="BQ91" s="63" t="inlineStr">
        <is>
          <t>N/A</t>
        </is>
      </c>
      <c r="BR91" s="76" t="inlineStr">
        <is>
          <t>China International Capital Corporation Hong Kong Securities Limited; CLSA Capital Markets Limited; CLSA Limited</t>
        </is>
      </c>
      <c r="BS91" s="63" t="inlineStr">
        <is>
          <t>China International Capital Corporation Hong Kong Securities Limited; CLSA Capital Markets Limited</t>
        </is>
      </c>
      <c r="BT91" s="63" t="inlineStr">
        <is>
          <t>China International Capital Corporation Hong Kong Securities Limited; CLSA Limited; China Merchants Securities (HK) Co., Limited; (Below in alphabetical order) ABCI Capital Limited; Guotai Junan Securities (Hong Kong) Limited; Valuable Capital Limited</t>
        </is>
      </c>
      <c r="BU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V91" s="78">
        <f>HYPERLINK("https://www1.hkexnews.hk/listedco/listconews/sehk/2021/1206/2021120600013.pdf","prospectus")</f>
        <v/>
      </c>
      <c r="BW91" s="78">
        <f>HYPERLINK("https://www1.hkexnews.hk/listedco/listconews/sehk/2021/1215/2021121500032.htm","allotment")</f>
        <v/>
      </c>
      <c r="BX91" s="78">
        <f>HYPERLINK("https://www1.hkexnews.hk/listedco/listconews/sehk/2022/0110/2022011000737.pdf","stabilisation")</f>
        <v/>
      </c>
      <c r="BY91" s="76" t="n"/>
      <c r="BZ91"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72" t="n"/>
      <c r="AC92" s="66" t="n"/>
      <c r="AD92" s="72" t="n"/>
      <c r="AE92" s="63" t="n"/>
      <c r="AF92" s="63" t="inlineStr">
        <is>
          <t>partial</t>
        </is>
      </c>
      <c r="AG92" s="63" t="inlineStr">
        <is>
          <t>2022-01-06</t>
        </is>
      </c>
      <c r="AH92" s="63" t="inlineStr">
        <is>
          <t>Shenwan Hongyuan Securities</t>
        </is>
      </c>
      <c r="AI92" s="63" t="inlineStr">
        <is>
          <t>Shenwan Hongyuan</t>
        </is>
      </c>
      <c r="AJ92" s="73" t="n">
        <v>-5.41</v>
      </c>
      <c r="AK92" s="72" t="n">
        <v>4.5</v>
      </c>
      <c r="AL92" s="72" t="n">
        <v>-9.48</v>
      </c>
      <c r="AM92" s="72" t="n">
        <v>0</v>
      </c>
      <c r="AN92" s="72" t="n">
        <v>-1.8</v>
      </c>
      <c r="AO92" s="72" t="n">
        <v>-0.9</v>
      </c>
      <c r="AP92" s="72" t="n">
        <v>5.72</v>
      </c>
      <c r="AQ92" s="72" t="n">
        <v>3.82</v>
      </c>
      <c r="AR92" s="72" t="n">
        <v>4.77</v>
      </c>
      <c r="AS92" s="72" t="n">
        <v>0.83</v>
      </c>
      <c r="AT92" s="72" t="n">
        <v>-3.13</v>
      </c>
      <c r="AU92" s="72" t="n">
        <v>-2.05</v>
      </c>
      <c r="AV92" s="72" t="n">
        <v>2.14</v>
      </c>
      <c r="AW92" s="72" t="n">
        <v>1.33</v>
      </c>
      <c r="AX92" s="72" t="n">
        <v>1.68</v>
      </c>
      <c r="AY92" s="63" t="inlineStr">
        <is>
          <t>Hang Seng Properties sub-index</t>
        </is>
      </c>
      <c r="AZ92" s="72" t="n">
        <v>539.64</v>
      </c>
      <c r="BA92" s="64" t="inlineStr">
        <is>
          <t>2026-08-28</t>
        </is>
      </c>
      <c r="BB92" s="65" t="n">
        <v>61.3</v>
      </c>
      <c r="BC92" s="68" t="n">
        <v>47.2</v>
      </c>
      <c r="BD92" s="63" t="inlineStr">
        <is>
          <t>Y</t>
        </is>
      </c>
      <c r="BE92" s="74" t="n">
        <v>14</v>
      </c>
      <c r="BF92" s="74" t="n"/>
      <c r="BG92" s="74" t="n">
        <v>104.3</v>
      </c>
      <c r="BH92" s="74" t="n">
        <v>10.8</v>
      </c>
      <c r="BI92" s="75">
        <f>IF('BBG Verify'!S92="","not filed — run on terminal",'BBG Verify'!S92)</f>
        <v/>
      </c>
      <c r="BJ92" s="76" t="inlineStr">
        <is>
          <t>N</t>
        </is>
      </c>
      <c r="BK92" s="77">
        <f>IF('BBG Verify'!K92="","not filed — run on terminal",'BBG Verify'!K92)</f>
        <v/>
      </c>
      <c r="BL92" s="63" t="inlineStr">
        <is>
          <t>N/A</t>
        </is>
      </c>
      <c r="BM92" s="63" t="inlineStr">
        <is>
          <t>N/A</t>
        </is>
      </c>
      <c r="BN92" s="63" t="inlineStr">
        <is>
          <t>N/A</t>
        </is>
      </c>
      <c r="BO92" s="63" t="inlineStr">
        <is>
          <t>N/A</t>
        </is>
      </c>
      <c r="BP92" s="63" t="inlineStr">
        <is>
          <t>N/A</t>
        </is>
      </c>
      <c r="BQ92" s="63" t="inlineStr">
        <is>
          <t>N/A</t>
        </is>
      </c>
      <c r="BR92" s="76" t="inlineStr">
        <is>
          <t>Shenwan Hongyuan Capital (H.K.) Limited</t>
        </is>
      </c>
      <c r="BS92" s="63" t="inlineStr">
        <is>
          <t>Shenwan Hongyuan Capital (H.K.) Limited</t>
        </is>
      </c>
      <c r="BT92" s="63" t="inlineStr">
        <is>
          <t>Shenwan Hongyuan Securities (H.K.) Limited; China Everbright Securities (HK) Limited; Guosen Securities (HK) Capital Company Limited; Livermore Holdings Limited; CMBC Securities Company Limited; SPDB International Capital Limited; ZMF Asset Management Limited</t>
        </is>
      </c>
      <c r="BU92" s="63" t="inlineStr">
        <is>
          <t>China Everbright Securities (HK) Limited; CMBC Securities Company Limited; Guosen Securities (HK) Capital Company Limited; Livermore Holdings Limited; Shenwan Hongyuan Securities (H.K.) Limited; SPDB International Capital Limited; ZMF Asset Management Limited</t>
        </is>
      </c>
      <c r="BV92" s="78">
        <f>HYPERLINK("https://www1.hkexnews.hk/listedco/listconews/sehk/2021/1130/2021113000045.pdf","prospectus")</f>
        <v/>
      </c>
      <c r="BW92" s="78">
        <f>HYPERLINK("https://www1.hkexnews.hk/listedco/listconews/sehk/2021/1216/2021121600022.htm","allotment")</f>
        <v/>
      </c>
      <c r="BX92" s="78">
        <f>HYPERLINK("https://www1.hkexnews.hk/listedco/listconews/sehk/2022/0106/2022010601685.pdf","stabilisation")</f>
        <v/>
      </c>
      <c r="BY92" s="76" t="n"/>
      <c r="BZ92"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72" t="n"/>
      <c r="AC93" s="66" t="n"/>
      <c r="AD93" s="72" t="n"/>
      <c r="AE93" s="63" t="n"/>
      <c r="AF93" s="63" t="inlineStr">
        <is>
          <t>lapsed</t>
        </is>
      </c>
      <c r="AG93" s="63" t="n"/>
      <c r="AH93" s="63" t="inlineStr">
        <is>
          <t>Huatai Financial Holdings</t>
        </is>
      </c>
      <c r="AI93" s="63" t="inlineStr">
        <is>
          <t>Huatai</t>
        </is>
      </c>
      <c r="AJ93" s="73" t="n">
        <v>-5.41</v>
      </c>
      <c r="AK93" s="72" t="n">
        <v>-11.15</v>
      </c>
      <c r="AL93" s="72" t="n">
        <v>6.46</v>
      </c>
      <c r="AM93" s="72" t="n">
        <v>27.29</v>
      </c>
      <c r="AN93" s="72" t="n">
        <v>37.18</v>
      </c>
      <c r="AO93" s="72" t="n">
        <v>110.82</v>
      </c>
      <c r="AP93" s="72" t="n">
        <v>34.57</v>
      </c>
      <c r="AQ93" s="72" t="n">
        <v>45.03</v>
      </c>
      <c r="AR93" s="72" t="n">
        <v>122.88</v>
      </c>
      <c r="AS93" s="72" t="n">
        <v>27.61</v>
      </c>
      <c r="AT93" s="72" t="n">
        <v>45.84</v>
      </c>
      <c r="AU93" s="72" t="n">
        <v>131.04</v>
      </c>
      <c r="AV93" s="72" t="n">
        <v>52.54</v>
      </c>
      <c r="AW93" s="72" t="n">
        <v>-8.66</v>
      </c>
      <c r="AX93" s="72" t="n">
        <v>-7.51</v>
      </c>
      <c r="AY93" s="63" t="inlineStr">
        <is>
          <t>China Biotech ETF (HS biotech proxy)</t>
        </is>
      </c>
      <c r="AZ93" s="72" t="n">
        <v>-90.87</v>
      </c>
      <c r="BA93" s="64" t="inlineStr">
        <is>
          <t>2026-08-28</t>
        </is>
      </c>
      <c r="BB93" s="65" t="n">
        <v>67.90000000000001</v>
      </c>
      <c r="BC93" s="68" t="n">
        <v>-15</v>
      </c>
      <c r="BD93" s="63" t="inlineStr">
        <is>
          <t>N</t>
        </is>
      </c>
      <c r="BE93" s="63" t="inlineStr">
        <is>
          <t>n/m</t>
        </is>
      </c>
      <c r="BF93" s="74" t="n"/>
      <c r="BG93" s="74" t="n"/>
      <c r="BH93" s="74" t="n">
        <v>67.40000000000001</v>
      </c>
      <c r="BI93" s="75">
        <f>IF('BBG Verify'!S93="","not filed — run on terminal",'BBG Verify'!S93)</f>
        <v/>
      </c>
      <c r="BJ93" s="76" t="inlineStr">
        <is>
          <t>N</t>
        </is>
      </c>
      <c r="BK93" s="77">
        <f>IF('BBG Verify'!K93="","not filed — run on terminal",'BBG Verify'!K93)</f>
        <v/>
      </c>
      <c r="BL93" s="63" t="inlineStr">
        <is>
          <t>N/A</t>
        </is>
      </c>
      <c r="BM93" s="63" t="inlineStr">
        <is>
          <t>N/A</t>
        </is>
      </c>
      <c r="BN93" s="63" t="inlineStr">
        <is>
          <t>N/A</t>
        </is>
      </c>
      <c r="BO93" s="63" t="inlineStr">
        <is>
          <t>N/A</t>
        </is>
      </c>
      <c r="BP93" s="63" t="inlineStr">
        <is>
          <t>N/A</t>
        </is>
      </c>
      <c r="BQ93" s="63" t="inlineStr">
        <is>
          <t>N/A</t>
        </is>
      </c>
      <c r="BR93" s="76" t="inlineStr">
        <is>
          <t>Huatai Financial Holdings (Hong Kong) Limited</t>
        </is>
      </c>
      <c r="BS93" s="63" t="inlineStr">
        <is>
          <t>Huatai Financial Holdings (Hong Kong) Limited</t>
        </is>
      </c>
      <c r="BT93" s="63" t="inlineStr">
        <is>
          <t>Huatai Financial Holdings (Hong Kong) Limited</t>
        </is>
      </c>
      <c r="BU93" s="63" t="inlineStr">
        <is>
          <t>Huatai Financial Holdings (Hong Kong) Limited</t>
        </is>
      </c>
      <c r="BV93" s="78">
        <f>HYPERLINK("https://www1.hkexnews.hk/listedco/listconews/sehk/2021/1213/2021121300025.pdf","prospectus")</f>
        <v/>
      </c>
      <c r="BW93" s="78">
        <f>HYPERLINK("https://www1.hkexnews.hk/listedco/listconews/sehk/2021/1222/2021122200010.htm","allotment")</f>
        <v/>
      </c>
      <c r="BX93" s="78">
        <f>HYPERLINK("https://www1.hkexnews.hk/listedco/listconews/sehk/2022/0117/2022011700011.pdf","stabilisation")</f>
        <v/>
      </c>
      <c r="BY93" s="76" t="n"/>
      <c r="BZ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no grey-market headline on file for this deal — AAStocks publishes one per listing but keeps only recent items on the stock's news page, and no public archive of past evening sessions exists; captured from this run onward</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72" t="n"/>
      <c r="AC94" s="66" t="n"/>
      <c r="AD94" s="72" t="n"/>
      <c r="AE94" s="63" t="n"/>
      <c r="AF94" s="63" t="inlineStr">
        <is>
          <t>full</t>
        </is>
      </c>
      <c r="AG94" s="63" t="inlineStr">
        <is>
          <t>2022-01-21</t>
        </is>
      </c>
      <c r="AH94" s="63" t="n"/>
      <c r="AI94" s="63" t="n"/>
      <c r="AJ94" s="73" t="n">
        <v>28.44</v>
      </c>
      <c r="AK94" s="72" t="n">
        <v>18.81</v>
      </c>
      <c r="AL94" s="72" t="n">
        <v>8.109999999999999</v>
      </c>
      <c r="AM94" s="72" t="n">
        <v>27.98</v>
      </c>
      <c r="AN94" s="72" t="n">
        <v>28.9</v>
      </c>
      <c r="AO94" s="72" t="n">
        <v>27.06</v>
      </c>
      <c r="AP94" s="72" t="n">
        <v>-0.36</v>
      </c>
      <c r="AQ94" s="72" t="n">
        <v>0.36</v>
      </c>
      <c r="AR94" s="72" t="n">
        <v>-1.07</v>
      </c>
      <c r="AS94" s="72" t="n">
        <v>28.96</v>
      </c>
      <c r="AT94" s="72" t="n">
        <v>30.61</v>
      </c>
      <c r="AU94" s="72" t="n">
        <v>38.55</v>
      </c>
      <c r="AV94" s="72" t="n">
        <v>2.31</v>
      </c>
      <c r="AW94" s="72" t="n">
        <v>-1.71</v>
      </c>
      <c r="AX94" s="72" t="n">
        <v>-1.95</v>
      </c>
      <c r="AY94" s="63" t="inlineStr">
        <is>
          <t>Hang Seng Commerce &amp; Industry sub-index</t>
        </is>
      </c>
      <c r="AZ94" s="72" t="n">
        <v>-54.2</v>
      </c>
      <c r="BA94" s="64" t="inlineStr">
        <is>
          <t>2026-08-28</t>
        </is>
      </c>
      <c r="BB94" s="65" t="n">
        <v>9367</v>
      </c>
      <c r="BC94" s="68" t="n">
        <v>377.4</v>
      </c>
      <c r="BD94" s="63" t="inlineStr">
        <is>
          <t>Y</t>
        </is>
      </c>
      <c r="BE94" s="74" t="n">
        <v>47.8</v>
      </c>
      <c r="BF94" s="74" t="n">
        <v>26</v>
      </c>
      <c r="BG94" s="74" t="n">
        <v>12.5</v>
      </c>
      <c r="BH94" s="74" t="n">
        <v>1.9</v>
      </c>
      <c r="BI94" s="75">
        <f>IF('BBG Verify'!S94="","not filed — run on terminal",'BBG Verify'!S94)</f>
        <v/>
      </c>
      <c r="BJ94" s="76" t="inlineStr">
        <is>
          <t>N</t>
        </is>
      </c>
      <c r="BK94" s="77">
        <f>IF('BBG Verify'!K94="","not filed — run on terminal",'BBG Verify'!K94)</f>
        <v/>
      </c>
      <c r="BL94" s="63" t="inlineStr">
        <is>
          <t>N/A</t>
        </is>
      </c>
      <c r="BM94" s="63" t="inlineStr">
        <is>
          <t>N/A</t>
        </is>
      </c>
      <c r="BN94" s="63" t="inlineStr">
        <is>
          <t>N/A</t>
        </is>
      </c>
      <c r="BO94" s="63" t="inlineStr">
        <is>
          <t>N/A</t>
        </is>
      </c>
      <c r="BP94" s="63" t="inlineStr">
        <is>
          <t>N/A</t>
        </is>
      </c>
      <c r="BQ94" s="63" t="inlineStr">
        <is>
          <t>N/A</t>
        </is>
      </c>
      <c r="BR94" s="76" t="inlineStr">
        <is>
          <t>China International Capital Corporation Hong Kong Securities Limited; Citigroup Global Markets Asia Limited</t>
        </is>
      </c>
      <c r="BS94" s="63" t="inlineStr">
        <is>
          <t>China International Capital Corporation Hong Kong Securities Limited; Citigroup Global Markets Asia Limited</t>
        </is>
      </c>
      <c r="BT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U94" s="63" t="inlineStr">
        <is>
          <t>Beta International Securities Limited; Citigroup Global Markets Asia Limited; China International Capital Corporation Hong Kong Securities Limited; CMB International Capital Limited; The Hongkong and Shanghai Banking Corporation Limited</t>
        </is>
      </c>
      <c r="BV94" s="78">
        <f>HYPERLINK("https://www1.hkexnews.hk/listedco/listconews/sehk/2021/1217/2021121700005.pdf","prospectus")</f>
        <v/>
      </c>
      <c r="BW94" s="78">
        <f>HYPERLINK("https://www1.hkexnews.hk/listedco/listconews/sehk/2021/1229/2021122900020.htm","allotment")</f>
        <v/>
      </c>
      <c r="BX94" s="78">
        <f>HYPERLINK("https://www1.hkexnews.hk/listedco/listconews/sehk/2022/0121/2022012101124.pdf","stabilisation")</f>
        <v/>
      </c>
      <c r="BY94" s="76" t="n"/>
      <c r="BZ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72" t="n"/>
      <c r="AC95" s="66" t="n"/>
      <c r="AD95" s="72" t="n"/>
      <c r="AE95" s="63" t="n"/>
      <c r="AF95" s="63" t="inlineStr">
        <is>
          <t>partial</t>
        </is>
      </c>
      <c r="AG95" s="63" t="inlineStr">
        <is>
          <t>2022-01-22</t>
        </is>
      </c>
      <c r="AH95" s="63" t="inlineStr">
        <is>
          <t>China International Capital Corporation Hong Kong Securities Limited</t>
        </is>
      </c>
      <c r="AI95" s="63" t="inlineStr">
        <is>
          <t>China International</t>
        </is>
      </c>
      <c r="AJ95" s="73" t="n">
        <v>18.21</v>
      </c>
      <c r="AK95" s="72" t="n">
        <v>0</v>
      </c>
      <c r="AL95" s="72" t="n">
        <v>18.21</v>
      </c>
      <c r="AM95" s="72" t="n">
        <v>20.03</v>
      </c>
      <c r="AN95" s="72" t="n">
        <v>11.53</v>
      </c>
      <c r="AO95" s="72" t="n">
        <v>22.31</v>
      </c>
      <c r="AP95" s="72" t="n">
        <v>1.54</v>
      </c>
      <c r="AQ95" s="72" t="n">
        <v>-5.65</v>
      </c>
      <c r="AR95" s="72" t="n">
        <v>3.47</v>
      </c>
      <c r="AS95" s="72" t="n">
        <v>25.37</v>
      </c>
      <c r="AT95" s="72" t="n">
        <v>28.3</v>
      </c>
      <c r="AU95" s="72" t="n">
        <v>41.81</v>
      </c>
      <c r="AV95" s="72" t="n">
        <v>12.03</v>
      </c>
      <c r="AW95" s="72" t="n">
        <v>-16.77</v>
      </c>
      <c r="AX95" s="72" t="n">
        <v>-17.68</v>
      </c>
      <c r="AY95" s="63" t="inlineStr">
        <is>
          <t>China Biotech ETF (HS biotech proxy)</t>
        </is>
      </c>
      <c r="AZ95" s="72" t="n">
        <v>-94.01000000000001</v>
      </c>
      <c r="BA95" s="64" t="inlineStr">
        <is>
          <t>2026-08-28</t>
        </is>
      </c>
      <c r="BB95" s="65" t="n">
        <v>0</v>
      </c>
      <c r="BC95" s="68" t="n">
        <v>-361.9</v>
      </c>
      <c r="BD95" s="63" t="inlineStr">
        <is>
          <t>N</t>
        </is>
      </c>
      <c r="BE95" s="63" t="inlineStr">
        <is>
          <t>n/m</t>
        </is>
      </c>
      <c r="BF95" s="74" t="n"/>
      <c r="BG95" s="74" t="n"/>
      <c r="BH95" s="63" t="inlineStr">
        <is>
          <t>pre-rev</t>
        </is>
      </c>
      <c r="BI95" s="75">
        <f>IF('BBG Verify'!S95="","not filed — run on terminal",'BBG Verify'!S95)</f>
        <v/>
      </c>
      <c r="BJ95" s="76" t="inlineStr">
        <is>
          <t>N</t>
        </is>
      </c>
      <c r="BK95" s="77">
        <f>IF('BBG Verify'!K95="","not filed — run on terminal",'BBG Verify'!K95)</f>
        <v/>
      </c>
      <c r="BL95" s="63" t="inlineStr">
        <is>
          <t>N/A</t>
        </is>
      </c>
      <c r="BM95" s="63" t="inlineStr">
        <is>
          <t>N/A</t>
        </is>
      </c>
      <c r="BN95" s="63" t="inlineStr">
        <is>
          <t>N/A</t>
        </is>
      </c>
      <c r="BO95" s="63" t="inlineStr">
        <is>
          <t>N/A</t>
        </is>
      </c>
      <c r="BP95" s="63" t="inlineStr">
        <is>
          <t>N/A</t>
        </is>
      </c>
      <c r="BQ95" s="63" t="inlineStr">
        <is>
          <t>N/A</t>
        </is>
      </c>
      <c r="BR95" s="76" t="n"/>
      <c r="BS95" s="63" t="inlineStr">
        <is>
          <t>China International Capital Corporation Hong Kong Securities Limited</t>
        </is>
      </c>
      <c r="BT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V95" s="78">
        <f>HYPERLINK("https://www1.hkexnews.hk/listedco/listconews/sehk/2021/1220/2021122000014.htm","prospectus")</f>
        <v/>
      </c>
      <c r="BW95" s="78">
        <f>HYPERLINK("https://www1.hkexnews.hk/listedco/listconews/sehk/2021/1229/2021122900046.htm","allotment")</f>
        <v/>
      </c>
      <c r="BX95" s="78">
        <f>HYPERLINK("https://www1.hkexnews.hk/listedco/listconews/sehk/2022/0123/2022012300079.pdf","stabilisation")</f>
        <v/>
      </c>
      <c r="BY95" s="76" t="n"/>
      <c r="BZ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no grey-market headline on file for this deal — AAStocks publishes one per listing but keeps only recent items on the stock's news page, and no public archive of past evening sessions exists; captured from this run onward</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72" t="n"/>
      <c r="AC96" s="66" t="n"/>
      <c r="AD96" s="72" t="n"/>
      <c r="AE96" s="63" t="n"/>
      <c r="AF96" s="63" t="n"/>
      <c r="AG96" s="63" t="inlineStr">
        <is>
          <t>2022-01-22</t>
        </is>
      </c>
      <c r="AH96" s="63" t="inlineStr">
        <is>
          <t>China International Capital Corporation Hong Kong Securities Limited</t>
        </is>
      </c>
      <c r="AI96" s="63" t="inlineStr">
        <is>
          <t>China International</t>
        </is>
      </c>
      <c r="AJ96" s="73" t="n">
        <v>7.27</v>
      </c>
      <c r="AK96" s="72" t="n">
        <v>1.56</v>
      </c>
      <c r="AL96" s="72" t="n">
        <v>5.62</v>
      </c>
      <c r="AM96" s="72" t="n">
        <v>106.49</v>
      </c>
      <c r="AN96" s="72" t="n">
        <v>64.16</v>
      </c>
      <c r="AO96" s="72" t="n">
        <v>58.96</v>
      </c>
      <c r="AP96" s="72" t="n">
        <v>92.5</v>
      </c>
      <c r="AQ96" s="72" t="n">
        <v>53.03</v>
      </c>
      <c r="AR96" s="72" t="n">
        <v>48.19</v>
      </c>
      <c r="AS96" s="72" t="n">
        <v>107.69</v>
      </c>
      <c r="AT96" s="72" t="n">
        <v>67.31</v>
      </c>
      <c r="AU96" s="72" t="n">
        <v>75.63</v>
      </c>
      <c r="AV96" s="72" t="n">
        <v>56.45</v>
      </c>
      <c r="AW96" s="72" t="n">
        <v>-3.15</v>
      </c>
      <c r="AX96" s="72" t="n">
        <v>-3.42</v>
      </c>
      <c r="AY96" s="63" t="inlineStr">
        <is>
          <t>HSTECH (Hang Seng TECH ETF)</t>
        </is>
      </c>
      <c r="AZ96" s="72" t="n">
        <v>-61.56</v>
      </c>
      <c r="BA96" s="64" t="inlineStr">
        <is>
          <t>2026-08-28</t>
        </is>
      </c>
      <c r="BB96" s="65" t="n">
        <v>5170.3</v>
      </c>
      <c r="BC96" s="68" t="n">
        <v>-18854.1</v>
      </c>
      <c r="BD96" s="63" t="inlineStr">
        <is>
          <t>N</t>
        </is>
      </c>
      <c r="BE96" s="63" t="inlineStr">
        <is>
          <t>n/m</t>
        </is>
      </c>
      <c r="BF96" s="74" t="n"/>
      <c r="BG96" s="74" t="n"/>
      <c r="BH96" s="74" t="n">
        <v>25.4</v>
      </c>
      <c r="BI96" s="75">
        <f>IF('BBG Verify'!S96="","not filed — run on terminal",'BBG Verify'!S96)</f>
        <v/>
      </c>
      <c r="BJ96" s="76" t="inlineStr">
        <is>
          <t>N</t>
        </is>
      </c>
      <c r="BK96" s="77">
        <f>IF('BBG Verify'!K96="","not filed — run on terminal",'BBG Verify'!K96)</f>
        <v/>
      </c>
      <c r="BL96" s="63" t="inlineStr">
        <is>
          <t>N/A</t>
        </is>
      </c>
      <c r="BM96" s="63" t="inlineStr">
        <is>
          <t>N/A</t>
        </is>
      </c>
      <c r="BN96" s="63" t="inlineStr">
        <is>
          <t>N/A</t>
        </is>
      </c>
      <c r="BO96" s="63" t="inlineStr">
        <is>
          <t>N/A</t>
        </is>
      </c>
      <c r="BP96" s="63" t="inlineStr">
        <is>
          <t>N/A</t>
        </is>
      </c>
      <c r="BQ96" s="63" t="inlineStr">
        <is>
          <t>N/A</t>
        </is>
      </c>
      <c r="BR96" s="76" t="inlineStr">
        <is>
          <t>CICC; Haitong International; HSBC</t>
        </is>
      </c>
      <c r="BS96" s="63" t="inlineStr">
        <is>
          <t>China International Capital Corporation Hong Kong Securities Limited; Haitong International Capital Limited; The Hongkong and Shanghai Banking Corporation Limited; HSBC Corporate Finance (Hong Kong) Limited</t>
        </is>
      </c>
      <c r="BT96" s="63" t="inlineStr">
        <is>
          <t>ABCI Securities Company Limited; BOCI Asia Limited; CCB International Capital Limited; China International Capital Corporation Hong Kong Securities Limited; CMB International Capital Limited; China Merchants Securities (HK) Company Limited</t>
        </is>
      </c>
      <c r="BU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V96" s="63" t="n"/>
      <c r="BW96" s="78">
        <f>HYPERLINK("https://www1.hkexnews.hk/listedco/listconews/sehk/2021/1229/2021122900058.htm","allotment")</f>
        <v/>
      </c>
      <c r="BX96" s="63" t="n"/>
      <c r="BY96" s="76" t="n"/>
      <c r="BZ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72" t="n"/>
      <c r="AC97" s="66" t="n"/>
      <c r="AD97" s="72" t="n"/>
      <c r="AE97" s="63" t="n"/>
      <c r="AF97" s="63" t="inlineStr">
        <is>
          <t>partial</t>
        </is>
      </c>
      <c r="AG97" s="63" t="n"/>
      <c r="AH97" s="63" t="inlineStr">
        <is>
          <t>CMBC Securities Company Limited</t>
        </is>
      </c>
      <c r="AI97" s="63" t="inlineStr">
        <is>
          <t>CMBC</t>
        </is>
      </c>
      <c r="AJ97" s="73" t="n">
        <v>0.82</v>
      </c>
      <c r="AK97" s="72" t="n">
        <v>4.1</v>
      </c>
      <c r="AL97" s="72" t="n">
        <v>-3.15</v>
      </c>
      <c r="AM97" s="72" t="n">
        <v>0.82</v>
      </c>
      <c r="AN97" s="72" t="n">
        <v>0</v>
      </c>
      <c r="AO97" s="72" t="n">
        <v>0</v>
      </c>
      <c r="AP97" s="72" t="n">
        <v>0</v>
      </c>
      <c r="AQ97" s="72" t="n">
        <v>-0.8100000000000001</v>
      </c>
      <c r="AR97" s="72" t="n">
        <v>-0.8100000000000001</v>
      </c>
      <c r="AS97" s="72" t="n">
        <v>-1.01</v>
      </c>
      <c r="AT97" s="72" t="n">
        <v>-0.55</v>
      </c>
      <c r="AU97" s="72" t="n">
        <v>15.79</v>
      </c>
      <c r="AV97" s="72" t="n">
        <v>-1.34</v>
      </c>
      <c r="AW97" s="72" t="n">
        <v>0.55</v>
      </c>
      <c r="AX97" s="72" t="n">
        <v>0.53</v>
      </c>
      <c r="AY97" s="63" t="inlineStr">
        <is>
          <t>Hang Seng Commerce &amp; Industry sub-index</t>
        </is>
      </c>
      <c r="AZ97" s="72" t="n">
        <v>1.64</v>
      </c>
      <c r="BA97" s="64" t="inlineStr">
        <is>
          <t>2026-08-28</t>
        </is>
      </c>
      <c r="BB97" s="65" t="n">
        <v>201</v>
      </c>
      <c r="BC97" s="68" t="n">
        <v>45.1</v>
      </c>
      <c r="BD97" s="63" t="inlineStr">
        <is>
          <t>Y</t>
        </is>
      </c>
      <c r="BE97" s="74" t="n">
        <v>14.3</v>
      </c>
      <c r="BF97" s="74" t="n">
        <v>7.4</v>
      </c>
      <c r="BG97" s="74" t="n">
        <v>14.8</v>
      </c>
      <c r="BH97" s="74" t="n">
        <v>3.2</v>
      </c>
      <c r="BI97" s="75">
        <f>IF('BBG Verify'!S97="","not filed — run on terminal",'BBG Verify'!S97)</f>
        <v/>
      </c>
      <c r="BJ97" s="76" t="inlineStr">
        <is>
          <t>N</t>
        </is>
      </c>
      <c r="BK97" s="77">
        <f>IF('BBG Verify'!K97="","not filed — run on terminal",'BBG Verify'!K97)</f>
        <v/>
      </c>
      <c r="BL97" s="63" t="inlineStr">
        <is>
          <t>N/A</t>
        </is>
      </c>
      <c r="BM97" s="63" t="inlineStr">
        <is>
          <t>N/A</t>
        </is>
      </c>
      <c r="BN97" s="63" t="inlineStr">
        <is>
          <t>N/A</t>
        </is>
      </c>
      <c r="BO97" s="63" t="inlineStr">
        <is>
          <t>N/A</t>
        </is>
      </c>
      <c r="BP97" s="63" t="inlineStr">
        <is>
          <t>N/A</t>
        </is>
      </c>
      <c r="BQ97" s="63" t="inlineStr">
        <is>
          <t>N/A</t>
        </is>
      </c>
      <c r="BR97" s="76" t="n"/>
      <c r="BS97" s="63" t="inlineStr">
        <is>
          <t>CMBC International Capital Limited</t>
        </is>
      </c>
      <c r="BT97" s="63" t="inlineStr">
        <is>
          <t>ABCI Securities Company Limited; CCB International Capital Limited; CEB International Capital Corporation Limited; China Everbright Securities (HK) Limited; China Tonghai Securities Limited; China Industrial Securities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V97" s="78">
        <f>HYPERLINK("https://www1.hkexnews.hk/listedco/listconews/sehk/2021/1229/2021122900078.htm","prospectus")</f>
        <v/>
      </c>
      <c r="BW97" s="78">
        <f>HYPERLINK("https://www1.hkexnews.hk/listedco/listconews/sehk/2022/0110/2022011000034.htm","allotment")</f>
        <v/>
      </c>
      <c r="BX97" s="78">
        <f>HYPERLINK("https://www1.hkexnews.hk/listedco/listconews/sehk/2022/0204/2022020400047.pdf","stabilisation")</f>
        <v/>
      </c>
      <c r="BY97" s="76" t="n"/>
      <c r="BZ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72" t="n"/>
      <c r="AC98" s="66" t="n"/>
      <c r="AD98" s="72" t="n"/>
      <c r="AE98" s="63" t="n"/>
      <c r="AF98" s="63" t="inlineStr">
        <is>
          <t>lapsed</t>
        </is>
      </c>
      <c r="AG98" s="63" t="inlineStr">
        <is>
          <t>2022-02-06</t>
        </is>
      </c>
      <c r="AH98" s="63" t="n"/>
      <c r="AI98" s="63" t="n"/>
      <c r="AJ98" s="73" t="n">
        <v>-16.57</v>
      </c>
      <c r="AK98" s="72" t="n">
        <v>-8.880000000000001</v>
      </c>
      <c r="AL98" s="72" t="n">
        <v>-8.44</v>
      </c>
      <c r="AM98" s="72" t="n">
        <v>-19.23</v>
      </c>
      <c r="AN98" s="72" t="n">
        <v>-11.54</v>
      </c>
      <c r="AO98" s="72" t="n">
        <v>-35.06</v>
      </c>
      <c r="AP98" s="72" t="n">
        <v>-3.19</v>
      </c>
      <c r="AQ98" s="72" t="n">
        <v>6.03</v>
      </c>
      <c r="AR98" s="72" t="n">
        <v>-22.16</v>
      </c>
      <c r="AS98" s="72" t="n">
        <v>-20.73</v>
      </c>
      <c r="AT98" s="72" t="n">
        <v>-10.29</v>
      </c>
      <c r="AU98" s="72" t="n">
        <v>-11.36</v>
      </c>
      <c r="AV98" s="72" t="n">
        <v>6.56</v>
      </c>
      <c r="AW98" s="72" t="n">
        <v>-1.25</v>
      </c>
      <c r="AX98" s="72" t="n">
        <v>-0.53</v>
      </c>
      <c r="AY98" s="63" t="inlineStr">
        <is>
          <t>Hang Seng Commerce &amp; Industry sub-index</t>
        </is>
      </c>
      <c r="AZ98" s="72" t="n">
        <v>-19.53</v>
      </c>
      <c r="BA98" s="64" t="inlineStr">
        <is>
          <t>2026-08-31</t>
        </is>
      </c>
      <c r="BB98" s="65" t="n">
        <v>2517.5</v>
      </c>
      <c r="BC98" s="68" t="n">
        <v>-0.7</v>
      </c>
      <c r="BD98" s="63" t="inlineStr">
        <is>
          <t>N</t>
        </is>
      </c>
      <c r="BE98" s="63" t="inlineStr">
        <is>
          <t>n/m</t>
        </is>
      </c>
      <c r="BF98" s="74" t="n">
        <v>30.9</v>
      </c>
      <c r="BG98" s="74" t="n">
        <v>27.9</v>
      </c>
      <c r="BH98" s="74" t="n">
        <v>13</v>
      </c>
      <c r="BI98" s="75">
        <f>IF('BBG Verify'!S98="","not filed — run on terminal",'BBG Verify'!S98)</f>
        <v/>
      </c>
      <c r="BJ98" s="76" t="inlineStr">
        <is>
          <t>Y</t>
        </is>
      </c>
      <c r="BK98" s="63" t="inlineStr">
        <is>
          <t>300748.SZ</t>
        </is>
      </c>
      <c r="BL98" s="72" t="n">
        <v>38.51</v>
      </c>
      <c r="BM98" s="66" t="n">
        <v>46.8177</v>
      </c>
      <c r="BN98" s="80" t="n">
        <v>0.8498</v>
      </c>
      <c r="BO98" s="68" t="n">
        <v>43513.7</v>
      </c>
      <c r="BP98" s="75">
        <f>IF('BBG Verify'!Q98="","run on terminal",'BBG Verify'!Q98)</f>
        <v/>
      </c>
      <c r="BQ98" s="75">
        <f>IF('BBG Verify'!R98="","run on terminal",'BBG Verify'!R98)</f>
        <v/>
      </c>
      <c r="BR98" s="76" t="inlineStr">
        <is>
          <t>CLSA Capital Markets Limited; BNP Paribas Securities (Asia) Limited</t>
        </is>
      </c>
      <c r="BS98" s="63" t="inlineStr">
        <is>
          <t>BNP Paribas Securities (Asia) Limited; CLSA Capital Markets Limited</t>
        </is>
      </c>
      <c r="BT98" s="63" t="inlineStr">
        <is>
          <t>CLSA Limited; BNP Paribas Securities (Asia) Limited; DBS Asia Capital Limited</t>
        </is>
      </c>
      <c r="BU98" s="63" t="inlineStr">
        <is>
          <t>BNP Paribas Securities (Asia) Limited; CLSA Limited; DBS Asia Capital Limited; Futu Securities International (Hong Kong) Limited; Livermore Holdings Limited</t>
        </is>
      </c>
      <c r="BV98" s="78">
        <f>HYPERLINK("https://www1.hkexnews.hk/listedco/listconews/sehk/2021/1231/2021123100023.pdf","prospectus")</f>
        <v/>
      </c>
      <c r="BW98" s="78">
        <f>HYPERLINK("https://www1.hkexnews.hk/listedco/listconews/sehk/2022/0113/2022011300010.htm","allotment")</f>
        <v/>
      </c>
      <c r="BX98" s="78">
        <f>HYPERLINK("https://www1.hkexnews.hk/listedco/listconews/sehk/2022/0206/2022020600019.pdf","stabilisation")</f>
        <v/>
      </c>
      <c r="BY98" s="76" t="n"/>
      <c r="BZ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72" t="n"/>
      <c r="AC99" s="66" t="n"/>
      <c r="AD99" s="72" t="n"/>
      <c r="AE99" s="63" t="n"/>
      <c r="AF99" s="63" t="inlineStr">
        <is>
          <t>lapsed (no over-allocation)</t>
        </is>
      </c>
      <c r="AG99" s="63" t="inlineStr">
        <is>
          <t>2022-02-06</t>
        </is>
      </c>
      <c r="AH99" s="63" t="inlineStr">
        <is>
          <t>China Everbright Securities</t>
        </is>
      </c>
      <c r="AI99" s="63" t="inlineStr">
        <is>
          <t>China Everbright</t>
        </is>
      </c>
      <c r="AJ99" s="73" t="n">
        <v>16.59</v>
      </c>
      <c r="AK99" s="72" t="n">
        <v>26.83</v>
      </c>
      <c r="AL99" s="72" t="n">
        <v>-8.07</v>
      </c>
      <c r="AM99" s="72" t="n">
        <v>2.44</v>
      </c>
      <c r="AN99" s="72" t="n">
        <v>2.44</v>
      </c>
      <c r="AO99" s="72" t="n">
        <v>-13.17</v>
      </c>
      <c r="AP99" s="72" t="n">
        <v>-12.14</v>
      </c>
      <c r="AQ99" s="72" t="n">
        <v>-12.14</v>
      </c>
      <c r="AR99" s="72" t="n">
        <v>-25.53</v>
      </c>
      <c r="AS99" s="72" t="n">
        <v>1.32</v>
      </c>
      <c r="AT99" s="72" t="n">
        <v>2.67</v>
      </c>
      <c r="AU99" s="72" t="n">
        <v>2.19</v>
      </c>
      <c r="AV99" s="72" t="n">
        <v>-12.59</v>
      </c>
      <c r="AW99" s="72" t="n">
        <v>-0.23</v>
      </c>
      <c r="AX99" s="72" t="n">
        <v>0.45</v>
      </c>
      <c r="AY99" s="63" t="inlineStr">
        <is>
          <t>Hang Seng Index</t>
        </is>
      </c>
      <c r="AZ99" s="72" t="n">
        <v>-83.17</v>
      </c>
      <c r="BA99" s="64" t="inlineStr">
        <is>
          <t>2026-08-28</t>
        </is>
      </c>
      <c r="BB99" s="65" t="n">
        <v>233.5</v>
      </c>
      <c r="BC99" s="68" t="n">
        <v>54.5</v>
      </c>
      <c r="BD99" s="63" t="inlineStr">
        <is>
          <t>Y</t>
        </is>
      </c>
      <c r="BE99" s="74" t="n">
        <v>52.9</v>
      </c>
      <c r="BF99" s="74" t="n"/>
      <c r="BG99" s="74" t="n"/>
      <c r="BH99" s="74" t="n">
        <v>12.3</v>
      </c>
      <c r="BI99" s="75">
        <f>IF('BBG Verify'!S99="","not filed — run on terminal",'BBG Verify'!S99)</f>
        <v/>
      </c>
      <c r="BJ99" s="76" t="inlineStr">
        <is>
          <t>N</t>
        </is>
      </c>
      <c r="BK99" s="77">
        <f>IF('BBG Verify'!K99="","not filed — run on terminal",'BBG Verify'!K99)</f>
        <v/>
      </c>
      <c r="BL99" s="63" t="inlineStr">
        <is>
          <t>N/A</t>
        </is>
      </c>
      <c r="BM99" s="63" t="inlineStr">
        <is>
          <t>N/A</t>
        </is>
      </c>
      <c r="BN99" s="63" t="inlineStr">
        <is>
          <t>N/A</t>
        </is>
      </c>
      <c r="BO99" s="63" t="inlineStr">
        <is>
          <t>N/A</t>
        </is>
      </c>
      <c r="BP99" s="63" t="inlineStr">
        <is>
          <t>N/A</t>
        </is>
      </c>
      <c r="BQ99" s="63" t="inlineStr">
        <is>
          <t>N/A</t>
        </is>
      </c>
      <c r="BR99" s="76" t="inlineStr">
        <is>
          <t>China Everbright Capital Limited; China Everbright Securities (HK) Limited</t>
        </is>
      </c>
      <c r="BS99" s="63" t="inlineStr">
        <is>
          <t>China Everbright Capital Limited</t>
        </is>
      </c>
      <c r="BT99" s="63" t="inlineStr">
        <is>
          <t>China Everbright Securities (HK) Limited; UOB Kay Hian (Hong Kong) Limited; BOCOM International Securities Limited; CMBC Securities Company Limited; Fosun Hani Securities Limited; Grand China Securities Limited; Zhongtai International Securities Limited</t>
        </is>
      </c>
      <c r="BU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V99" s="78">
        <f>HYPERLINK("https://www1.hkexnews.hk/listedco/listconews/sehk/2021/1230/2021123000005.pdf","prospectus")</f>
        <v/>
      </c>
      <c r="BW99" s="78">
        <f>HYPERLINK("https://www1.hkexnews.hk/listedco/listconews/sehk/2022/0114/2022011400002.htm","allotment")</f>
        <v/>
      </c>
      <c r="BX99" s="78">
        <f>HYPERLINK("https://www1.hkexnews.hk/listedco/listconews/sehk/2022/0206/2022020600003.pdf","stabilisation")</f>
        <v/>
      </c>
      <c r="BY99" s="76" t="n"/>
      <c r="BZ99"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72" t="n"/>
      <c r="AC100" s="66" t="n"/>
      <c r="AD100" s="72" t="n"/>
      <c r="AE100" s="63" t="n"/>
      <c r="AF100" s="63" t="n"/>
      <c r="AG100" s="63" t="inlineStr">
        <is>
          <t>2022-02-19</t>
        </is>
      </c>
      <c r="AH100" s="63" t="inlineStr">
        <is>
          <t>UBS AG Hong Kong Branch</t>
        </is>
      </c>
      <c r="AI100" s="63" t="inlineStr">
        <is>
          <t>UBS</t>
        </is>
      </c>
      <c r="AJ100" s="73" t="n">
        <v>-25.48</v>
      </c>
      <c r="AK100" s="72" t="n">
        <v>0</v>
      </c>
      <c r="AL100" s="72" t="n">
        <v>-25.48</v>
      </c>
      <c r="AM100" s="72" t="n">
        <v>-34.37</v>
      </c>
      <c r="AN100" s="72" t="n">
        <v>-46.77</v>
      </c>
      <c r="AO100" s="72" t="n">
        <v>-24.11</v>
      </c>
      <c r="AP100" s="72" t="n">
        <v>-11.93</v>
      </c>
      <c r="AQ100" s="72" t="n">
        <v>-28.57</v>
      </c>
      <c r="AR100" s="72" t="n">
        <v>1.84</v>
      </c>
      <c r="AS100" s="72" t="n">
        <v>-31.3</v>
      </c>
      <c r="AT100" s="72" t="n">
        <v>-36.17</v>
      </c>
      <c r="AU100" s="72" t="n">
        <v>-0.93</v>
      </c>
      <c r="AV100" s="72" t="n">
        <v>-21.59</v>
      </c>
      <c r="AW100" s="72" t="n">
        <v>-10.6</v>
      </c>
      <c r="AX100" s="72" t="n">
        <v>-6.98</v>
      </c>
      <c r="AY100" s="63" t="inlineStr">
        <is>
          <t>HSTECH (Hang Seng TECH ETF)</t>
        </is>
      </c>
      <c r="AZ100" s="72" t="n">
        <v>-85.86</v>
      </c>
      <c r="BA100" s="64" t="inlineStr">
        <is>
          <t>2026-08-28</t>
        </is>
      </c>
      <c r="BB100" s="65" t="n">
        <v>947.3</v>
      </c>
      <c r="BC100" s="68" t="n">
        <v>-700.3</v>
      </c>
      <c r="BD100" s="63" t="inlineStr">
        <is>
          <t>N</t>
        </is>
      </c>
      <c r="BE100" s="63" t="inlineStr">
        <is>
          <t>n/m</t>
        </is>
      </c>
      <c r="BF100" s="74" t="n"/>
      <c r="BG100" s="74" t="n"/>
      <c r="BH100" s="74" t="n">
        <v>15.8</v>
      </c>
      <c r="BI100" s="75">
        <f>IF('BBG Verify'!S100="","not filed — run on terminal",'BBG Verify'!S100)</f>
        <v/>
      </c>
      <c r="BJ100" s="76" t="inlineStr">
        <is>
          <t>N</t>
        </is>
      </c>
      <c r="BK100" s="77">
        <f>IF('BBG Verify'!K100="","not filed — run on terminal",'BBG Verify'!K100)</f>
        <v/>
      </c>
      <c r="BL100" s="63" t="inlineStr">
        <is>
          <t>N/A</t>
        </is>
      </c>
      <c r="BM100" s="63" t="inlineStr">
        <is>
          <t>N/A</t>
        </is>
      </c>
      <c r="BN100" s="63" t="inlineStr">
        <is>
          <t>N/A</t>
        </is>
      </c>
      <c r="BO100" s="63" t="inlineStr">
        <is>
          <t>N/A</t>
        </is>
      </c>
      <c r="BP100" s="63" t="inlineStr">
        <is>
          <t>N/A</t>
        </is>
      </c>
      <c r="BQ100" s="63" t="inlineStr">
        <is>
          <t>N/A</t>
        </is>
      </c>
      <c r="BR100" s="76" t="n"/>
      <c r="BS100" s="63" t="inlineStr">
        <is>
          <t>China International Capital Corporation Hong Kong Securities Limited; UBS Securities Hong Kong Limited; China Renaissance Securities (Hong Kong) Limited</t>
        </is>
      </c>
      <c r="BT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V100" s="63" t="n"/>
      <c r="BW100" s="78">
        <f>HYPERLINK("https://www1.hkexnews.hk/listedco/listconews/sehk/2022/0126/2022012600012.htm","allotment")</f>
        <v/>
      </c>
      <c r="BX100" s="63" t="n"/>
      <c r="BY100" s="76" t="n"/>
      <c r="BZ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72" t="n"/>
      <c r="AC101" s="66" t="n"/>
      <c r="AD101" s="72" t="n"/>
      <c r="AE101" s="63" t="n"/>
      <c r="AF101" s="63" t="inlineStr">
        <is>
          <t>partial</t>
        </is>
      </c>
      <c r="AG101" s="63" t="inlineStr">
        <is>
          <t>2022-03-12</t>
        </is>
      </c>
      <c r="AH101" s="63" t="inlineStr">
        <is>
          <t>China International Capital Corporation Hong Kong Securities Limited</t>
        </is>
      </c>
      <c r="AI101" s="63" t="inlineStr">
        <is>
          <t>China International</t>
        </is>
      </c>
      <c r="AJ101" s="73" t="n">
        <v>4.88</v>
      </c>
      <c r="AK101" s="72" t="n">
        <v>1.28</v>
      </c>
      <c r="AL101" s="72" t="n">
        <v>3.55</v>
      </c>
      <c r="AM101" s="72" t="n">
        <v>0</v>
      </c>
      <c r="AN101" s="72" t="n">
        <v>-8.49</v>
      </c>
      <c r="AO101" s="72" t="n">
        <v>3.02</v>
      </c>
      <c r="AP101" s="72" t="n">
        <v>-4.65</v>
      </c>
      <c r="AQ101" s="72" t="n">
        <v>-12.75</v>
      </c>
      <c r="AR101" s="72" t="n">
        <v>-1.77</v>
      </c>
      <c r="AS101" s="72" t="n">
        <v>9.32</v>
      </c>
      <c r="AT101" s="72" t="n">
        <v>13.55</v>
      </c>
      <c r="AU101" s="72" t="n">
        <v>31.41</v>
      </c>
      <c r="AV101" s="72" t="n">
        <v>6.76</v>
      </c>
      <c r="AW101" s="72" t="n">
        <v>-22.04</v>
      </c>
      <c r="AX101" s="72" t="n">
        <v>-19.51</v>
      </c>
      <c r="AY101" s="63" t="inlineStr">
        <is>
          <t>HSTECH (Hang Seng TECH ETF)</t>
        </is>
      </c>
      <c r="AZ101" s="72" t="n">
        <v>-80.7</v>
      </c>
      <c r="BA101" s="64" t="inlineStr">
        <is>
          <t>2026-08-28</t>
        </is>
      </c>
      <c r="BB101" s="65" t="n">
        <v>54592</v>
      </c>
      <c r="BC101" s="68" t="n">
        <v>-308</v>
      </c>
      <c r="BD101" s="63" t="inlineStr">
        <is>
          <t>N</t>
        </is>
      </c>
      <c r="BE101" s="63" t="inlineStr">
        <is>
          <t>n/m</t>
        </is>
      </c>
      <c r="BF101" s="74" t="n"/>
      <c r="BG101" s="74" t="n">
        <v>14.5</v>
      </c>
      <c r="BH101" s="74" t="n">
        <v>0.4</v>
      </c>
      <c r="BI101" s="75">
        <f>IF('BBG Verify'!S101="","not filed — run on terminal",'BBG Verify'!S101)</f>
        <v/>
      </c>
      <c r="BJ101" s="76" t="inlineStr">
        <is>
          <t>N</t>
        </is>
      </c>
      <c r="BK101" s="77">
        <f>IF('BBG Verify'!K101="","not filed — run on terminal",'BBG Verify'!K101)</f>
        <v/>
      </c>
      <c r="BL101" s="63" t="inlineStr">
        <is>
          <t>N/A</t>
        </is>
      </c>
      <c r="BM101" s="63" t="inlineStr">
        <is>
          <t>N/A</t>
        </is>
      </c>
      <c r="BN101" s="63" t="inlineStr">
        <is>
          <t>N/A</t>
        </is>
      </c>
      <c r="BO101" s="63" t="inlineStr">
        <is>
          <t>N/A</t>
        </is>
      </c>
      <c r="BP101" s="63" t="inlineStr">
        <is>
          <t>N/A</t>
        </is>
      </c>
      <c r="BQ101" s="63" t="inlineStr">
        <is>
          <t>N/A</t>
        </is>
      </c>
      <c r="BR101" s="76" t="inlineStr">
        <is>
          <t>China International Capital Corporation Hong Kong Securities Limited; Citigroup Global Markets Asia Limited; China Renaissance Securities (Hong Kong) Limited</t>
        </is>
      </c>
      <c r="BS101" s="63" t="inlineStr">
        <is>
          <t>China International Capital Corporation Hong Kong Securities Limited; China Renaissance Securities (Hong Kong) Limited; Citigroup Global Markets Asia Limited</t>
        </is>
      </c>
      <c r="BT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U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V101" s="78">
        <f>HYPERLINK("https://www1.hkexnews.hk/listedco/listconews/sehk/2022/0131/2022013100005.pdf","prospectus")</f>
        <v/>
      </c>
      <c r="BW101" s="78">
        <f>HYPERLINK("https://www1.hkexnews.hk/listedco/listconews/sehk/2022/0217/2022021700014.htm","allotment")</f>
        <v/>
      </c>
      <c r="BX101" s="78">
        <f>HYPERLINK("https://www1.hkexnews.hk/listedco/listconews/sehk/2022/0313/2022031300003.pdf","stabilisation")</f>
        <v/>
      </c>
      <c r="BY101" s="76" t="n"/>
      <c r="BZ101"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72" t="n"/>
      <c r="AC102" s="66" t="n"/>
      <c r="AD102" s="72" t="n"/>
      <c r="AE102" s="63" t="n"/>
      <c r="AF102" s="63" t="inlineStr">
        <is>
          <t>lapsed</t>
        </is>
      </c>
      <c r="AG102" s="63" t="inlineStr">
        <is>
          <t>2022-03-12</t>
        </is>
      </c>
      <c r="AH102" s="63" t="inlineStr">
        <is>
          <t>China Everbright Securities</t>
        </is>
      </c>
      <c r="AI102" s="63" t="inlineStr">
        <is>
          <t>China Everbright</t>
        </is>
      </c>
      <c r="AJ102" s="73" t="n">
        <v>-3.75</v>
      </c>
      <c r="AK102" s="72" t="n">
        <v>-0.62</v>
      </c>
      <c r="AL102" s="72" t="n">
        <v>-3.15</v>
      </c>
      <c r="AM102" s="72" t="n">
        <v>-10</v>
      </c>
      <c r="AN102" s="72" t="n">
        <v>-15</v>
      </c>
      <c r="AO102" s="72" t="n">
        <v>-27.5</v>
      </c>
      <c r="AP102" s="72" t="n">
        <v>-6.49</v>
      </c>
      <c r="AQ102" s="72" t="n">
        <v>-11.69</v>
      </c>
      <c r="AR102" s="72" t="n">
        <v>-24.68</v>
      </c>
      <c r="AS102" s="72" t="n">
        <v>-10.67</v>
      </c>
      <c r="AT102" s="72" t="n">
        <v>-11.11</v>
      </c>
      <c r="AU102" s="72" t="n">
        <v>-7.91</v>
      </c>
      <c r="AV102" s="72" t="n">
        <v>-7.46</v>
      </c>
      <c r="AW102" s="72" t="n">
        <v>-3.89</v>
      </c>
      <c r="AX102" s="72" t="n">
        <v>-4.23</v>
      </c>
      <c r="AY102" s="63" t="inlineStr">
        <is>
          <t>China Biotech ETF (HS biotech proxy)</t>
        </is>
      </c>
      <c r="AZ102" s="72" t="n">
        <v>-77.81</v>
      </c>
      <c r="BA102" s="64" t="inlineStr">
        <is>
          <t>2026-08-28</t>
        </is>
      </c>
      <c r="BB102" s="65" t="n">
        <v>222.4</v>
      </c>
      <c r="BC102" s="68" t="n">
        <v>30</v>
      </c>
      <c r="BD102" s="63" t="inlineStr">
        <is>
          <t>Y</t>
        </is>
      </c>
      <c r="BE102" s="74" t="n">
        <v>39.1</v>
      </c>
      <c r="BF102" s="74" t="n"/>
      <c r="BG102" s="74" t="n"/>
      <c r="BH102" s="74" t="n">
        <v>5.3</v>
      </c>
      <c r="BI102" s="75">
        <f>IF('BBG Verify'!S102="","not filed — run on terminal",'BBG Verify'!S102)</f>
        <v/>
      </c>
      <c r="BJ102" s="76" t="inlineStr">
        <is>
          <t>N</t>
        </is>
      </c>
      <c r="BK102" s="77">
        <f>IF('BBG Verify'!K102="","not filed — run on terminal",'BBG Verify'!K102)</f>
        <v/>
      </c>
      <c r="BL102" s="63" t="inlineStr">
        <is>
          <t>N/A</t>
        </is>
      </c>
      <c r="BM102" s="63" t="inlineStr">
        <is>
          <t>N/A</t>
        </is>
      </c>
      <c r="BN102" s="63" t="inlineStr">
        <is>
          <t>N/A</t>
        </is>
      </c>
      <c r="BO102" s="63" t="inlineStr">
        <is>
          <t>N/A</t>
        </is>
      </c>
      <c r="BP102" s="63" t="inlineStr">
        <is>
          <t>N/A</t>
        </is>
      </c>
      <c r="BQ102" s="63" t="inlineStr">
        <is>
          <t>N/A</t>
        </is>
      </c>
      <c r="BR102" s="76" t="inlineStr">
        <is>
          <t>China Everbright Capital Limited; China Eve rbright Securities (HK) Limited; Zhongtai International Securities Limited</t>
        </is>
      </c>
      <c r="BS102" s="63" t="inlineStr">
        <is>
          <t>China Everbright Capital Limited</t>
        </is>
      </c>
      <c r="BT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U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V102" s="78">
        <f>HYPERLINK("https://www1.hkexnews.hk/listedco/listconews/sehk/2022/0131/2022013100022.pdf","prospectus")</f>
        <v/>
      </c>
      <c r="BW102" s="78">
        <f>HYPERLINK("https://www1.hkexnews.hk/listedco/listconews/sehk/2022/0217/2022021700028.htm","allotment")</f>
        <v/>
      </c>
      <c r="BX102" s="78">
        <f>HYPERLINK("https://www1.hkexnews.hk/listedco/listconews/sehk/2022/0314/2022031400039.pdf","stabilisation")</f>
        <v/>
      </c>
      <c r="BY102" s="76" t="n"/>
      <c r="BZ102"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72" t="n"/>
      <c r="AC103" s="66" t="n"/>
      <c r="AD103" s="72" t="n"/>
      <c r="AE103" s="63" t="n"/>
      <c r="AF103" s="63" t="inlineStr">
        <is>
          <t>partial</t>
        </is>
      </c>
      <c r="AG103" s="63" t="inlineStr">
        <is>
          <t>2022-03-17</t>
        </is>
      </c>
      <c r="AH103" s="63" t="inlineStr">
        <is>
          <t>China International Capital Corporation Hong Kong Securities Limited</t>
        </is>
      </c>
      <c r="AI103" s="63" t="inlineStr">
        <is>
          <t>China International</t>
        </is>
      </c>
      <c r="AJ103" s="73" t="n">
        <v>0.14</v>
      </c>
      <c r="AK103" s="72" t="n">
        <v>0</v>
      </c>
      <c r="AL103" s="72" t="n">
        <v>0.14</v>
      </c>
      <c r="AM103" s="72" t="n">
        <v>0</v>
      </c>
      <c r="AN103" s="72" t="n">
        <v>-7.43</v>
      </c>
      <c r="AO103" s="72" t="n">
        <v>-8.699999999999999</v>
      </c>
      <c r="AP103" s="72" t="n">
        <v>-0.14</v>
      </c>
      <c r="AQ103" s="72" t="n">
        <v>-7.56</v>
      </c>
      <c r="AR103" s="72" t="n">
        <v>-8.83</v>
      </c>
      <c r="AS103" s="72" t="n">
        <v>-1.78</v>
      </c>
      <c r="AT103" s="72" t="n">
        <v>-11.67</v>
      </c>
      <c r="AU103" s="72" t="n">
        <v>8.51</v>
      </c>
      <c r="AV103" s="72" t="n">
        <v>-10.17</v>
      </c>
      <c r="AW103" s="72" t="n">
        <v>4.24</v>
      </c>
      <c r="AX103" s="72" t="n">
        <v>2.61</v>
      </c>
      <c r="AY103" s="63" t="inlineStr">
        <is>
          <t>China Biotech ETF (HS biotech proxy)</t>
        </is>
      </c>
      <c r="AZ103" s="72" t="n">
        <v>-41.87</v>
      </c>
      <c r="BA103" s="64" t="inlineStr">
        <is>
          <t>2026-08-28</t>
        </is>
      </c>
      <c r="BB103" s="65" t="n">
        <v>0</v>
      </c>
      <c r="BC103" s="68" t="n">
        <v>-674.7</v>
      </c>
      <c r="BD103" s="63" t="inlineStr">
        <is>
          <t>N</t>
        </is>
      </c>
      <c r="BE103" s="63" t="inlineStr">
        <is>
          <t>n/m</t>
        </is>
      </c>
      <c r="BF103" s="74" t="n"/>
      <c r="BG103" s="74" t="n">
        <v>27.2</v>
      </c>
      <c r="BH103" s="63" t="inlineStr">
        <is>
          <t>pre-rev</t>
        </is>
      </c>
      <c r="BI103" s="75">
        <f>IF('BBG Verify'!S103="","not filed — run on terminal",'BBG Verify'!S103)</f>
        <v/>
      </c>
      <c r="BJ103" s="76" t="inlineStr">
        <is>
          <t>N</t>
        </is>
      </c>
      <c r="BK103" s="77">
        <f>IF('BBG Verify'!K103="","not filed — run on terminal",'BBG Verify'!K103)</f>
        <v/>
      </c>
      <c r="BL103" s="63" t="inlineStr">
        <is>
          <t>N/A</t>
        </is>
      </c>
      <c r="BM103" s="63" t="inlineStr">
        <is>
          <t>N/A</t>
        </is>
      </c>
      <c r="BN103" s="63" t="inlineStr">
        <is>
          <t>N/A</t>
        </is>
      </c>
      <c r="BO103" s="63" t="inlineStr">
        <is>
          <t>N/A</t>
        </is>
      </c>
      <c r="BP103" s="63" t="inlineStr">
        <is>
          <t>N/A</t>
        </is>
      </c>
      <c r="BQ103" s="63" t="inlineStr">
        <is>
          <t>N/A</t>
        </is>
      </c>
      <c r="BR103" s="76" t="inlineStr">
        <is>
          <t>China International Capital Corporation Hong Kong Securities Limited; Morgan Stanley Asia Limited</t>
        </is>
      </c>
      <c r="BS103" s="63" t="inlineStr">
        <is>
          <t>China International Capital Corporation Hong Kong Securities Limited; Morgan Stanley Asia Limited</t>
        </is>
      </c>
      <c r="BT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U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V103" s="78">
        <f>HYPERLINK("https://www1.hkexnews.hk/listedco/listconews/sehk/2022/0210/2022021000013.pdf","prospectus")</f>
        <v/>
      </c>
      <c r="BW103" s="78">
        <f>HYPERLINK("https://www1.hkexnews.hk/listedco/listconews/sehk/2022/0222/2022022200012.htm","allotment")</f>
        <v/>
      </c>
      <c r="BX103" s="78">
        <f>HYPERLINK("https://www1.hkexnews.hk/listedco/listconews/sehk/2022/0317/2022031702152.pdf","stabilisation")</f>
        <v/>
      </c>
      <c r="BY103" s="76" t="n"/>
      <c r="BZ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no grey-market headline on file for this deal — AAStocks publishes one per listing but keeps only recent items on the stock's news page, and no public archive of past evening sessions exists; captured from this run onward</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72" t="n"/>
      <c r="AC104" s="66" t="n"/>
      <c r="AD104" s="72" t="n"/>
      <c r="AE104" s="63" t="n"/>
      <c r="AF104" s="63" t="inlineStr">
        <is>
          <t>lapsed</t>
        </is>
      </c>
      <c r="AG104" s="63" t="inlineStr">
        <is>
          <t>2022-04-13</t>
        </is>
      </c>
      <c r="AH104" s="63" t="inlineStr">
        <is>
          <t>Morgan Stanley Asia Limited</t>
        </is>
      </c>
      <c r="AI104" s="63" t="inlineStr">
        <is>
          <t>Morgan Stanley</t>
        </is>
      </c>
      <c r="AJ104" s="73" t="n">
        <v>-5.61</v>
      </c>
      <c r="AK104" s="72" t="n">
        <v>-0.14</v>
      </c>
      <c r="AL104" s="72" t="n">
        <v>-5.48</v>
      </c>
      <c r="AM104" s="72" t="n">
        <v>-1.5</v>
      </c>
      <c r="AN104" s="72" t="n">
        <v>-20.52</v>
      </c>
      <c r="AO104" s="72" t="n">
        <v>-19.56</v>
      </c>
      <c r="AP104" s="72" t="n">
        <v>4.35</v>
      </c>
      <c r="AQ104" s="72" t="n">
        <v>-15.8</v>
      </c>
      <c r="AR104" s="72" t="n">
        <v>-14.78</v>
      </c>
      <c r="AS104" s="72" t="n">
        <v>-3.3</v>
      </c>
      <c r="AT104" s="72" t="n">
        <v>-5.59</v>
      </c>
      <c r="AU104" s="72" t="n">
        <v>-18.89</v>
      </c>
      <c r="AV104" s="72" t="n">
        <v>-1.56</v>
      </c>
      <c r="AW104" s="72" t="n">
        <v>-14.93</v>
      </c>
      <c r="AX104" s="72" t="n">
        <v>-14.24</v>
      </c>
      <c r="AY104" s="63" t="inlineStr">
        <is>
          <t>China Biotech ETF (HS biotech proxy)</t>
        </is>
      </c>
      <c r="AZ104" s="72" t="n">
        <v>-87.48</v>
      </c>
      <c r="BA104" s="64" t="inlineStr">
        <is>
          <t>2026-08-28</t>
        </is>
      </c>
      <c r="BB104" s="65" t="n">
        <v>1666.6</v>
      </c>
      <c r="BC104" s="68" t="n">
        <v>-657.5</v>
      </c>
      <c r="BD104" s="63" t="inlineStr">
        <is>
          <t>N</t>
        </is>
      </c>
      <c r="BE104" s="63" t="inlineStr">
        <is>
          <t>n/m</t>
        </is>
      </c>
      <c r="BF104" s="74" t="n"/>
      <c r="BG104" s="74" t="n">
        <v>25.6</v>
      </c>
      <c r="BH104" s="74" t="n">
        <v>4.5</v>
      </c>
      <c r="BI104" s="75">
        <f>IF('BBG Verify'!S104="","not filed — run on terminal",'BBG Verify'!S104)</f>
        <v/>
      </c>
      <c r="BJ104" s="76" t="inlineStr">
        <is>
          <t>N</t>
        </is>
      </c>
      <c r="BK104" s="77">
        <f>IF('BBG Verify'!K104="","not filed — run on terminal",'BBG Verify'!K104)</f>
        <v/>
      </c>
      <c r="BL104" s="63" t="inlineStr">
        <is>
          <t>N/A</t>
        </is>
      </c>
      <c r="BM104" s="63" t="inlineStr">
        <is>
          <t>N/A</t>
        </is>
      </c>
      <c r="BN104" s="63" t="inlineStr">
        <is>
          <t>N/A</t>
        </is>
      </c>
      <c r="BO104" s="63" t="inlineStr">
        <is>
          <t>N/A</t>
        </is>
      </c>
      <c r="BP104" s="63" t="inlineStr">
        <is>
          <t>N/A</t>
        </is>
      </c>
      <c r="BQ104" s="63" t="inlineStr">
        <is>
          <t>N/A</t>
        </is>
      </c>
      <c r="BR104" s="76" t="inlineStr">
        <is>
          <t>Morgan Stanley Asia Limited; UBS Securities Hong Kong Limited</t>
        </is>
      </c>
      <c r="BS104" s="63" t="inlineStr">
        <is>
          <t>Morgan Stanley Asia Limited; UBS Securities Hong Kong Limited</t>
        </is>
      </c>
      <c r="BT104" s="63" t="inlineStr">
        <is>
          <t>Morgan Stanley Asia Limited; UBS AG Hong Kong Branch; China International Capital Corporation Hong Kong Securities Limited; Haitong International Securities Company Limited</t>
        </is>
      </c>
      <c r="BU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V104" s="78">
        <f>HYPERLINK("https://www1.hkexnews.hk/listedco/listconews/sehk/2022/0309/2022030900091.pdf","prospectus")</f>
        <v/>
      </c>
      <c r="BW104" s="78">
        <f>HYPERLINK("https://www1.hkexnews.hk/listedco/listconews/sehk/2022/0321/2022032100094.htm","allotment")</f>
        <v/>
      </c>
      <c r="BX104" s="78">
        <f>HYPERLINK("https://www1.hkexnews.hk/listedco/listconews/sehk/2022/0413/2022041301532.pdf","stabilisation")</f>
        <v/>
      </c>
      <c r="BY104" s="76" t="n"/>
      <c r="BZ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72" t="n"/>
      <c r="AC105" s="66" t="n"/>
      <c r="AD105" s="72" t="n"/>
      <c r="AE105" s="63" t="n"/>
      <c r="AF105" s="63" t="inlineStr">
        <is>
          <t>partial</t>
        </is>
      </c>
      <c r="AG105" s="63" t="inlineStr">
        <is>
          <t>2022-04-24</t>
        </is>
      </c>
      <c r="AH105" s="63" t="n"/>
      <c r="AI105" s="63" t="n"/>
      <c r="AJ105" s="73" t="n">
        <v>-0.13</v>
      </c>
      <c r="AK105" s="72" t="n">
        <v>0.74</v>
      </c>
      <c r="AL105" s="72" t="n">
        <v>-0.86</v>
      </c>
      <c r="AM105" s="72" t="n">
        <v>-0.13</v>
      </c>
      <c r="AN105" s="72" t="n">
        <v>9.27</v>
      </c>
      <c r="AO105" s="72" t="n">
        <v>-13.11</v>
      </c>
      <c r="AP105" s="72" t="n">
        <v>0</v>
      </c>
      <c r="AQ105" s="72" t="n">
        <v>9.41</v>
      </c>
      <c r="AR105" s="72" t="n">
        <v>-13</v>
      </c>
      <c r="AS105" s="72" t="n">
        <v>4.09</v>
      </c>
      <c r="AT105" s="72" t="n">
        <v>16.35</v>
      </c>
      <c r="AU105" s="72" t="n">
        <v>-13.58</v>
      </c>
      <c r="AV105" s="72" t="n">
        <v>14.64</v>
      </c>
      <c r="AW105" s="72" t="n">
        <v>-7.08</v>
      </c>
      <c r="AX105" s="72" t="n">
        <v>-5.23</v>
      </c>
      <c r="AY105" s="63" t="inlineStr">
        <is>
          <t>Hang Seng Commerce &amp; Industry sub-index</t>
        </is>
      </c>
      <c r="AZ105" s="72" t="n">
        <v>57.34</v>
      </c>
      <c r="BA105" s="64" t="inlineStr">
        <is>
          <t>2026-08-28</t>
        </is>
      </c>
      <c r="BB105" s="65" t="n"/>
      <c r="BC105" s="68" t="n"/>
      <c r="BD105" s="63" t="n"/>
      <c r="BE105" s="74" t="n">
        <v>18</v>
      </c>
      <c r="BF105" s="74" t="n">
        <v>18</v>
      </c>
      <c r="BG105" s="74" t="n">
        <v>16</v>
      </c>
      <c r="BH105" s="74" t="n"/>
      <c r="BI105" s="75">
        <f>IF('BBG Verify'!S105="","not filed — run on terminal",'BBG Verify'!S105)</f>
        <v/>
      </c>
      <c r="BJ105" s="76" t="inlineStr">
        <is>
          <t>N</t>
        </is>
      </c>
      <c r="BK105" s="77">
        <f>IF('BBG Verify'!K105="","not filed — run on terminal",'BBG Verify'!K105)</f>
        <v/>
      </c>
      <c r="BL105" s="63" t="inlineStr">
        <is>
          <t>N/A</t>
        </is>
      </c>
      <c r="BM105" s="63" t="inlineStr">
        <is>
          <t>N/A</t>
        </is>
      </c>
      <c r="BN105" s="63" t="inlineStr">
        <is>
          <t>N/A</t>
        </is>
      </c>
      <c r="BO105" s="63" t="inlineStr">
        <is>
          <t>N/A</t>
        </is>
      </c>
      <c r="BP105" s="63" t="inlineStr">
        <is>
          <t>N/A</t>
        </is>
      </c>
      <c r="BQ105" s="63" t="inlineStr">
        <is>
          <t>N/A</t>
        </is>
      </c>
      <c r="BR105" s="76" t="inlineStr">
        <is>
          <t>China International Capital Corporation Hong Kong Securities Limited</t>
        </is>
      </c>
      <c r="BS105" s="63" t="inlineStr">
        <is>
          <t>China International Capital Corporation Hong Kong Securities Limited</t>
        </is>
      </c>
      <c r="BT105" s="63" t="inlineStr">
        <is>
          <t>China International Capital Corporation Hong Kong Securities Limited; BNP Paribas Securities (Asia) Limited; Zhongtai International Securities Limited</t>
        </is>
      </c>
      <c r="BU105" s="63" t="inlineStr">
        <is>
          <t>BNP Paribas Securities (Asia) Limited; China International Capital Corporation Hong Kong Securities Limited; Zhongtai International Securities Limited</t>
        </is>
      </c>
      <c r="BV105" s="78">
        <f>HYPERLINK("https://www1.hkexnews.hk/listedco/listconews/sehk/2022/0322/2022032200013.pdf","prospectus")</f>
        <v/>
      </c>
      <c r="BW105" s="78">
        <f>HYPERLINK("https://www1.hkexnews.hk/listedco/listconews/sehk/2022/0330/2022033000050.htm","allotment")</f>
        <v/>
      </c>
      <c r="BX105" s="78">
        <f>HYPERLINK("https://www1.hkexnews.hk/listedco/listconews/sehk/2022/0424/2022042400017.pdf","stabilisation")</f>
        <v/>
      </c>
      <c r="BY105" s="76" t="n"/>
      <c r="BZ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72" t="n"/>
      <c r="AC106" s="66" t="n"/>
      <c r="AD106" s="72" t="n"/>
      <c r="AE106" s="63" t="n"/>
      <c r="AF106" s="63" t="inlineStr">
        <is>
          <t>partial</t>
        </is>
      </c>
      <c r="AG106" s="63" t="inlineStr">
        <is>
          <t>2022-04-23</t>
        </is>
      </c>
      <c r="AH106" s="63" t="inlineStr">
        <is>
          <t>Morgan Stanley Asia Limited</t>
        </is>
      </c>
      <c r="AI106" s="63" t="inlineStr">
        <is>
          <t>Morgan Stanley</t>
        </is>
      </c>
      <c r="AJ106" s="73" t="n">
        <v>1.81</v>
      </c>
      <c r="AK106" s="72" t="n">
        <v>0.8100000000000001</v>
      </c>
      <c r="AL106" s="72" t="n">
        <v>0.99</v>
      </c>
      <c r="AM106" s="72" t="n">
        <v>10.08</v>
      </c>
      <c r="AN106" s="72" t="n">
        <v>0.2</v>
      </c>
      <c r="AO106" s="72" t="n">
        <v>-8.67</v>
      </c>
      <c r="AP106" s="72" t="n">
        <v>8.119999999999999</v>
      </c>
      <c r="AQ106" s="72" t="n">
        <v>-1.58</v>
      </c>
      <c r="AR106" s="72" t="n">
        <v>-10.29</v>
      </c>
      <c r="AS106" s="72" t="n">
        <v>15.66</v>
      </c>
      <c r="AT106" s="72" t="n">
        <v>16.05</v>
      </c>
      <c r="AU106" s="72" t="n">
        <v>-10.35</v>
      </c>
      <c r="AV106" s="72" t="n">
        <v>11.73</v>
      </c>
      <c r="AW106" s="72" t="n">
        <v>-15.85</v>
      </c>
      <c r="AX106" s="72" t="n">
        <v>-13.31</v>
      </c>
      <c r="AY106" s="63" t="inlineStr">
        <is>
          <t>China Biotech ETF (HS biotech proxy)</t>
        </is>
      </c>
      <c r="AZ106" s="72" t="n">
        <v>-79.84</v>
      </c>
      <c r="BA106" s="64" t="inlineStr">
        <is>
          <t>2026-08-28</t>
        </is>
      </c>
      <c r="BB106" s="65" t="n">
        <v>0</v>
      </c>
      <c r="BC106" s="68" t="n">
        <v>-723.4</v>
      </c>
      <c r="BD106" s="63" t="inlineStr">
        <is>
          <t>N</t>
        </is>
      </c>
      <c r="BE106" s="63" t="inlineStr">
        <is>
          <t>n/m</t>
        </is>
      </c>
      <c r="BF106" s="74" t="n"/>
      <c r="BG106" s="74" t="n"/>
      <c r="BH106" s="63" t="inlineStr">
        <is>
          <t>pre-rev</t>
        </is>
      </c>
      <c r="BI106" s="75">
        <f>IF('BBG Verify'!S106="","not filed — run on terminal",'BBG Verify'!S106)</f>
        <v/>
      </c>
      <c r="BJ106" s="76" t="inlineStr">
        <is>
          <t>N</t>
        </is>
      </c>
      <c r="BK106" s="77">
        <f>IF('BBG Verify'!K106="","not filed — run on terminal",'BBG Verify'!K106)</f>
        <v/>
      </c>
      <c r="BL106" s="63" t="inlineStr">
        <is>
          <t>N/A</t>
        </is>
      </c>
      <c r="BM106" s="63" t="inlineStr">
        <is>
          <t>N/A</t>
        </is>
      </c>
      <c r="BN106" s="63" t="inlineStr">
        <is>
          <t>N/A</t>
        </is>
      </c>
      <c r="BO106" s="63" t="inlineStr">
        <is>
          <t>N/A</t>
        </is>
      </c>
      <c r="BP106" s="63" t="inlineStr">
        <is>
          <t>N/A</t>
        </is>
      </c>
      <c r="BQ106" s="63" t="inlineStr">
        <is>
          <t>N/A</t>
        </is>
      </c>
      <c r="BR106" s="76" t="inlineStr">
        <is>
          <t>Morgan Stanley Asia Limited; CMB International Capital Limited; CLSA Capital Markets Limited; Morgan Stanley &amp; Co. International plc; London E14 4QA United Kingdom CMB International Capital Limited; CLSA Limited</t>
        </is>
      </c>
      <c r="BS106" s="63" t="inlineStr">
        <is>
          <t>Morgan Stanley Asia Limited; CLSA Capital Markets Limited; CMB International Capital Corporation Limited</t>
        </is>
      </c>
      <c r="BT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U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V106" s="78">
        <f>HYPERLINK("https://www1.hkexnews.hk/listedco/listconews/sehk/2022/0321/2022032100025.pdf","prospectus")</f>
        <v/>
      </c>
      <c r="BW106" s="78">
        <f>HYPERLINK("https://www1.hkexnews.hk/listedco/listconews/sehk/2022/0330/2022033000086.htm","allotment")</f>
        <v/>
      </c>
      <c r="BX106" s="78">
        <f>HYPERLINK("https://www1.hkexnews.hk/listedco/listconews/sehk/2022/0424/2022042400203.pdf","stabilisation")</f>
        <v/>
      </c>
      <c r="BY106" s="76" t="n"/>
      <c r="BZ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72" t="n"/>
      <c r="AC107" s="66" t="n"/>
      <c r="AD107" s="72" t="n"/>
      <c r="AE107" s="63" t="n"/>
      <c r="AF107" s="63" t="inlineStr">
        <is>
          <t>lapsed (no over-allocation)</t>
        </is>
      </c>
      <c r="AG107" s="63" t="inlineStr">
        <is>
          <t>2022-04-24</t>
        </is>
      </c>
      <c r="AH107" s="63" t="inlineStr">
        <is>
          <t>ABCI Securities Company Limited</t>
        </is>
      </c>
      <c r="AI107" s="63" t="inlineStr">
        <is>
          <t>ABCI</t>
        </is>
      </c>
      <c r="AJ107" s="73" t="n">
        <v>26.34</v>
      </c>
      <c r="AK107" s="72" t="n">
        <v>10.98</v>
      </c>
      <c r="AL107" s="72" t="n">
        <v>13.84</v>
      </c>
      <c r="AM107" s="72" t="n">
        <v>101.22</v>
      </c>
      <c r="AN107" s="72" t="n">
        <v>103.66</v>
      </c>
      <c r="AO107" s="72" t="n">
        <v>168.29</v>
      </c>
      <c r="AP107" s="72" t="n">
        <v>59.27</v>
      </c>
      <c r="AQ107" s="72" t="n">
        <v>61.2</v>
      </c>
      <c r="AR107" s="72" t="n">
        <v>112.36</v>
      </c>
      <c r="AS107" s="72" t="n">
        <v>97.17</v>
      </c>
      <c r="AT107" s="72" t="n">
        <v>106.03</v>
      </c>
      <c r="AU107" s="72" t="n">
        <v>174.01</v>
      </c>
      <c r="AV107" s="72" t="n">
        <v>62.19</v>
      </c>
      <c r="AW107" s="72" t="n">
        <v>-2.37</v>
      </c>
      <c r="AX107" s="72" t="n">
        <v>-0.99</v>
      </c>
      <c r="AY107" s="63" t="inlineStr">
        <is>
          <t>Hang Seng Properties sub-index</t>
        </is>
      </c>
      <c r="AZ107" s="72" t="n">
        <v>-68.66</v>
      </c>
      <c r="BA107" s="64" t="inlineStr">
        <is>
          <t>2026-08-28</t>
        </is>
      </c>
      <c r="BB107" s="65" t="n">
        <v>243.8</v>
      </c>
      <c r="BC107" s="68" t="n">
        <v>32.8</v>
      </c>
      <c r="BD107" s="63" t="inlineStr">
        <is>
          <t>Y</t>
        </is>
      </c>
      <c r="BE107" s="74" t="n">
        <v>29.9</v>
      </c>
      <c r="BF107" s="74" t="n"/>
      <c r="BG107" s="74" t="n"/>
      <c r="BH107" s="74" t="n">
        <v>4</v>
      </c>
      <c r="BI107" s="75">
        <f>IF('BBG Verify'!S107="","not filed — run on terminal",'BBG Verify'!S107)</f>
        <v/>
      </c>
      <c r="BJ107" s="76" t="inlineStr">
        <is>
          <t>N</t>
        </is>
      </c>
      <c r="BK107" s="77">
        <f>IF('BBG Verify'!K107="","not filed — run on terminal",'BBG Verify'!K107)</f>
        <v/>
      </c>
      <c r="BL107" s="63" t="inlineStr">
        <is>
          <t>N/A</t>
        </is>
      </c>
      <c r="BM107" s="63" t="inlineStr">
        <is>
          <t>N/A</t>
        </is>
      </c>
      <c r="BN107" s="63" t="inlineStr">
        <is>
          <t>N/A</t>
        </is>
      </c>
      <c r="BO107" s="63" t="inlineStr">
        <is>
          <t>N/A</t>
        </is>
      </c>
      <c r="BP107" s="63" t="inlineStr">
        <is>
          <t>N/A</t>
        </is>
      </c>
      <c r="BQ107" s="63" t="inlineStr">
        <is>
          <t>N/A</t>
        </is>
      </c>
      <c r="BR107" s="76" t="inlineStr">
        <is>
          <t>ABCI Capital Limited</t>
        </is>
      </c>
      <c r="BS107" s="63" t="inlineStr">
        <is>
          <t>ABCI Capital Limited</t>
        </is>
      </c>
      <c r="BT107" s="63" t="inlineStr">
        <is>
          <t>ABCI Capital Limited; Valuable Capital Limited; Guotai Junan Securities (Hong Kong) Limited; CCB International Capital Limited; Zhongtai International Securities Limited</t>
        </is>
      </c>
      <c r="BU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V107" s="78">
        <f>HYPERLINK("https://www1.hkexnews.hk/listedco/listconews/sehk/2022/0322/2022032200231.pdf","prospectus")</f>
        <v/>
      </c>
      <c r="BW107" s="78">
        <f>HYPERLINK("https://www1.hkexnews.hk/listedco/listconews/sehk/2022/0330/2022033000152.htm","allotment")</f>
        <v/>
      </c>
      <c r="BX107" s="78">
        <f>HYPERLINK("https://www1.hkexnews.hk/listedco/listconews/sehk/2022/0425/2022042500019.pdf","stabilisation")</f>
        <v/>
      </c>
      <c r="BY107" s="76" t="n"/>
      <c r="BZ10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72" t="n"/>
      <c r="AC108" s="66" t="n"/>
      <c r="AD108" s="72" t="n"/>
      <c r="AE108" s="63" t="n"/>
      <c r="AF108" s="63" t="inlineStr">
        <is>
          <t>lapsed</t>
        </is>
      </c>
      <c r="AG108" s="63" t="inlineStr">
        <is>
          <t>2022-05-14</t>
        </is>
      </c>
      <c r="AH108" s="63" t="inlineStr">
        <is>
          <t>Credit Suisse</t>
        </is>
      </c>
      <c r="AI108" s="63" t="inlineStr">
        <is>
          <t>Credit Suisse</t>
        </is>
      </c>
      <c r="AJ108" s="73" t="n">
        <v>-23.58</v>
      </c>
      <c r="AK108" s="72" t="n">
        <v>-22.18</v>
      </c>
      <c r="AL108" s="72" t="n">
        <v>-1.8</v>
      </c>
      <c r="AM108" s="72" t="n">
        <v>-15.78</v>
      </c>
      <c r="AN108" s="72" t="n">
        <v>-36.21</v>
      </c>
      <c r="AO108" s="72" t="n">
        <v>-32.94</v>
      </c>
      <c r="AP108" s="72" t="n">
        <v>10.21</v>
      </c>
      <c r="AQ108" s="72" t="n">
        <v>-16.53</v>
      </c>
      <c r="AR108" s="72" t="n">
        <v>-12.25</v>
      </c>
      <c r="AS108" s="72" t="n">
        <v>-27.89</v>
      </c>
      <c r="AT108" s="72" t="n">
        <v>-37.89</v>
      </c>
      <c r="AU108" s="72" t="n">
        <v>-48.56</v>
      </c>
      <c r="AV108" s="72" t="n">
        <v>-17.9</v>
      </c>
      <c r="AW108" s="72" t="n">
        <v>1.68</v>
      </c>
      <c r="AX108" s="72" t="n">
        <v>1.37</v>
      </c>
      <c r="AY108" s="63" t="inlineStr">
        <is>
          <t>HSTECH (Hang Seng TECH ETF)</t>
        </is>
      </c>
      <c r="AZ108" s="72" t="n">
        <v>-75.2</v>
      </c>
      <c r="BA108" s="64" t="inlineStr">
        <is>
          <t>2026-08-28</t>
        </is>
      </c>
      <c r="BB108" s="65" t="n"/>
      <c r="BC108" s="68" t="n"/>
      <c r="BD108" s="63" t="n"/>
      <c r="BE108" s="75">
        <f>IF('BBG Verify'!O108="","not filed — run on terminal",'BBG Verify'!O108)</f>
        <v/>
      </c>
      <c r="BF108" s="74" t="n"/>
      <c r="BG108" s="74" t="n"/>
      <c r="BH108" s="74" t="n"/>
      <c r="BI108" s="75">
        <f>IF('BBG Verify'!S108="","not filed — run on terminal",'BBG Verify'!S108)</f>
        <v/>
      </c>
      <c r="BJ108" s="76" t="inlineStr">
        <is>
          <t>N</t>
        </is>
      </c>
      <c r="BK108" s="77">
        <f>IF('BBG Verify'!K108="","not filed — run on terminal",'BBG Verify'!K108)</f>
        <v/>
      </c>
      <c r="BL108" s="63" t="inlineStr">
        <is>
          <t>N/A</t>
        </is>
      </c>
      <c r="BM108" s="63" t="inlineStr">
        <is>
          <t>N/A</t>
        </is>
      </c>
      <c r="BN108" s="63" t="inlineStr">
        <is>
          <t>N/A</t>
        </is>
      </c>
      <c r="BO108" s="63" t="inlineStr">
        <is>
          <t>N/A</t>
        </is>
      </c>
      <c r="BP108" s="63" t="inlineStr">
        <is>
          <t>N/A</t>
        </is>
      </c>
      <c r="BQ108" s="63" t="inlineStr">
        <is>
          <t>N/A</t>
        </is>
      </c>
      <c r="BR108" s="76" t="n"/>
      <c r="BS108" s="63" t="inlineStr">
        <is>
          <t>China International Capital Corporation Hong Kong Securities Limited; J.P. Morgan Securities (Far East) Limited; CMB International Capital Limited; Credit Suisse (Hong Kong) Limited</t>
        </is>
      </c>
      <c r="BT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V108" s="78">
        <f>HYPERLINK("https://www1.hkexnews.hk/listedco/listconews/sehk/2022/0411/2022041100022.htm","prospectus")</f>
        <v/>
      </c>
      <c r="BW108" s="78">
        <f>HYPERLINK("https://www1.hkexnews.hk/listedco/listconews/sehk/2022/0421/2022042100020.htm","allotment")</f>
        <v/>
      </c>
      <c r="BX108" s="78">
        <f>HYPERLINK("https://www1.hkexnews.hk/listedco/listconews/sehk/2022/0515/2022051500043.pdf","stabilisation")</f>
        <v/>
      </c>
      <c r="BY108" s="76" t="n"/>
      <c r="BZ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72" t="n"/>
      <c r="AC109" s="66" t="n"/>
      <c r="AD109" s="72" t="n"/>
      <c r="AE109" s="63" t="n"/>
      <c r="AF109" s="63" t="inlineStr">
        <is>
          <t>partial</t>
        </is>
      </c>
      <c r="AG109" s="63" t="inlineStr">
        <is>
          <t>2022-05-22</t>
        </is>
      </c>
      <c r="AH109" s="63" t="inlineStr">
        <is>
          <t>Guotai Junan Securities</t>
        </is>
      </c>
      <c r="AI109" s="63" t="inlineStr">
        <is>
          <t>Guotai Junan</t>
        </is>
      </c>
      <c r="AJ109" s="73" t="n">
        <v>0</v>
      </c>
      <c r="AK109" s="72" t="n">
        <v>0</v>
      </c>
      <c r="AL109" s="72" t="n">
        <v>0</v>
      </c>
      <c r="AM109" s="72" t="n">
        <v>-4.2</v>
      </c>
      <c r="AN109" s="72" t="n">
        <v>-0</v>
      </c>
      <c r="AO109" s="72" t="n">
        <v>-18.49</v>
      </c>
      <c r="AP109" s="72" t="n">
        <v>-4.2</v>
      </c>
      <c r="AQ109" s="72" t="n">
        <v>0</v>
      </c>
      <c r="AR109" s="72" t="n">
        <v>-18.49</v>
      </c>
      <c r="AS109" s="72" t="n">
        <v>0.41</v>
      </c>
      <c r="AT109" s="72" t="n">
        <v>-0.61</v>
      </c>
      <c r="AU109" s="72" t="n">
        <v>-4.38</v>
      </c>
      <c r="AV109" s="72" t="n">
        <v>-0.17</v>
      </c>
      <c r="AW109" s="72" t="n">
        <v>0.61</v>
      </c>
      <c r="AX109" s="72" t="n">
        <v>0.17</v>
      </c>
      <c r="AY109" s="63" t="inlineStr">
        <is>
          <t>Hang Seng Properties sub-index</t>
        </is>
      </c>
      <c r="AZ109" s="72" t="n">
        <v>-71.59999999999999</v>
      </c>
      <c r="BA109" s="64" t="inlineStr">
        <is>
          <t>2026-08-28</t>
        </is>
      </c>
      <c r="BB109" s="65" t="n">
        <v>1312.8</v>
      </c>
      <c r="BC109" s="68" t="n">
        <v>143.4</v>
      </c>
      <c r="BD109" s="63" t="inlineStr">
        <is>
          <t>Y</t>
        </is>
      </c>
      <c r="BE109" s="74" t="n">
        <v>5.5</v>
      </c>
      <c r="BF109" s="74" t="n"/>
      <c r="BG109" s="74" t="n">
        <v>7.1</v>
      </c>
      <c r="BH109" s="74" t="n">
        <v>0.6</v>
      </c>
      <c r="BI109" s="75">
        <f>IF('BBG Verify'!S109="","not filed — run on terminal",'BBG Verify'!S109)</f>
        <v/>
      </c>
      <c r="BJ109" s="76" t="inlineStr">
        <is>
          <t>N</t>
        </is>
      </c>
      <c r="BK109" s="77">
        <f>IF('BBG Verify'!K109="","not filed — run on terminal",'BBG Verify'!K109)</f>
        <v/>
      </c>
      <c r="BL109" s="63" t="inlineStr">
        <is>
          <t>N/A</t>
        </is>
      </c>
      <c r="BM109" s="63" t="inlineStr">
        <is>
          <t>N/A</t>
        </is>
      </c>
      <c r="BN109" s="63" t="inlineStr">
        <is>
          <t>N/A</t>
        </is>
      </c>
      <c r="BO109" s="63" t="inlineStr">
        <is>
          <t>N/A</t>
        </is>
      </c>
      <c r="BP109" s="63" t="inlineStr">
        <is>
          <t>N/A</t>
        </is>
      </c>
      <c r="BQ109" s="63" t="inlineStr">
        <is>
          <t>N/A</t>
        </is>
      </c>
      <c r="BR109" s="76" t="inlineStr">
        <is>
          <t>Guotai Junan Capital Limited</t>
        </is>
      </c>
      <c r="BS109" s="63" t="inlineStr">
        <is>
          <t>Guotai Junan Capital Limited</t>
        </is>
      </c>
      <c r="BT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U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V109" s="78">
        <f>HYPERLINK("https://www1.hkexnews.hk/listedco/listconews/sehk/2022/0419/2022041900041.pdf","prospectus")</f>
        <v/>
      </c>
      <c r="BW109" s="78">
        <f>HYPERLINK("https://www1.hkexnews.hk/listedco/listconews/sehk/2022/0428/2022042800071.htm","allotment")</f>
        <v/>
      </c>
      <c r="BX109" s="78">
        <f>HYPERLINK("https://www1.hkexnews.hk/listedco/listconews/sehk/2022/0523/2022052300039.pdf","stabilisation")</f>
        <v/>
      </c>
      <c r="BY109" s="76" t="n"/>
      <c r="BZ10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72" t="n"/>
      <c r="AC110" s="66" t="n"/>
      <c r="AD110" s="72" t="n"/>
      <c r="AE110" s="63" t="n"/>
      <c r="AF110" s="63" t="inlineStr">
        <is>
          <t>partial</t>
        </is>
      </c>
      <c r="AG110" s="63" t="n"/>
      <c r="AH110" s="63" t="inlineStr">
        <is>
          <t>CMB International Securities Limited</t>
        </is>
      </c>
      <c r="AI110" s="63" t="inlineStr">
        <is>
          <t>CMB</t>
        </is>
      </c>
      <c r="AJ110" s="73" t="n">
        <v>7.73</v>
      </c>
      <c r="AK110" s="72" t="n">
        <v>0</v>
      </c>
      <c r="AL110" s="72" t="n">
        <v>7.73</v>
      </c>
      <c r="AM110" s="72" t="n">
        <v>15.34</v>
      </c>
      <c r="AN110" s="72" t="n">
        <v>94.42</v>
      </c>
      <c r="AO110" s="72" t="n">
        <v>129.4</v>
      </c>
      <c r="AP110" s="72" t="n">
        <v>7.06</v>
      </c>
      <c r="AQ110" s="72" t="n">
        <v>80.47</v>
      </c>
      <c r="AR110" s="72" t="n">
        <v>112.94</v>
      </c>
      <c r="AS110" s="72" t="n">
        <v>17.68</v>
      </c>
      <c r="AT110" s="72" t="n">
        <v>88.43000000000001</v>
      </c>
      <c r="AU110" s="72" t="n">
        <v>119.58</v>
      </c>
      <c r="AV110" s="72" t="n">
        <v>73.54000000000001</v>
      </c>
      <c r="AW110" s="72" t="n">
        <v>5.99</v>
      </c>
      <c r="AX110" s="72" t="n">
        <v>6.93</v>
      </c>
      <c r="AY110" s="63" t="inlineStr">
        <is>
          <t>China Biotech ETF (HS biotech proxy)</t>
        </is>
      </c>
      <c r="AZ110" s="72" t="n">
        <v>-92.70999999999999</v>
      </c>
      <c r="BA110" s="64" t="inlineStr">
        <is>
          <t>2026-08-28</t>
        </is>
      </c>
      <c r="BB110" s="65" t="n">
        <v>1320.4</v>
      </c>
      <c r="BC110" s="68" t="n">
        <v>286.2</v>
      </c>
      <c r="BD110" s="63" t="inlineStr">
        <is>
          <t>Y</t>
        </is>
      </c>
      <c r="BE110" s="74" t="n">
        <v>15.2</v>
      </c>
      <c r="BF110" s="74" t="n"/>
      <c r="BG110" s="74" t="n">
        <v>58.6</v>
      </c>
      <c r="BH110" s="74" t="n">
        <v>3.3</v>
      </c>
      <c r="BI110" s="75">
        <f>IF('BBG Verify'!S110="","not filed — run on terminal",'BBG Verify'!S110)</f>
        <v/>
      </c>
      <c r="BJ110" s="76" t="inlineStr">
        <is>
          <t>N</t>
        </is>
      </c>
      <c r="BK110" s="77">
        <f>IF('BBG Verify'!K110="","not filed — run on terminal",'BBG Verify'!K110)</f>
        <v/>
      </c>
      <c r="BL110" s="63" t="inlineStr">
        <is>
          <t>N/A</t>
        </is>
      </c>
      <c r="BM110" s="63" t="inlineStr">
        <is>
          <t>N/A</t>
        </is>
      </c>
      <c r="BN110" s="63" t="inlineStr">
        <is>
          <t>N/A</t>
        </is>
      </c>
      <c r="BO110" s="63" t="inlineStr">
        <is>
          <t>N/A</t>
        </is>
      </c>
      <c r="BP110" s="63" t="inlineStr">
        <is>
          <t>N/A</t>
        </is>
      </c>
      <c r="BQ110" s="63" t="inlineStr">
        <is>
          <t>N/A</t>
        </is>
      </c>
      <c r="BR110" s="76" t="inlineStr">
        <is>
          <t>CMB International Capital Limited; SPDB International Capital Limited</t>
        </is>
      </c>
      <c r="BS110" s="63" t="inlineStr">
        <is>
          <t>CMB International Capital Limited; SPDB International Capital Limited</t>
        </is>
      </c>
      <c r="BT110" s="63" t="inlineStr">
        <is>
          <t>CMB International Capital Limited; SPDB International Capital Limited; China Merchants Securities (HK) Co., Limited; CCB International Capital Limited; CRIC Securities Company Limited; Futu Securities International (Hong Kong) Limited</t>
        </is>
      </c>
      <c r="BU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V110" s="78">
        <f>HYPERLINK("https://www1.hkexnews.hk/listedco/listconews/sehk/2022/0505/2022050500011.pdf","prospectus")</f>
        <v/>
      </c>
      <c r="BW110" s="78">
        <f>HYPERLINK("https://www1.hkexnews.hk/listedco/listconews/sehk/2022/0517/2022051700032.htm","allotment")</f>
        <v/>
      </c>
      <c r="BX110" s="78">
        <f>HYPERLINK("https://www1.hkexnews.hk/listedco/listconews/sehk/2022/0610/2022061001076.pdf","stabilisation")</f>
        <v/>
      </c>
      <c r="BY110" s="76" t="n"/>
      <c r="BZ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72" t="n"/>
      <c r="AC111" s="66" t="n"/>
      <c r="AD111" s="72" t="n"/>
      <c r="AE111" s="63" t="n"/>
      <c r="AF111" s="63" t="inlineStr">
        <is>
          <t>lapsed</t>
        </is>
      </c>
      <c r="AG111" s="63" t="n"/>
      <c r="AH111" s="63" t="inlineStr">
        <is>
          <t>CMBC Securities Company Limited</t>
        </is>
      </c>
      <c r="AI111" s="63" t="inlineStr">
        <is>
          <t>CMBC</t>
        </is>
      </c>
      <c r="AJ111" s="73" t="n">
        <v>0</v>
      </c>
      <c r="AK111" s="72" t="n">
        <v>8.57</v>
      </c>
      <c r="AL111" s="72" t="n">
        <v>-7.89</v>
      </c>
      <c r="AM111" s="72" t="n">
        <v>-6.19</v>
      </c>
      <c r="AN111" s="72" t="n">
        <v>-28.1</v>
      </c>
      <c r="AO111" s="72" t="n">
        <v>-35.24</v>
      </c>
      <c r="AP111" s="72" t="n">
        <v>-6.19</v>
      </c>
      <c r="AQ111" s="72" t="n">
        <v>-28.1</v>
      </c>
      <c r="AR111" s="72" t="n">
        <v>-35.24</v>
      </c>
      <c r="AS111" s="72" t="n">
        <v>-1.68</v>
      </c>
      <c r="AT111" s="72" t="n">
        <v>-21.83</v>
      </c>
      <c r="AU111" s="72" t="n">
        <v>-20.29</v>
      </c>
      <c r="AV111" s="72" t="n">
        <v>-21.45</v>
      </c>
      <c r="AW111" s="72" t="n">
        <v>-6.27</v>
      </c>
      <c r="AX111" s="72" t="n">
        <v>-6.65</v>
      </c>
      <c r="AY111" s="63" t="inlineStr">
        <is>
          <t>Hang Seng Commerce &amp; Industry sub-index</t>
        </is>
      </c>
      <c r="AZ111" s="72" t="n">
        <v>-66.43000000000001</v>
      </c>
      <c r="BA111" s="64" t="inlineStr">
        <is>
          <t>2026-08-28</t>
        </is>
      </c>
      <c r="BB111" s="65" t="n">
        <v>523</v>
      </c>
      <c r="BC111" s="68" t="n">
        <v>33.7</v>
      </c>
      <c r="BD111" s="63" t="inlineStr">
        <is>
          <t>Y</t>
        </is>
      </c>
      <c r="BE111" s="74" t="n">
        <v>37.1</v>
      </c>
      <c r="BF111" s="74" t="n"/>
      <c r="BG111" s="74" t="n">
        <v>20.8</v>
      </c>
      <c r="BH111" s="74" t="n">
        <v>2.4</v>
      </c>
      <c r="BI111" s="75">
        <f>IF('BBG Verify'!S111="","not filed — run on terminal",'BBG Verify'!S111)</f>
        <v/>
      </c>
      <c r="BJ111" s="76" t="inlineStr">
        <is>
          <t>N</t>
        </is>
      </c>
      <c r="BK111" s="77">
        <f>IF('BBG Verify'!K111="","not filed — run on terminal",'BBG Verify'!K111)</f>
        <v/>
      </c>
      <c r="BL111" s="63" t="inlineStr">
        <is>
          <t>N/A</t>
        </is>
      </c>
      <c r="BM111" s="63" t="inlineStr">
        <is>
          <t>N/A</t>
        </is>
      </c>
      <c r="BN111" s="63" t="inlineStr">
        <is>
          <t>N/A</t>
        </is>
      </c>
      <c r="BO111" s="63" t="inlineStr">
        <is>
          <t>N/A</t>
        </is>
      </c>
      <c r="BP111" s="63" t="inlineStr">
        <is>
          <t>N/A</t>
        </is>
      </c>
      <c r="BQ111" s="63" t="inlineStr">
        <is>
          <t>N/A</t>
        </is>
      </c>
      <c r="BR111" s="76" t="inlineStr">
        <is>
          <t>CMBC International Capital Limited; Financial Adviser Note Wings Securities Limited</t>
        </is>
      </c>
      <c r="BS111" s="63" t="inlineStr">
        <is>
          <t>CMBC International Capital Limited</t>
        </is>
      </c>
      <c r="BT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U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V111" s="78">
        <f>HYPERLINK("https://www1.hkexnews.hk/listedco/listconews/sehk/2022/0526/2022052600069.pdf","prospectus")</f>
        <v/>
      </c>
      <c r="BW111" s="78">
        <f>HYPERLINK("https://www1.hkexnews.hk/listedco/listconews/sehk/2022/0609/2022060900032.htm","allotment")</f>
        <v/>
      </c>
      <c r="BX111" s="78">
        <f>HYPERLINK("https://www1.hkexnews.hk/listedco/listconews/sehk/2022/0630/2022063000818.pdf","stabilisation")</f>
        <v/>
      </c>
      <c r="BY111" s="76" t="n"/>
      <c r="BZ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72" t="n"/>
      <c r="AC112" s="66" t="n"/>
      <c r="AD112" s="72" t="n"/>
      <c r="AE112" s="63" t="n"/>
      <c r="AF112" s="63" t="inlineStr">
        <is>
          <t>lapsed</t>
        </is>
      </c>
      <c r="AG112" s="63" t="inlineStr">
        <is>
          <t>2022-07-15</t>
        </is>
      </c>
      <c r="AH112" s="63" t="inlineStr">
        <is>
          <t>China Securities</t>
        </is>
      </c>
      <c r="AI112" s="63" t="inlineStr">
        <is>
          <t>China Securities</t>
        </is>
      </c>
      <c r="AJ112" s="73" t="n">
        <v>0</v>
      </c>
      <c r="AK112" s="72" t="n">
        <v>8.220000000000001</v>
      </c>
      <c r="AL112" s="72" t="n">
        <v>-7.6</v>
      </c>
      <c r="AM112" s="72" t="n">
        <v>-1.11</v>
      </c>
      <c r="AN112" s="72" t="n">
        <v>-1.22</v>
      </c>
      <c r="AO112" s="72" t="n">
        <v>-24.22</v>
      </c>
      <c r="AP112" s="72" t="n">
        <v>-1.11</v>
      </c>
      <c r="AQ112" s="72" t="n">
        <v>-1.22</v>
      </c>
      <c r="AR112" s="72" t="n">
        <v>-24.22</v>
      </c>
      <c r="AS112" s="72" t="n">
        <v>-4.87</v>
      </c>
      <c r="AT112" s="72" t="n">
        <v>-6.85</v>
      </c>
      <c r="AU112" s="72" t="n">
        <v>-9.83</v>
      </c>
      <c r="AV112" s="72" t="n">
        <v>-8.07</v>
      </c>
      <c r="AW112" s="72" t="n">
        <v>5.63</v>
      </c>
      <c r="AX112" s="72" t="n">
        <v>6.85</v>
      </c>
      <c r="AY112" s="63" t="inlineStr">
        <is>
          <t>China Biotech ETF (HS biotech proxy)</t>
        </is>
      </c>
      <c r="AZ112" s="72" t="n">
        <v>-60.56</v>
      </c>
      <c r="BA112" s="64" t="inlineStr">
        <is>
          <t>2026-08-28</t>
        </is>
      </c>
      <c r="BB112" s="65" t="n">
        <v>260.9</v>
      </c>
      <c r="BC112" s="68" t="n">
        <v>86.90000000000001</v>
      </c>
      <c r="BD112" s="63" t="inlineStr">
        <is>
          <t>Y</t>
        </is>
      </c>
      <c r="BE112" s="74" t="n">
        <v>49.6</v>
      </c>
      <c r="BF112" s="74" t="n">
        <v>24.8</v>
      </c>
      <c r="BG112" s="74" t="n">
        <v>43.5</v>
      </c>
      <c r="BH112" s="74" t="n">
        <v>16.5</v>
      </c>
      <c r="BI112" s="75">
        <f>IF('BBG Verify'!S112="","not filed — run on terminal",'BBG Verify'!S112)</f>
        <v/>
      </c>
      <c r="BJ112" s="76" t="inlineStr">
        <is>
          <t>N</t>
        </is>
      </c>
      <c r="BK112" s="77">
        <f>IF('BBG Verify'!K112="","not filed — run on terminal",'BBG Verify'!K112)</f>
        <v/>
      </c>
      <c r="BL112" s="63" t="inlineStr">
        <is>
          <t>N/A</t>
        </is>
      </c>
      <c r="BM112" s="63" t="inlineStr">
        <is>
          <t>N/A</t>
        </is>
      </c>
      <c r="BN112" s="63" t="inlineStr">
        <is>
          <t>N/A</t>
        </is>
      </c>
      <c r="BO112" s="63" t="inlineStr">
        <is>
          <t>N/A</t>
        </is>
      </c>
      <c r="BP112" s="63" t="inlineStr">
        <is>
          <t>N/A</t>
        </is>
      </c>
      <c r="BQ112" s="63" t="inlineStr">
        <is>
          <t>N/A</t>
        </is>
      </c>
      <c r="BR112" s="76" t="inlineStr">
        <is>
          <t>China Securities (International) Corporate Finance Company Limited</t>
        </is>
      </c>
      <c r="BS112" s="63" t="inlineStr">
        <is>
          <t>China Securities (International) Corporate Finance Company Limited</t>
        </is>
      </c>
      <c r="BT112" s="63" t="inlineStr">
        <is>
          <t>China Securities (International) Corporate Finance Company Limited; China Merchants Securities (HK) Co., Limited</t>
        </is>
      </c>
      <c r="BU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V112" s="78">
        <f>HYPERLINK("https://www1.hkexnews.hk/listedco/listconews/sehk/2022/0610/2022061000015.pdf","prospectus")</f>
        <v/>
      </c>
      <c r="BW112" s="78">
        <f>HYPERLINK("https://www1.hkexnews.hk/listedco/listconews/sehk/2022/0621/2022062100030.htm","allotment")</f>
        <v/>
      </c>
      <c r="BX112" s="78">
        <f>HYPERLINK("https://www1.hkexnews.hk/listedco/listconews/sehk/2022/0715/2022071501424.pdf","stabilisation")</f>
        <v/>
      </c>
      <c r="BY112" s="76" t="n"/>
      <c r="BZ112" s="63" t="inlineStr">
        <is>
          <t>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72" t="n"/>
      <c r="AC113" s="66" t="n"/>
      <c r="AD113" s="72" t="n"/>
      <c r="AE113" s="63" t="n"/>
      <c r="AF113" s="63" t="inlineStr">
        <is>
          <t>lapsed</t>
        </is>
      </c>
      <c r="AG113" s="63" t="inlineStr">
        <is>
          <t>2022-07-17</t>
        </is>
      </c>
      <c r="AH113" s="63" t="inlineStr">
        <is>
          <t>UBS AG Hong Kong Branch</t>
        </is>
      </c>
      <c r="AI113" s="63" t="inlineStr">
        <is>
          <t>UBS</t>
        </is>
      </c>
      <c r="AJ113" s="73" t="n">
        <v>-22.23</v>
      </c>
      <c r="AK113" s="72" t="n">
        <v>0</v>
      </c>
      <c r="AL113" s="72" t="n">
        <v>-22.23</v>
      </c>
      <c r="AM113" s="72" t="n">
        <v>-47.91</v>
      </c>
      <c r="AN113" s="72" t="n">
        <v>-68.33</v>
      </c>
      <c r="AO113" s="72" t="n">
        <v>-76.73999999999999</v>
      </c>
      <c r="AP113" s="72" t="n">
        <v>-33.02</v>
      </c>
      <c r="AQ113" s="72" t="n">
        <v>-59.28</v>
      </c>
      <c r="AR113" s="72" t="n">
        <v>-70.09</v>
      </c>
      <c r="AS113" s="72" t="n">
        <v>-51.25</v>
      </c>
      <c r="AT113" s="72" t="n">
        <v>-67.92</v>
      </c>
      <c r="AU113" s="72" t="n">
        <v>-59.72</v>
      </c>
      <c r="AV113" s="72" t="n">
        <v>-55.88</v>
      </c>
      <c r="AW113" s="72" t="n">
        <v>-0.41</v>
      </c>
      <c r="AX113" s="72" t="n">
        <v>-3.4</v>
      </c>
      <c r="AY113" s="63" t="inlineStr">
        <is>
          <t>Hang Seng Commerce &amp; Industry sub-index</t>
        </is>
      </c>
      <c r="AZ113" s="72" t="n">
        <v>-99.44</v>
      </c>
      <c r="BA113" s="64" t="inlineStr">
        <is>
          <t>2026-08-31</t>
        </is>
      </c>
      <c r="BB113" s="65" t="n">
        <v>583.4</v>
      </c>
      <c r="BC113" s="68" t="n">
        <v>-960.1</v>
      </c>
      <c r="BD113" s="63" t="inlineStr">
        <is>
          <t>N</t>
        </is>
      </c>
      <c r="BE113" s="63" t="inlineStr">
        <is>
          <t>n/m</t>
        </is>
      </c>
      <c r="BF113" s="74" t="n"/>
      <c r="BG113" s="74" t="n"/>
      <c r="BH113" s="74" t="n">
        <v>22.5</v>
      </c>
      <c r="BI113" s="75">
        <f>IF('BBG Verify'!S113="","not filed — run on terminal",'BBG Verify'!S113)</f>
        <v/>
      </c>
      <c r="BJ113" s="76" t="inlineStr">
        <is>
          <t>N</t>
        </is>
      </c>
      <c r="BK113" s="77">
        <f>IF('BBG Verify'!K113="","not filed — run on terminal",'BBG Verify'!K113)</f>
        <v/>
      </c>
      <c r="BL113" s="63" t="inlineStr">
        <is>
          <t>N/A</t>
        </is>
      </c>
      <c r="BM113" s="63" t="inlineStr">
        <is>
          <t>N/A</t>
        </is>
      </c>
      <c r="BN113" s="63" t="inlineStr">
        <is>
          <t>N/A</t>
        </is>
      </c>
      <c r="BO113" s="63" t="inlineStr">
        <is>
          <t>N/A</t>
        </is>
      </c>
      <c r="BP113" s="63" t="inlineStr">
        <is>
          <t>N/A</t>
        </is>
      </c>
      <c r="BQ113" s="63" t="inlineStr">
        <is>
          <t>N/A</t>
        </is>
      </c>
      <c r="BR113" s="76" t="inlineStr">
        <is>
          <t>UBS Securities Hong Kong Limited; China International Capital Corporation Hong Kong Securities Limited; BOCOM International (Asia) Limited; ABCI Capital Limited</t>
        </is>
      </c>
      <c r="BS113" s="63" t="inlineStr">
        <is>
          <t>China International Capital Corporation Hong Kong Securities Limited; UBS Securities Hong Kong Limited; BOCOM International (Asia) Limited; ABCI Capital Limited</t>
        </is>
      </c>
      <c r="BT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U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V113" s="78">
        <f>HYPERLINK("https://www1.hkexnews.hk/listedco/listconews/sehk/2022/0614/2022061400009.pdf","prospectus")</f>
        <v/>
      </c>
      <c r="BW113" s="78">
        <f>HYPERLINK("https://www1.hkexnews.hk/listedco/listconews/sehk/2022/0623/2022062300034.htm","allotment")</f>
        <v/>
      </c>
      <c r="BX113" s="78">
        <f>HYPERLINK("https://www1.hkexnews.hk/listedco/listconews/sehk/2022/0718/2022071800093.pdf","stabilisation")</f>
        <v/>
      </c>
      <c r="BY113" s="76" t="n"/>
      <c r="BZ1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72" t="n"/>
      <c r="AC114" s="66" t="n"/>
      <c r="AD114" s="72" t="n"/>
      <c r="AE114" s="63" t="n"/>
      <c r="AF114" s="63" t="inlineStr">
        <is>
          <t>partial</t>
        </is>
      </c>
      <c r="AG114" s="63" t="inlineStr">
        <is>
          <t>2022-07-24</t>
        </is>
      </c>
      <c r="AH114" s="63" t="inlineStr">
        <is>
          <t>China International Capital Corporation Hong Kong Securities Limited</t>
        </is>
      </c>
      <c r="AI114" s="63" t="inlineStr">
        <is>
          <t>China International</t>
        </is>
      </c>
      <c r="AJ114" s="73" t="n">
        <v>-0.08</v>
      </c>
      <c r="AK114" s="72" t="n">
        <v>-0.08</v>
      </c>
      <c r="AL114" s="72" t="n">
        <v>0</v>
      </c>
      <c r="AM114" s="72" t="n">
        <v>2.72</v>
      </c>
      <c r="AN114" s="72" t="n">
        <v>-19.07</v>
      </c>
      <c r="AO114" s="72" t="n">
        <v>-22.26</v>
      </c>
      <c r="AP114" s="72" t="n">
        <v>2.8</v>
      </c>
      <c r="AQ114" s="72" t="n">
        <v>-19.01</v>
      </c>
      <c r="AR114" s="72" t="n">
        <v>-22.2</v>
      </c>
      <c r="AS114" s="72" t="n">
        <v>5.43</v>
      </c>
      <c r="AT114" s="72" t="n">
        <v>-6.78</v>
      </c>
      <c r="AU114" s="72" t="n">
        <v>7.17</v>
      </c>
      <c r="AV114" s="72" t="n">
        <v>-7.81</v>
      </c>
      <c r="AW114" s="72" t="n">
        <v>-12.29</v>
      </c>
      <c r="AX114" s="72" t="n">
        <v>-11.2</v>
      </c>
      <c r="AY114" s="63" t="inlineStr">
        <is>
          <t>HSTECH (Hang Seng TECH ETF)</t>
        </is>
      </c>
      <c r="AZ114" s="72" t="n">
        <v>-68.09</v>
      </c>
      <c r="BA114" s="64" t="inlineStr">
        <is>
          <t>2026-08-28</t>
        </is>
      </c>
      <c r="BB114" s="65" t="n">
        <v>442.1</v>
      </c>
      <c r="BC114" s="68" t="n">
        <v>19.6</v>
      </c>
      <c r="BD114" s="63" t="inlineStr">
        <is>
          <t>Y</t>
        </is>
      </c>
      <c r="BE114" s="74" t="n">
        <v>114.2</v>
      </c>
      <c r="BF114" s="74" t="n"/>
      <c r="BG114" s="74" t="n">
        <v>10.2</v>
      </c>
      <c r="BH114" s="74" t="n">
        <v>5.1</v>
      </c>
      <c r="BI114" s="75">
        <f>IF('BBG Verify'!S114="","not filed — run on terminal",'BBG Verify'!S114)</f>
        <v/>
      </c>
      <c r="BJ114" s="76" t="inlineStr">
        <is>
          <t>N</t>
        </is>
      </c>
      <c r="BK114" s="77">
        <f>IF('BBG Verify'!K114="","not filed — run on terminal",'BBG Verify'!K114)</f>
        <v/>
      </c>
      <c r="BL114" s="63" t="inlineStr">
        <is>
          <t>N/A</t>
        </is>
      </c>
      <c r="BM114" s="63" t="inlineStr">
        <is>
          <t>N/A</t>
        </is>
      </c>
      <c r="BN114" s="63" t="inlineStr">
        <is>
          <t>N/A</t>
        </is>
      </c>
      <c r="BO114" s="63" t="inlineStr">
        <is>
          <t>N/A</t>
        </is>
      </c>
      <c r="BP114" s="63" t="inlineStr">
        <is>
          <t>N/A</t>
        </is>
      </c>
      <c r="BQ114" s="63" t="inlineStr">
        <is>
          <t>N/A</t>
        </is>
      </c>
      <c r="BR114" s="76" t="inlineStr">
        <is>
          <t>China International Capital Corporation Hong Kong Securities Limited</t>
        </is>
      </c>
      <c r="BS114" s="63" t="inlineStr">
        <is>
          <t>China International Capital Corporation Hong Kong Securities Limited</t>
        </is>
      </c>
      <c r="BT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U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V114" s="78">
        <f>HYPERLINK("https://www1.hkexnews.hk/listedco/listconews/sehk/2022/0621/2022062100009.pdf","prospectus")</f>
        <v/>
      </c>
      <c r="BW114" s="78">
        <f>HYPERLINK("https://www1.hkexnews.hk/listedco/listconews/sehk/2022/0629/2022062900092.htm","allotment")</f>
        <v/>
      </c>
      <c r="BX114" s="78">
        <f>HYPERLINK("https://www1.hkexnews.hk/listedco/listconews/sehk/2022/0724/2022072400037.pdf","stabilisation")</f>
        <v/>
      </c>
      <c r="BY114" s="76" t="n"/>
      <c r="BZ11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72" t="n"/>
      <c r="AC115" s="66" t="n"/>
      <c r="AD115" s="72" t="n"/>
      <c r="AE115" s="63" t="n"/>
      <c r="AF115" s="63" t="inlineStr">
        <is>
          <t>lapsed (no over-allocation)</t>
        </is>
      </c>
      <c r="AG115" s="63" t="n"/>
      <c r="AH115" s="63" t="n"/>
      <c r="AI115" s="63" t="n"/>
      <c r="AJ115" s="73" t="n">
        <v>0</v>
      </c>
      <c r="AK115" s="72" t="n">
        <v>11.11</v>
      </c>
      <c r="AL115" s="72" t="n">
        <v>-10</v>
      </c>
      <c r="AM115" s="72" t="n">
        <v>4.76</v>
      </c>
      <c r="AN115" s="72" t="n">
        <v>-30.16</v>
      </c>
      <c r="AO115" s="72" t="n">
        <v>-30.16</v>
      </c>
      <c r="AP115" s="72" t="n">
        <v>4.76</v>
      </c>
      <c r="AQ115" s="72" t="n">
        <v>-30.16</v>
      </c>
      <c r="AR115" s="72" t="n">
        <v>-30.16</v>
      </c>
      <c r="AS115" s="72" t="n">
        <v>4.94</v>
      </c>
      <c r="AT115" s="72" t="n">
        <v>-21.1</v>
      </c>
      <c r="AU115" s="72" t="n">
        <v>-8.720000000000001</v>
      </c>
      <c r="AV115" s="72" t="n">
        <v>-22.14</v>
      </c>
      <c r="AW115" s="72" t="n">
        <v>-9.06</v>
      </c>
      <c r="AX115" s="72" t="n">
        <v>-8.02</v>
      </c>
      <c r="AY115" s="63" t="inlineStr">
        <is>
          <t>Hang Seng Commerce &amp; Industry sub-index</t>
        </is>
      </c>
      <c r="AZ115" s="72" t="n">
        <v>57.94</v>
      </c>
      <c r="BA115" s="64" t="inlineStr">
        <is>
          <t>2026-08-28</t>
        </is>
      </c>
      <c r="BB115" s="65" t="n">
        <v>407.3</v>
      </c>
      <c r="BC115" s="68" t="n">
        <v>39.3</v>
      </c>
      <c r="BD115" s="63" t="inlineStr">
        <is>
          <t>Y</t>
        </is>
      </c>
      <c r="BE115" s="74" t="n">
        <v>13.6</v>
      </c>
      <c r="BF115" s="74" t="n"/>
      <c r="BG115" s="74" t="n"/>
      <c r="BH115" s="74" t="n">
        <v>1.3</v>
      </c>
      <c r="BI115" s="75">
        <f>IF('BBG Verify'!S115="","not filed — run on terminal",'BBG Verify'!S115)</f>
        <v/>
      </c>
      <c r="BJ115" s="76" t="inlineStr">
        <is>
          <t>N</t>
        </is>
      </c>
      <c r="BK115" s="77">
        <f>IF('BBG Verify'!K115="","not filed — run on terminal",'BBG Verify'!K115)</f>
        <v/>
      </c>
      <c r="BL115" s="63" t="inlineStr">
        <is>
          <t>N/A</t>
        </is>
      </c>
      <c r="BM115" s="63" t="inlineStr">
        <is>
          <t>N/A</t>
        </is>
      </c>
      <c r="BN115" s="63" t="inlineStr">
        <is>
          <t>N/A</t>
        </is>
      </c>
      <c r="BO115" s="63" t="inlineStr">
        <is>
          <t>N/A</t>
        </is>
      </c>
      <c r="BP115" s="63" t="inlineStr">
        <is>
          <t>N/A</t>
        </is>
      </c>
      <c r="BQ115" s="63" t="inlineStr">
        <is>
          <t>N/A</t>
        </is>
      </c>
      <c r="BR115" s="76" t="n"/>
      <c r="BS115" s="63" t="inlineStr">
        <is>
          <t>Grande Capital Limited</t>
        </is>
      </c>
      <c r="BT115" s="63" t="inlineStr">
        <is>
          <t>China Galaxy International Securities (Hong Kong) Company Limited; Cinda International Capital Limited; CRIC Securities Company Limited; First Shanghai Securities Limited; Kingsway Financial Services Group Limited; Livermore Holdings Limited</t>
        </is>
      </c>
      <c r="BU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V115" s="78">
        <f>HYPERLINK("https://www1.hkexnews.hk/listedco/listconews/sehk/2022/0617/2022061700066.htm","prospectus")</f>
        <v/>
      </c>
      <c r="BW115" s="78">
        <f>HYPERLINK("https://www1.hkexnews.hk/listedco/listconews/sehk/2022/0629/2022062900108.htm","allotment")</f>
        <v/>
      </c>
      <c r="BX115" s="78">
        <f>HYPERLINK("https://www1.hkexnews.hk/listedco/listconews/sehk/2022/0722/2022072201214.pdf","stabilisation")</f>
        <v/>
      </c>
      <c r="BY115" s="76" t="n"/>
      <c r="BZ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72" t="n"/>
      <c r="AC116" s="66" t="n"/>
      <c r="AD116" s="72" t="n"/>
      <c r="AE116" s="63" t="n"/>
      <c r="AF116" s="63" t="inlineStr">
        <is>
          <t>lapsed</t>
        </is>
      </c>
      <c r="AG116" s="63" t="n"/>
      <c r="AH116" s="63" t="inlineStr">
        <is>
          <t>Morgan Stanley Asia Limited</t>
        </is>
      </c>
      <c r="AI116" s="63" t="inlineStr">
        <is>
          <t>Morgan Stanley</t>
        </is>
      </c>
      <c r="AJ116" s="73" t="n">
        <v>0</v>
      </c>
      <c r="AK116" s="72" t="n">
        <v>1.35</v>
      </c>
      <c r="AL116" s="72" t="n">
        <v>-1.33</v>
      </c>
      <c r="AM116" s="72" t="n">
        <v>-2.07</v>
      </c>
      <c r="AN116" s="72" t="n">
        <v>-30.05</v>
      </c>
      <c r="AO116" s="72" t="n">
        <v>-60.62</v>
      </c>
      <c r="AP116" s="72" t="n">
        <v>-2.07</v>
      </c>
      <c r="AQ116" s="72" t="n">
        <v>-30.05</v>
      </c>
      <c r="AR116" s="72" t="n">
        <v>-60.62</v>
      </c>
      <c r="AS116" s="72" t="n">
        <v>5.15</v>
      </c>
      <c r="AT116" s="72" t="n">
        <v>-16.97</v>
      </c>
      <c r="AU116" s="72" t="n">
        <v>-30.77</v>
      </c>
      <c r="AV116" s="72" t="n">
        <v>-17.48</v>
      </c>
      <c r="AW116" s="72" t="n">
        <v>-13.08</v>
      </c>
      <c r="AX116" s="72" t="n">
        <v>-12.57</v>
      </c>
      <c r="AY116" s="63" t="inlineStr">
        <is>
          <t>HSTECH (Hang Seng TECH ETF)</t>
        </is>
      </c>
      <c r="AZ116" s="72" t="n">
        <v>-23.32</v>
      </c>
      <c r="BA116" s="64" t="inlineStr">
        <is>
          <t>2026-08-28</t>
        </is>
      </c>
      <c r="BB116" s="65" t="n">
        <v>2356.2</v>
      </c>
      <c r="BC116" s="68" t="n">
        <v>-1368.3</v>
      </c>
      <c r="BD116" s="63" t="inlineStr">
        <is>
          <t>N</t>
        </is>
      </c>
      <c r="BE116" s="63" t="inlineStr">
        <is>
          <t>n/m</t>
        </is>
      </c>
      <c r="BF116" s="74" t="n"/>
      <c r="BG116" s="74" t="n"/>
      <c r="BH116" s="74" t="n">
        <v>5.6</v>
      </c>
      <c r="BI116" s="75">
        <f>IF('BBG Verify'!S116="","not filed — run on terminal",'BBG Verify'!S116)</f>
        <v/>
      </c>
      <c r="BJ116" s="76" t="inlineStr">
        <is>
          <t>N</t>
        </is>
      </c>
      <c r="BK116" s="77">
        <f>IF('BBG Verify'!K116="","not filed — run on terminal",'BBG Verify'!K116)</f>
        <v/>
      </c>
      <c r="BL116" s="63" t="inlineStr">
        <is>
          <t>N/A</t>
        </is>
      </c>
      <c r="BM116" s="63" t="inlineStr">
        <is>
          <t>N/A</t>
        </is>
      </c>
      <c r="BN116" s="63" t="inlineStr">
        <is>
          <t>N/A</t>
        </is>
      </c>
      <c r="BO116" s="63" t="inlineStr">
        <is>
          <t>N/A</t>
        </is>
      </c>
      <c r="BP116" s="63" t="inlineStr">
        <is>
          <t>N/A</t>
        </is>
      </c>
      <c r="BQ116" s="63" t="inlineStr">
        <is>
          <t>N/A</t>
        </is>
      </c>
      <c r="BR116" s="76" t="inlineStr">
        <is>
          <t>China International Capital Corporation Hong Kong Securities Limited; Merrill Lynch (Asia Pacific) Limited; Morgan Stanley Asia Limited</t>
        </is>
      </c>
      <c r="BS116" s="63" t="inlineStr">
        <is>
          <t>China International Capital Corporation Hong Kong Securities Limited; Morgan Stanley Asia Limited; Merrill Lynch (Asia Pacific) Limited</t>
        </is>
      </c>
      <c r="BT116" s="63" t="inlineStr">
        <is>
          <t>China International Capital Corporation Hong Kong Securities Limited; Morgan Stanley Asia Limited; Merrill Lynch (Asia Pacific) Limited; CMB International Capital Limited; Tiger Brokers (HK) Global Limited</t>
        </is>
      </c>
      <c r="BU116" s="63" t="inlineStr">
        <is>
          <t>China International Capital Corporation Hong Kong Securities Limited; CMB International Capital Corporation Limited; Merrill Lynch (Asia Pacific) Limited; Morgan Stanley Asia Limited; Tiger Brokers (HK) Global Limited</t>
        </is>
      </c>
      <c r="BV116" s="78">
        <f>HYPERLINK("https://www1.hkexnews.hk/listedco/listconews/sehk/2022/0622/2022062200189.pdf","prospectus")</f>
        <v/>
      </c>
      <c r="BW116" s="78">
        <f>HYPERLINK("https://www1.hkexnews.hk/listedco/listconews/sehk/2022/0704/2022070400032.htm","allotment")</f>
        <v/>
      </c>
      <c r="BX116" s="78">
        <f>HYPERLINK("https://www1.hkexnews.hk/listedco/listconews/sehk/2022/0727/2022072701192.pdf","stabilisation")</f>
        <v/>
      </c>
      <c r="BY116" s="76" t="n"/>
      <c r="BZ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72" t="n"/>
      <c r="AC117" s="66" t="n"/>
      <c r="AD117" s="72" t="n"/>
      <c r="AE117" s="63" t="n"/>
      <c r="AF117" s="63" t="inlineStr">
        <is>
          <t>lapsed</t>
        </is>
      </c>
      <c r="AG117" s="63" t="inlineStr">
        <is>
          <t>2022-07-28</t>
        </is>
      </c>
      <c r="AH117" s="63" t="inlineStr">
        <is>
          <t>Morgan Stanley Asia Limited</t>
        </is>
      </c>
      <c r="AI117" s="63" t="inlineStr">
        <is>
          <t>Morgan Stanley</t>
        </is>
      </c>
      <c r="AJ117" s="73" t="n">
        <v>-7.54</v>
      </c>
      <c r="AK117" s="72" t="n">
        <v>0</v>
      </c>
      <c r="AL117" s="72" t="n">
        <v>-7.54</v>
      </c>
      <c r="AM117" s="72" t="n">
        <v>-9.84</v>
      </c>
      <c r="AN117" s="72" t="n">
        <v>-33.77</v>
      </c>
      <c r="AO117" s="72" t="n">
        <v>-54.43</v>
      </c>
      <c r="AP117" s="72" t="n">
        <v>-2.49</v>
      </c>
      <c r="AQ117" s="72" t="n">
        <v>-28.37</v>
      </c>
      <c r="AR117" s="72" t="n">
        <v>-50.71</v>
      </c>
      <c r="AS117" s="72" t="n">
        <v>-2.59</v>
      </c>
      <c r="AT117" s="72" t="n">
        <v>-20.96</v>
      </c>
      <c r="AU117" s="72" t="n">
        <v>-30.06</v>
      </c>
      <c r="AV117" s="72" t="n">
        <v>-17.17</v>
      </c>
      <c r="AW117" s="72" t="n">
        <v>-12.81</v>
      </c>
      <c r="AX117" s="72" t="n">
        <v>-11.2</v>
      </c>
      <c r="AY117" s="63" t="inlineStr">
        <is>
          <t>China Biotech ETF (HS biotech proxy)</t>
        </is>
      </c>
      <c r="AZ117" s="72" t="n">
        <v>-98.36</v>
      </c>
      <c r="BA117" s="64" t="inlineStr">
        <is>
          <t>2026-08-28</t>
        </is>
      </c>
      <c r="BB117" s="65" t="n"/>
      <c r="BC117" s="68" t="n"/>
      <c r="BD117" s="63" t="n"/>
      <c r="BE117" s="75">
        <f>IF('BBG Verify'!O117="","not filed — run on terminal",'BBG Verify'!O117)</f>
        <v/>
      </c>
      <c r="BF117" s="74" t="n"/>
      <c r="BG117" s="74" t="n"/>
      <c r="BH117" s="74" t="n"/>
      <c r="BI117" s="75">
        <f>IF('BBG Verify'!S117="","not filed — run on terminal",'BBG Verify'!S117)</f>
        <v/>
      </c>
      <c r="BJ117" s="76" t="inlineStr">
        <is>
          <t>N</t>
        </is>
      </c>
      <c r="BK117" s="77">
        <f>IF('BBG Verify'!K117="","not filed — run on terminal",'BBG Verify'!K117)</f>
        <v/>
      </c>
      <c r="BL117" s="63" t="inlineStr">
        <is>
          <t>N/A</t>
        </is>
      </c>
      <c r="BM117" s="63" t="inlineStr">
        <is>
          <t>N/A</t>
        </is>
      </c>
      <c r="BN117" s="63" t="inlineStr">
        <is>
          <t>N/A</t>
        </is>
      </c>
      <c r="BO117" s="63" t="inlineStr">
        <is>
          <t>N/A</t>
        </is>
      </c>
      <c r="BP117" s="63" t="inlineStr">
        <is>
          <t>N/A</t>
        </is>
      </c>
      <c r="BQ117" s="63" t="inlineStr">
        <is>
          <t>N/A</t>
        </is>
      </c>
      <c r="BR117" s="76" t="n"/>
      <c r="BS117" s="63" t="inlineStr">
        <is>
          <t>Morgan Stanley Asia Limited; J.P. Morgan Securities (Far East) Limited</t>
        </is>
      </c>
      <c r="BT117" s="63" t="inlineStr">
        <is>
          <t>China International Capital Corporation Hong Kong Securities Limited; CMB International Capital Limited; J.P. Morgan Securities (Asia Pacific) Limited; Morgan Stanley Asia Limited; Valuable Capital Limited</t>
        </is>
      </c>
      <c r="BU117" s="63" t="inlineStr">
        <is>
          <t>China International Capital Corporation Hong Kong Securities Limited; CMB International Capital Limited; J.P. Morgan Securities (Asia Pacific) Limited; Morgan Stanley Asia Limited; Valuable Capital Limited</t>
        </is>
      </c>
      <c r="BV117" s="78">
        <f>HYPERLINK("https://www1.hkexnews.hk/listedco/listconews/sehk/2022/0623/2022062300064.htm","prospectus")</f>
        <v/>
      </c>
      <c r="BW117" s="78">
        <f>HYPERLINK("https://www1.hkexnews.hk/listedco/listconews/sehk/2022/0705/2022070500012.htm","allotment")</f>
        <v/>
      </c>
      <c r="BX117" s="78">
        <f>HYPERLINK("https://www1.hkexnews.hk/listedco/listconews/sehk/2022/0728/2022072801570.pdf","stabilisation")</f>
        <v/>
      </c>
      <c r="BY117" s="76" t="n"/>
      <c r="BZ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72" t="n"/>
      <c r="AC118" s="66" t="n"/>
      <c r="AD118" s="72" t="n"/>
      <c r="AE118" s="63" t="n"/>
      <c r="AF118" s="63" t="inlineStr">
        <is>
          <t>lapsed</t>
        </is>
      </c>
      <c r="AG118" s="63" t="inlineStr">
        <is>
          <t>2022-07-30</t>
        </is>
      </c>
      <c r="AH118" s="63" t="inlineStr">
        <is>
          <t>ABCI Securities Company Limited</t>
        </is>
      </c>
      <c r="AI118" s="63" t="inlineStr">
        <is>
          <t>ABCI</t>
        </is>
      </c>
      <c r="AJ118" s="73" t="n">
        <v>-25.17</v>
      </c>
      <c r="AK118" s="72" t="n">
        <v>-15.37</v>
      </c>
      <c r="AL118" s="72" t="n">
        <v>-11.58</v>
      </c>
      <c r="AM118" s="72" t="n">
        <v>-39.19</v>
      </c>
      <c r="AN118" s="72" t="n">
        <v>-57.43</v>
      </c>
      <c r="AO118" s="72" t="n">
        <v>-60.3</v>
      </c>
      <c r="AP118" s="72" t="n">
        <v>-18.74</v>
      </c>
      <c r="AQ118" s="72" t="n">
        <v>-43.11</v>
      </c>
      <c r="AR118" s="72" t="n">
        <v>-46.95</v>
      </c>
      <c r="AS118" s="72" t="n">
        <v>-31.5</v>
      </c>
      <c r="AT118" s="72" t="n">
        <v>-46.54</v>
      </c>
      <c r="AU118" s="72" t="n">
        <v>-41.93</v>
      </c>
      <c r="AV118" s="72" t="n">
        <v>-31.36</v>
      </c>
      <c r="AW118" s="72" t="n">
        <v>-10.89</v>
      </c>
      <c r="AX118" s="72" t="n">
        <v>-11.75</v>
      </c>
      <c r="AY118" s="63" t="inlineStr">
        <is>
          <t>Hang Seng Properties sub-index</t>
        </is>
      </c>
      <c r="AZ118" s="72" t="n">
        <v>-59.97</v>
      </c>
      <c r="BA118" s="64" t="inlineStr">
        <is>
          <t>2026-08-28</t>
        </is>
      </c>
      <c r="BB118" s="65" t="n">
        <v>641.1</v>
      </c>
      <c r="BC118" s="68" t="n">
        <v>84.7</v>
      </c>
      <c r="BD118" s="63" t="inlineStr">
        <is>
          <t>Y</t>
        </is>
      </c>
      <c r="BE118" s="74" t="n">
        <v>11.4</v>
      </c>
      <c r="BF118" s="74" t="n"/>
      <c r="BG118" s="74" t="n">
        <v>7.4</v>
      </c>
      <c r="BH118" s="74" t="n">
        <v>1.5</v>
      </c>
      <c r="BI118" s="75">
        <f>IF('BBG Verify'!S118="","not filed — run on terminal",'BBG Verify'!S118)</f>
        <v/>
      </c>
      <c r="BJ118" s="76" t="inlineStr">
        <is>
          <t>N</t>
        </is>
      </c>
      <c r="BK118" s="77">
        <f>IF('BBG Verify'!K118="","not filed — run on terminal",'BBG Verify'!K118)</f>
        <v/>
      </c>
      <c r="BL118" s="63" t="inlineStr">
        <is>
          <t>N/A</t>
        </is>
      </c>
      <c r="BM118" s="63" t="inlineStr">
        <is>
          <t>N/A</t>
        </is>
      </c>
      <c r="BN118" s="63" t="inlineStr">
        <is>
          <t>N/A</t>
        </is>
      </c>
      <c r="BO118" s="63" t="inlineStr">
        <is>
          <t>N/A</t>
        </is>
      </c>
      <c r="BP118" s="63" t="inlineStr">
        <is>
          <t>N/A</t>
        </is>
      </c>
      <c r="BQ118" s="63" t="inlineStr">
        <is>
          <t>N/A</t>
        </is>
      </c>
      <c r="BR118" s="76" t="inlineStr">
        <is>
          <t>ABCI Capital Limited</t>
        </is>
      </c>
      <c r="BS118" s="63" t="inlineStr">
        <is>
          <t>ABCI Capital Limited</t>
        </is>
      </c>
      <c r="BT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U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V118" s="78">
        <f>HYPERLINK("https://www1.hkexnews.hk/listedco/listconews/sehk/2022/0627/2022062700017.pdf","prospectus")</f>
        <v/>
      </c>
      <c r="BW118" s="78">
        <f>HYPERLINK("https://www1.hkexnews.hk/listedco/listconews/sehk/2022/0707/2022070700020.htm","allotment")</f>
        <v/>
      </c>
      <c r="BX118" s="78">
        <f>HYPERLINK("https://www1.hkexnews.hk/listedco/listconews/sehk/2022/0801/2022080101943.pdf","stabilisation")</f>
        <v/>
      </c>
      <c r="BY118" s="76" t="n"/>
      <c r="BZ11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72" t="n"/>
      <c r="AC119" s="66" t="n"/>
      <c r="AD119" s="72" t="n"/>
      <c r="AE119" s="63" t="n"/>
      <c r="AF119" s="63" t="inlineStr">
        <is>
          <t>lapsed</t>
        </is>
      </c>
      <c r="AG119" s="63" t="inlineStr">
        <is>
          <t>2022-07-30</t>
        </is>
      </c>
      <c r="AH119" s="63" t="inlineStr">
        <is>
          <t>CMB International Global Markets Limited</t>
        </is>
      </c>
      <c r="AI119" s="63" t="inlineStr">
        <is>
          <t>CMB</t>
        </is>
      </c>
      <c r="AJ119" s="73" t="n">
        <v>0.64</v>
      </c>
      <c r="AK119" s="72" t="n">
        <v>0</v>
      </c>
      <c r="AL119" s="72" t="n">
        <v>0.64</v>
      </c>
      <c r="AM119" s="72" t="n">
        <v>-7.05</v>
      </c>
      <c r="AN119" s="72" t="n">
        <v>4.17</v>
      </c>
      <c r="AO119" s="72" t="n">
        <v>-3.21</v>
      </c>
      <c r="AP119" s="72" t="n">
        <v>-7.64</v>
      </c>
      <c r="AQ119" s="72" t="n">
        <v>3.51</v>
      </c>
      <c r="AR119" s="72" t="n">
        <v>-3.83</v>
      </c>
      <c r="AS119" s="72" t="n">
        <v>-0.33</v>
      </c>
      <c r="AT119" s="72" t="n">
        <v>12.94</v>
      </c>
      <c r="AU119" s="72" t="n">
        <v>22.36</v>
      </c>
      <c r="AV119" s="72" t="n">
        <v>12.93</v>
      </c>
      <c r="AW119" s="72" t="n">
        <v>-8.77</v>
      </c>
      <c r="AX119" s="72" t="n">
        <v>-9.42</v>
      </c>
      <c r="AY119" s="63" t="inlineStr">
        <is>
          <t>HSTECH (Hang Seng TECH ETF)</t>
        </is>
      </c>
      <c r="AZ119" s="72" t="n">
        <v>-85.58</v>
      </c>
      <c r="BA119" s="64" t="inlineStr">
        <is>
          <t>2026-08-28</t>
        </is>
      </c>
      <c r="BB119" s="65" t="n">
        <v>876.4</v>
      </c>
      <c r="BC119" s="68" t="n">
        <v>32.2</v>
      </c>
      <c r="BD119" s="63" t="inlineStr">
        <is>
          <t>Y</t>
        </is>
      </c>
      <c r="BE119" s="74" t="n">
        <v>120.2</v>
      </c>
      <c r="BF119" s="74" t="n"/>
      <c r="BG119" s="74" t="n"/>
      <c r="BH119" s="74" t="n">
        <v>4.4</v>
      </c>
      <c r="BI119" s="75">
        <f>IF('BBG Verify'!S119="","not filed — run on terminal",'BBG Verify'!S119)</f>
        <v/>
      </c>
      <c r="BJ119" s="76" t="inlineStr">
        <is>
          <t>N</t>
        </is>
      </c>
      <c r="BK119" s="77">
        <f>IF('BBG Verify'!K119="","not filed — run on terminal",'BBG Verify'!K119)</f>
        <v/>
      </c>
      <c r="BL119" s="63" t="inlineStr">
        <is>
          <t>N/A</t>
        </is>
      </c>
      <c r="BM119" s="63" t="inlineStr">
        <is>
          <t>N/A</t>
        </is>
      </c>
      <c r="BN119" s="63" t="inlineStr">
        <is>
          <t>N/A</t>
        </is>
      </c>
      <c r="BO119" s="63" t="inlineStr">
        <is>
          <t>N/A</t>
        </is>
      </c>
      <c r="BP119" s="63" t="inlineStr">
        <is>
          <t>N/A</t>
        </is>
      </c>
      <c r="BQ119" s="63" t="inlineStr">
        <is>
          <t>N/A</t>
        </is>
      </c>
      <c r="BR119" s="76" t="inlineStr">
        <is>
          <t>CMB International Capital Limited</t>
        </is>
      </c>
      <c r="BS119" s="63" t="inlineStr">
        <is>
          <t>CMB International Capital Corporation Limited</t>
        </is>
      </c>
      <c r="BT119" s="63" t="inlineStr">
        <is>
          <t>CMB International Capital Limited; Huatai Financial Holdings (Hong Kong) Limited; CLSA Limited; Guotai Junan Securities (Hong Kong) Limited; Citrus Securities Limited</t>
        </is>
      </c>
      <c r="BU119" s="63" t="inlineStr">
        <is>
          <t>Citrus Securities Limited; CLSA Limited; CMB International Capital Limited; Guotai Junan Securities (Hong Kong) Limited; Huatai Financial Holdings (Hong Kong) Limited; Livermore Holdings Limited</t>
        </is>
      </c>
      <c r="BV119" s="78">
        <f>HYPERLINK("https://www1.hkexnews.hk/listedco/listconews/sehk/2022/0624/2022062400033.pdf","prospectus")</f>
        <v/>
      </c>
      <c r="BW119" s="78">
        <f>HYPERLINK("https://www1.hkexnews.hk/listedco/listconews/sehk/2022/0707/2022070700032.htm","allotment")</f>
        <v/>
      </c>
      <c r="BX119" s="78">
        <f>HYPERLINK("https://www1.hkexnews.hk/listedco/listconews/sehk/2022/0731/2022073100021.pdf","stabilisation")</f>
        <v/>
      </c>
      <c r="BY119" s="76" t="n"/>
      <c r="BZ11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72" t="n"/>
      <c r="AC120" s="66" t="n"/>
      <c r="AD120" s="72" t="n"/>
      <c r="AE120" s="63" t="n"/>
      <c r="AF120" s="63" t="inlineStr">
        <is>
          <t>partial</t>
        </is>
      </c>
      <c r="AG120" s="63" t="inlineStr">
        <is>
          <t>2022-07-30</t>
        </is>
      </c>
      <c r="AH120" s="63" t="inlineStr">
        <is>
          <t>Huatai Financial Holdings</t>
        </is>
      </c>
      <c r="AI120" s="63" t="inlineStr">
        <is>
          <t>Huatai</t>
        </is>
      </c>
      <c r="AJ120" s="73" t="n">
        <v>-15.38</v>
      </c>
      <c r="AK120" s="72" t="n">
        <v>-10.26</v>
      </c>
      <c r="AL120" s="72" t="n">
        <v>-5.71</v>
      </c>
      <c r="AM120" s="72" t="n">
        <v>-18.11</v>
      </c>
      <c r="AN120" s="72" t="n">
        <v>-33.49</v>
      </c>
      <c r="AO120" s="72" t="n">
        <v>-52.88</v>
      </c>
      <c r="AP120" s="72" t="n">
        <v>-3.23</v>
      </c>
      <c r="AQ120" s="72" t="n">
        <v>-21.4</v>
      </c>
      <c r="AR120" s="72" t="n">
        <v>-44.32</v>
      </c>
      <c r="AS120" s="72" t="n">
        <v>-13.29</v>
      </c>
      <c r="AT120" s="72" t="n">
        <v>-25.89</v>
      </c>
      <c r="AU120" s="72" t="n">
        <v>-28.65</v>
      </c>
      <c r="AV120" s="72" t="n">
        <v>-14.39</v>
      </c>
      <c r="AW120" s="72" t="n">
        <v>-7.6</v>
      </c>
      <c r="AX120" s="72" t="n">
        <v>-7.01</v>
      </c>
      <c r="AY120" s="63" t="inlineStr">
        <is>
          <t>China Biotech ETF (HS biotech proxy)</t>
        </is>
      </c>
      <c r="AZ120" s="72" t="n">
        <v>-96.88</v>
      </c>
      <c r="BA120" s="64" t="inlineStr">
        <is>
          <t>2026-08-28</t>
        </is>
      </c>
      <c r="BB120" s="65" t="n">
        <v>89.3</v>
      </c>
      <c r="BC120" s="68" t="n">
        <v>-697</v>
      </c>
      <c r="BD120" s="63" t="inlineStr">
        <is>
          <t>N</t>
        </is>
      </c>
      <c r="BE120" s="63" t="inlineStr">
        <is>
          <t>n/m</t>
        </is>
      </c>
      <c r="BF120" s="74" t="n"/>
      <c r="BG120" s="74" t="n"/>
      <c r="BH120" s="74" t="n">
        <v>81.59999999999999</v>
      </c>
      <c r="BI120" s="75">
        <f>IF('BBG Verify'!S120="","not filed — run on terminal",'BBG Verify'!S120)</f>
        <v/>
      </c>
      <c r="BJ120" s="76" t="inlineStr">
        <is>
          <t>N</t>
        </is>
      </c>
      <c r="BK120" s="77">
        <f>IF('BBG Verify'!K120="","not filed — run on terminal",'BBG Verify'!K120)</f>
        <v/>
      </c>
      <c r="BL120" s="63" t="inlineStr">
        <is>
          <t>N/A</t>
        </is>
      </c>
      <c r="BM120" s="63" t="inlineStr">
        <is>
          <t>N/A</t>
        </is>
      </c>
      <c r="BN120" s="63" t="inlineStr">
        <is>
          <t>N/A</t>
        </is>
      </c>
      <c r="BO120" s="63" t="inlineStr">
        <is>
          <t>N/A</t>
        </is>
      </c>
      <c r="BP120" s="63" t="inlineStr">
        <is>
          <t>N/A</t>
        </is>
      </c>
      <c r="BQ120" s="63" t="inlineStr">
        <is>
          <t>N/A</t>
        </is>
      </c>
      <c r="BR120" s="76" t="inlineStr">
        <is>
          <t>Huatai Financial Holdings (Hong Kong) Limited</t>
        </is>
      </c>
      <c r="BS120" s="63" t="inlineStr">
        <is>
          <t>Huatai Financial Holdings (Hong Kong) Limited</t>
        </is>
      </c>
      <c r="BT120" s="63" t="inlineStr">
        <is>
          <t>Huatai Financial Holdings (Hong Kong) Limited; Zhongtai International Securities Limited; BOCOM International Securities Limited; Eddid Securities and Futures Limited</t>
        </is>
      </c>
      <c r="BU120" s="63" t="inlineStr">
        <is>
          <t>Beta International Securities Limited; Eddid Securities and Futures Limited; Huatai Financial Holdings (Hong Kong) Limited; Livermore Holdings Limited; Zhongtai International Securities Limited</t>
        </is>
      </c>
      <c r="BV120" s="78">
        <f>HYPERLINK("https://www1.hkexnews.hk/listedco/listconews/sehk/2022/0627/2022062700021.pdf","prospectus")</f>
        <v/>
      </c>
      <c r="BW120" s="78">
        <f>HYPERLINK("https://www1.hkexnews.hk/listedco/listconews/sehk/2022/0707/2022070700056.htm","allotment")</f>
        <v/>
      </c>
      <c r="BX120" s="78">
        <f>HYPERLINK("https://www1.hkexnews.hk/listedco/listconews/sehk/2022/0801/2022080100005.pdf","stabilisation")</f>
        <v/>
      </c>
      <c r="BY120" s="76" t="n"/>
      <c r="BZ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72" t="n"/>
      <c r="AC121" s="66" t="n"/>
      <c r="AD121" s="72" t="n"/>
      <c r="AE121" s="63" t="n"/>
      <c r="AF121" s="63" t="inlineStr">
        <is>
          <t>partial</t>
        </is>
      </c>
      <c r="AG121" s="63" t="n"/>
      <c r="AH121" s="63" t="inlineStr">
        <is>
          <t>BNP Paribas Securities</t>
        </is>
      </c>
      <c r="AI121" s="63" t="inlineStr">
        <is>
          <t>BNP Paribas</t>
        </is>
      </c>
      <c r="AJ121" s="73" t="n">
        <v>0</v>
      </c>
      <c r="AK121" s="72" t="n">
        <v>-11.57</v>
      </c>
      <c r="AL121" s="72" t="n">
        <v>13.08</v>
      </c>
      <c r="AM121" s="72" t="n">
        <v>11.94</v>
      </c>
      <c r="AN121" s="72" t="n">
        <v>-1.49</v>
      </c>
      <c r="AO121" s="72" t="n">
        <v>-38.06</v>
      </c>
      <c r="AP121" s="72" t="n">
        <v>11.94</v>
      </c>
      <c r="AQ121" s="72" t="n">
        <v>-1.49</v>
      </c>
      <c r="AR121" s="72" t="n">
        <v>-38.06</v>
      </c>
      <c r="AS121" s="72" t="n">
        <v>15.54</v>
      </c>
      <c r="AT121" s="72" t="n">
        <v>7.56</v>
      </c>
      <c r="AU121" s="72" t="n">
        <v>-12.31</v>
      </c>
      <c r="AV121" s="72" t="n">
        <v>4.62</v>
      </c>
      <c r="AW121" s="72" t="n">
        <v>-9.050000000000001</v>
      </c>
      <c r="AX121" s="72" t="n">
        <v>-6.11</v>
      </c>
      <c r="AY121" s="63" t="inlineStr">
        <is>
          <t>China Biotech ETF (HS biotech proxy)</t>
        </is>
      </c>
      <c r="AZ121" s="72" t="n">
        <v>-10.54</v>
      </c>
      <c r="BA121" s="64" t="inlineStr">
        <is>
          <t>2026-08-28</t>
        </is>
      </c>
      <c r="BB121" s="65" t="n">
        <v>356.6</v>
      </c>
      <c r="BC121" s="68" t="n">
        <v>79.2</v>
      </c>
      <c r="BD121" s="63" t="inlineStr">
        <is>
          <t>Y</t>
        </is>
      </c>
      <c r="BE121" s="74" t="n">
        <v>37.6</v>
      </c>
      <c r="BF121" s="74" t="n"/>
      <c r="BG121" s="74" t="n">
        <v>22.1</v>
      </c>
      <c r="BH121" s="74" t="n">
        <v>8.4</v>
      </c>
      <c r="BI121" s="75">
        <f>IF('BBG Verify'!S121="","not filed — run on terminal",'BBG Verify'!S121)</f>
        <v/>
      </c>
      <c r="BJ121" s="76" t="inlineStr">
        <is>
          <t>N</t>
        </is>
      </c>
      <c r="BK121" s="77">
        <f>IF('BBG Verify'!K121="","not filed — run on terminal",'BBG Verify'!K121)</f>
        <v/>
      </c>
      <c r="BL121" s="63" t="inlineStr">
        <is>
          <t>N/A</t>
        </is>
      </c>
      <c r="BM121" s="63" t="inlineStr">
        <is>
          <t>N/A</t>
        </is>
      </c>
      <c r="BN121" s="63" t="inlineStr">
        <is>
          <t>N/A</t>
        </is>
      </c>
      <c r="BO121" s="63" t="inlineStr">
        <is>
          <t>N/A</t>
        </is>
      </c>
      <c r="BP121" s="63" t="inlineStr">
        <is>
          <t>N/A</t>
        </is>
      </c>
      <c r="BQ121" s="63" t="inlineStr">
        <is>
          <t>N/A</t>
        </is>
      </c>
      <c r="BR121" s="76" t="inlineStr">
        <is>
          <t>BNP Paribas Securities (Asia) Limited</t>
        </is>
      </c>
      <c r="BS121" s="63" t="inlineStr">
        <is>
          <t>BNP Paribas Securities (Asia) Limited</t>
        </is>
      </c>
      <c r="BT121" s="63" t="inlineStr">
        <is>
          <t>BNP Paribas Securities (Asia) Limited; CCB International Capital Limited; Orient Securities (Hong Kong) Limited</t>
        </is>
      </c>
      <c r="BU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V121" s="78">
        <f>HYPERLINK("https://www1.hkexnews.hk/listedco/listconews/sehk/2022/0628/2022062800038.pdf","prospectus")</f>
        <v/>
      </c>
      <c r="BW121" s="78">
        <f>HYPERLINK("https://www1.hkexnews.hk/listedco/listconews/sehk/2022/0711/2022071100010.htm","allotment")</f>
        <v/>
      </c>
      <c r="BX121" s="78">
        <f>HYPERLINK("https://www1.hkexnews.hk/listedco/listconews/sehk/2022/0804/2022080401926.pdf","stabilisation")</f>
        <v/>
      </c>
      <c r="BY121" s="76" t="n"/>
      <c r="BZ121"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72" t="n"/>
      <c r="AC122" s="66" t="n"/>
      <c r="AD122" s="72" t="n"/>
      <c r="AE122" s="63" t="n"/>
      <c r="AF122" s="63" t="inlineStr">
        <is>
          <t>lapsed</t>
        </is>
      </c>
      <c r="AG122" s="63" t="inlineStr">
        <is>
          <t>2022-08-04</t>
        </is>
      </c>
      <c r="AH122" s="63" t="inlineStr">
        <is>
          <t>China Securities</t>
        </is>
      </c>
      <c r="AI122" s="63" t="inlineStr">
        <is>
          <t>China Securities</t>
        </is>
      </c>
      <c r="AJ122" s="73" t="n">
        <v>-5.26</v>
      </c>
      <c r="AK122" s="72" t="n">
        <v>-28.95</v>
      </c>
      <c r="AL122" s="72" t="n">
        <v>33.34</v>
      </c>
      <c r="AM122" s="72" t="n">
        <v>-3.03</v>
      </c>
      <c r="AN122" s="72" t="n">
        <v>-7.89</v>
      </c>
      <c r="AO122" s="72" t="n">
        <v>-6.32</v>
      </c>
      <c r="AP122" s="72" t="n">
        <v>2.35</v>
      </c>
      <c r="AQ122" s="72" t="n">
        <v>-2.78</v>
      </c>
      <c r="AR122" s="72" t="n">
        <v>-1.12</v>
      </c>
      <c r="AS122" s="72" t="n">
        <v>-1.27</v>
      </c>
      <c r="AT122" s="72" t="n">
        <v>1.14</v>
      </c>
      <c r="AU122" s="72" t="n">
        <v>22.53</v>
      </c>
      <c r="AV122" s="72" t="n">
        <v>4.83</v>
      </c>
      <c r="AW122" s="72" t="n">
        <v>-9.029999999999999</v>
      </c>
      <c r="AX122" s="72" t="n">
        <v>-7.61</v>
      </c>
      <c r="AY122" s="63" t="inlineStr">
        <is>
          <t>HSTECH (Hang Seng TECH ETF)</t>
        </is>
      </c>
      <c r="AZ122" s="72" t="n">
        <v>-24.8</v>
      </c>
      <c r="BA122" s="64" t="inlineStr">
        <is>
          <t>2026-08-28</t>
        </is>
      </c>
      <c r="BB122" s="65" t="n">
        <v>894.5</v>
      </c>
      <c r="BC122" s="68" t="n">
        <v>90.40000000000001</v>
      </c>
      <c r="BD122" s="63" t="inlineStr">
        <is>
          <t>Y</t>
        </is>
      </c>
      <c r="BE122" s="74" t="n">
        <v>36.7</v>
      </c>
      <c r="BF122" s="74" t="n"/>
      <c r="BG122" s="74" t="n"/>
      <c r="BH122" s="74" t="n">
        <v>3.7</v>
      </c>
      <c r="BI122" s="75">
        <f>IF('BBG Verify'!S122="","not filed — run on terminal",'BBG Verify'!S122)</f>
        <v/>
      </c>
      <c r="BJ122" s="76" t="inlineStr">
        <is>
          <t>N</t>
        </is>
      </c>
      <c r="BK122" s="77">
        <f>IF('BBG Verify'!K122="","not filed — run on terminal",'BBG Verify'!K122)</f>
        <v/>
      </c>
      <c r="BL122" s="63" t="inlineStr">
        <is>
          <t>N/A</t>
        </is>
      </c>
      <c r="BM122" s="63" t="inlineStr">
        <is>
          <t>N/A</t>
        </is>
      </c>
      <c r="BN122" s="63" t="inlineStr">
        <is>
          <t>N/A</t>
        </is>
      </c>
      <c r="BO122" s="63" t="inlineStr">
        <is>
          <t>N/A</t>
        </is>
      </c>
      <c r="BP122" s="63" t="inlineStr">
        <is>
          <t>N/A</t>
        </is>
      </c>
      <c r="BQ122" s="63" t="inlineStr">
        <is>
          <t>N/A</t>
        </is>
      </c>
      <c r="BR122" s="76" t="inlineStr">
        <is>
          <t>China Securities (International) Corporate Finance Company Limited; Macquarie Capital Limited</t>
        </is>
      </c>
      <c r="BS122" s="63" t="inlineStr">
        <is>
          <t>China Securities (International) Corporate Finance Company Limited; Macquarie Capital Limited</t>
        </is>
      </c>
      <c r="BT122" s="63" t="inlineStr">
        <is>
          <t>China Securities (International) Corporate Finance Company Limited; Macquarie Capital Limited</t>
        </is>
      </c>
      <c r="BU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V122" s="78">
        <f>HYPERLINK("https://www1.hkexnews.hk/listedco/listconews/sehk/2022/0629/2022062900037.pdf","prospectus")</f>
        <v/>
      </c>
      <c r="BW122" s="78">
        <f>HYPERLINK("https://www1.hkexnews.hk/listedco/listconews/sehk/2022/0711/2022071100024.htm","allotment")</f>
        <v/>
      </c>
      <c r="BX122" s="78">
        <f>HYPERLINK("https://www1.hkexnews.hk/listedco/listconews/sehk/2022/0804/2022080401924.pdf","stabilisation")</f>
        <v/>
      </c>
      <c r="BY122" s="76" t="n"/>
      <c r="BZ122"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72" t="n"/>
      <c r="AC123" s="66" t="n"/>
      <c r="AD123" s="72" t="n"/>
      <c r="AE123" s="63" t="n"/>
      <c r="AF123" s="63" t="inlineStr">
        <is>
          <t>partial</t>
        </is>
      </c>
      <c r="AG123" s="63" t="n"/>
      <c r="AH123" s="63" t="inlineStr">
        <is>
          <t>Merrill Lynch International</t>
        </is>
      </c>
      <c r="AI123" s="63" t="inlineStr">
        <is>
          <t>Merrill Lynch</t>
        </is>
      </c>
      <c r="AJ123" s="73" t="n">
        <v>-3.04</v>
      </c>
      <c r="AK123" s="72" t="n">
        <v>-4.35</v>
      </c>
      <c r="AL123" s="72" t="n">
        <v>1.37</v>
      </c>
      <c r="AM123" s="72" t="n">
        <v>3.77</v>
      </c>
      <c r="AN123" s="72" t="n">
        <v>-12.9</v>
      </c>
      <c r="AO123" s="72" t="n">
        <v>-26.23</v>
      </c>
      <c r="AP123" s="72" t="n">
        <v>7.02</v>
      </c>
      <c r="AQ123" s="72" t="n">
        <v>-10.17</v>
      </c>
      <c r="AR123" s="72" t="n">
        <v>-23.92</v>
      </c>
      <c r="AS123" s="72" t="n">
        <v>1.69</v>
      </c>
      <c r="AT123" s="72" t="n">
        <v>-9.449999999999999</v>
      </c>
      <c r="AU123" s="72" t="n">
        <v>-5.92</v>
      </c>
      <c r="AV123" s="72" t="n">
        <v>-6.55</v>
      </c>
      <c r="AW123" s="72" t="n">
        <v>-3.45</v>
      </c>
      <c r="AX123" s="72" t="n">
        <v>-3.62</v>
      </c>
      <c r="AY123" s="63" t="inlineStr">
        <is>
          <t>Hang Seng Commerce &amp; Industry sub-index</t>
        </is>
      </c>
      <c r="AZ123" s="72" t="n">
        <v>53.91</v>
      </c>
      <c r="BA123" s="64" t="inlineStr">
        <is>
          <t>2026-08-28</t>
        </is>
      </c>
      <c r="BB123" s="65" t="n">
        <v>11094.2</v>
      </c>
      <c r="BC123" s="68" t="n">
        <v>702</v>
      </c>
      <c r="BD123" s="63" t="inlineStr">
        <is>
          <t>Y</t>
        </is>
      </c>
      <c r="BE123" s="74" t="n">
        <v>18.3</v>
      </c>
      <c r="BF123" s="74" t="n"/>
      <c r="BG123" s="74" t="n"/>
      <c r="BH123" s="74" t="n">
        <v>1.2</v>
      </c>
      <c r="BI123" s="75">
        <f>IF('BBG Verify'!S123="","not filed — run on terminal",'BBG Verify'!S123)</f>
        <v/>
      </c>
      <c r="BJ123" s="76" t="inlineStr">
        <is>
          <t>N</t>
        </is>
      </c>
      <c r="BK123" s="77">
        <f>IF('BBG Verify'!K123="","not filed — run on terminal",'BBG Verify'!K123)</f>
        <v/>
      </c>
      <c r="BL123" s="63" t="inlineStr">
        <is>
          <t>N/A</t>
        </is>
      </c>
      <c r="BM123" s="63" t="inlineStr">
        <is>
          <t>N/A</t>
        </is>
      </c>
      <c r="BN123" s="63" t="inlineStr">
        <is>
          <t>N/A</t>
        </is>
      </c>
      <c r="BO123" s="63" t="inlineStr">
        <is>
          <t>N/A</t>
        </is>
      </c>
      <c r="BP123" s="63" t="inlineStr">
        <is>
          <t>N/A</t>
        </is>
      </c>
      <c r="BQ123" s="63" t="inlineStr">
        <is>
          <t>N/A</t>
        </is>
      </c>
      <c r="BR123" s="76" t="n"/>
      <c r="BS123" s="63" t="inlineStr">
        <is>
          <t>Haitong International Capital Limited; UBS Securities Hong Kong Limited; Merrill Lynch (Asia Pacific) Limited</t>
        </is>
      </c>
      <c r="BT123" s="63" t="inlineStr">
        <is>
          <t>Futu Securities International (Hong Kong) Limited; GF Securities (Hong Kong) Brokerage Limited; Haitong International Securities Company Limited; Merrill Lynch (Asia Pacific) Limited; UBS AG Hong Kong Branch</t>
        </is>
      </c>
      <c r="BU123" s="63" t="inlineStr">
        <is>
          <t>Futu Securities International (Hong Kong) Limited; GF Securities (Hong Kong) Brokerage Limited; Haitong International Securities Company Limited; Merrill Lynch (Asia Pacific) Limited; UBS AG Hong Kong Branch</t>
        </is>
      </c>
      <c r="BV123" s="78">
        <f>HYPERLINK("https://www1.hkexnews.hk/listedco/listconews/sehk/2022/0630/2022063000250.htm","prospectus")</f>
        <v/>
      </c>
      <c r="BW123" s="78">
        <f>HYPERLINK("https://www1.hkexnews.hk/listedco/listconews/sehk/2022/0712/2022071200016.htm","allotment")</f>
        <v/>
      </c>
      <c r="BX123" s="78">
        <f>HYPERLINK("https://www1.hkexnews.hk/listedco/listconews/sehk/2022/0805/2022080501253.pdf","stabilisation")</f>
        <v/>
      </c>
      <c r="BY123" s="76" t="n"/>
      <c r="BZ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72" t="n"/>
      <c r="AC124" s="66" t="n"/>
      <c r="AD124" s="72" t="n"/>
      <c r="AE124" s="63" t="n"/>
      <c r="AF124" s="63" t="inlineStr">
        <is>
          <t>partial</t>
        </is>
      </c>
      <c r="AG124" s="63" t="inlineStr">
        <is>
          <t>2022-08-04</t>
        </is>
      </c>
      <c r="AH124" s="63" t="inlineStr">
        <is>
          <t>BOCOM International Securities</t>
        </is>
      </c>
      <c r="AI124" s="63" t="inlineStr">
        <is>
          <t>BOCOM</t>
        </is>
      </c>
      <c r="AJ124" s="73" t="n">
        <v>-7.89</v>
      </c>
      <c r="AK124" s="72" t="n">
        <v>-1.64</v>
      </c>
      <c r="AL124" s="72" t="n">
        <v>-6.35</v>
      </c>
      <c r="AM124" s="72" t="n">
        <v>-1.32</v>
      </c>
      <c r="AN124" s="72" t="n">
        <v>-9.539999999999999</v>
      </c>
      <c r="AO124" s="72" t="n">
        <v>-5.43</v>
      </c>
      <c r="AP124" s="72" t="n">
        <v>7.13</v>
      </c>
      <c r="AQ124" s="72" t="n">
        <v>-1.79</v>
      </c>
      <c r="AR124" s="72" t="n">
        <v>2.67</v>
      </c>
      <c r="AS124" s="72" t="n">
        <v>-3.4</v>
      </c>
      <c r="AT124" s="72" t="n">
        <v>-6.09</v>
      </c>
      <c r="AU124" s="72" t="n">
        <v>14.88</v>
      </c>
      <c r="AV124" s="72" t="n">
        <v>1.83</v>
      </c>
      <c r="AW124" s="72" t="n">
        <v>-3.45</v>
      </c>
      <c r="AX124" s="72" t="n">
        <v>-3.62</v>
      </c>
      <c r="AY124" s="63" t="inlineStr">
        <is>
          <t>Hang Seng Commerce &amp; Industry sub-index</t>
        </is>
      </c>
      <c r="AZ124" s="72" t="n">
        <v>-18.67</v>
      </c>
      <c r="BA124" s="64" t="inlineStr">
        <is>
          <t>2026-08-28</t>
        </is>
      </c>
      <c r="BB124" s="65" t="n">
        <v>2044.6</v>
      </c>
      <c r="BC124" s="68" t="n">
        <v>183.4</v>
      </c>
      <c r="BD124" s="63" t="inlineStr">
        <is>
          <t>Y</t>
        </is>
      </c>
      <c r="BE124" s="74" t="n">
        <v>6</v>
      </c>
      <c r="BF124" s="74" t="n"/>
      <c r="BG124" s="74" t="n">
        <v>9.1</v>
      </c>
      <c r="BH124" s="74" t="n">
        <v>0.5</v>
      </c>
      <c r="BI124" s="75">
        <f>IF('BBG Verify'!S124="","not filed — run on terminal",'BBG Verify'!S124)</f>
        <v/>
      </c>
      <c r="BJ124" s="76" t="inlineStr">
        <is>
          <t>N</t>
        </is>
      </c>
      <c r="BK124" s="77">
        <f>IF('BBG Verify'!K124="","not filed — run on terminal",'BBG Verify'!K124)</f>
        <v/>
      </c>
      <c r="BL124" s="63" t="inlineStr">
        <is>
          <t>N/A</t>
        </is>
      </c>
      <c r="BM124" s="63" t="inlineStr">
        <is>
          <t>N/A</t>
        </is>
      </c>
      <c r="BN124" s="63" t="inlineStr">
        <is>
          <t>N/A</t>
        </is>
      </c>
      <c r="BO124" s="63" t="inlineStr">
        <is>
          <t>N/A</t>
        </is>
      </c>
      <c r="BP124" s="63" t="inlineStr">
        <is>
          <t>N/A</t>
        </is>
      </c>
      <c r="BQ124" s="63" t="inlineStr">
        <is>
          <t>N/A</t>
        </is>
      </c>
      <c r="BR124" s="76" t="inlineStr">
        <is>
          <t>BOCOM International (Asia) Limited</t>
        </is>
      </c>
      <c r="BS124" s="63" t="inlineStr">
        <is>
          <t>BOCOM International (Asia) Limited</t>
        </is>
      </c>
      <c r="BT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U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V124" s="78">
        <f>HYPERLINK("https://www1.hkexnews.hk/listedco/listconews/sehk/2022/0629/2022062900043.pdf","prospectus")</f>
        <v/>
      </c>
      <c r="BW124" s="78">
        <f>HYPERLINK("https://www1.hkexnews.hk/listedco/listconews/sehk/2022/0712/2022071200042.htm","allotment")</f>
        <v/>
      </c>
      <c r="BX124" s="78">
        <f>HYPERLINK("https://www1.hkexnews.hk/listedco/listconews/sehk/2022/0805/2022080501239.pdf","stabilisation")</f>
        <v/>
      </c>
      <c r="BY124" s="76" t="n"/>
      <c r="BZ124"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72" t="n"/>
      <c r="AC125" s="66" t="n"/>
      <c r="AD125" s="72" t="n"/>
      <c r="AE125" s="63" t="n"/>
      <c r="AF125" s="63" t="inlineStr">
        <is>
          <t>partial</t>
        </is>
      </c>
      <c r="AG125" s="63" t="inlineStr">
        <is>
          <t>2022-08-05</t>
        </is>
      </c>
      <c r="AH125" s="63" t="inlineStr">
        <is>
          <t>Goldman Sachs</t>
        </is>
      </c>
      <c r="AI125" s="63" t="inlineStr">
        <is>
          <t>Goldman Sachs</t>
        </is>
      </c>
      <c r="AJ125" s="73" t="n">
        <v>-4.45</v>
      </c>
      <c r="AK125" s="72" t="n">
        <v>-2.4</v>
      </c>
      <c r="AL125" s="72" t="n">
        <v>-2.1</v>
      </c>
      <c r="AM125" s="72" t="n">
        <v>-6.16</v>
      </c>
      <c r="AN125" s="72" t="n">
        <v>-10.62</v>
      </c>
      <c r="AO125" s="72" t="n">
        <v>-27.12</v>
      </c>
      <c r="AP125" s="72" t="n">
        <v>-1.79</v>
      </c>
      <c r="AQ125" s="72" t="n">
        <v>-6.46</v>
      </c>
      <c r="AR125" s="72" t="n">
        <v>-23.73</v>
      </c>
      <c r="AS125" s="72" t="n">
        <v>-4.66</v>
      </c>
      <c r="AT125" s="72" t="n">
        <v>-7.54</v>
      </c>
      <c r="AU125" s="72" t="n">
        <v>-8.26</v>
      </c>
      <c r="AV125" s="72" t="n">
        <v>-3.99</v>
      </c>
      <c r="AW125" s="72" t="n">
        <v>-3.08</v>
      </c>
      <c r="AX125" s="72" t="n">
        <v>-2.47</v>
      </c>
      <c r="AY125" s="63" t="inlineStr">
        <is>
          <t>Hang Seng Finance sub-index</t>
        </is>
      </c>
      <c r="AZ125" s="72" t="n">
        <v>-51.16</v>
      </c>
      <c r="BA125" s="64" t="inlineStr">
        <is>
          <t>2026-08-31</t>
        </is>
      </c>
      <c r="BB125" s="65" t="n">
        <v>4759.3</v>
      </c>
      <c r="BC125" s="68" t="n"/>
      <c r="BD125" s="63" t="inlineStr">
        <is>
          <t>Y</t>
        </is>
      </c>
      <c r="BE125" s="75">
        <f>IF('BBG Verify'!O125="","not filed — run on terminal",'BBG Verify'!O125)</f>
        <v/>
      </c>
      <c r="BF125" s="74" t="n"/>
      <c r="BG125" s="74" t="n"/>
      <c r="BH125" s="74" t="n">
        <v>2</v>
      </c>
      <c r="BI125" s="75">
        <f>IF('BBG Verify'!S125="","not filed — run on terminal",'BBG Verify'!S125)</f>
        <v/>
      </c>
      <c r="BJ125" s="76" t="inlineStr">
        <is>
          <t>N</t>
        </is>
      </c>
      <c r="BK125" s="77">
        <f>IF('BBG Verify'!K125="","not filed — run on terminal",'BBG Verify'!K125)</f>
        <v/>
      </c>
      <c r="BL125" s="63" t="inlineStr">
        <is>
          <t>N/A</t>
        </is>
      </c>
      <c r="BM125" s="63" t="inlineStr">
        <is>
          <t>N/A</t>
        </is>
      </c>
      <c r="BN125" s="63" t="inlineStr">
        <is>
          <t>N/A</t>
        </is>
      </c>
      <c r="BO125" s="63" t="inlineStr">
        <is>
          <t>N/A</t>
        </is>
      </c>
      <c r="BP125" s="63" t="inlineStr">
        <is>
          <t>N/A</t>
        </is>
      </c>
      <c r="BQ125" s="63" t="inlineStr">
        <is>
          <t>N/A</t>
        </is>
      </c>
      <c r="BR125" s="76" t="inlineStr">
        <is>
          <t>Goldman Sachs (Asia) L.L.C</t>
        </is>
      </c>
      <c r="BS125" s="63" t="inlineStr">
        <is>
          <t>Goldman Sachs (Asia) L.L.C.</t>
        </is>
      </c>
      <c r="BT125" s="63" t="inlineStr">
        <is>
          <t>Futu Securities International (Hong Kong) Limited</t>
        </is>
      </c>
      <c r="BU125" s="63" t="inlineStr">
        <is>
          <t>BOCI Asia Limited; DBS Asia Capital Limited; Futu Securities International (Hong Kong) Limited; Goldman Sachs (Asia) L.L.C.</t>
        </is>
      </c>
      <c r="BV125" s="78">
        <f>HYPERLINK("https://www1.hkexnews.hk/listedco/listconews/sehk/2022/0629/2022062902037.pdf","prospectus")</f>
        <v/>
      </c>
      <c r="BW125" s="78">
        <f>HYPERLINK("https://www1.hkexnews.hk/listedco/listconews/sehk/2022/0712/2022071200028.htm","allotment")</f>
        <v/>
      </c>
      <c r="BX125" s="78">
        <f>HYPERLINK("https://www1.hkexnews.hk/listedco/listconews/sehk/2022/0805/2022080501393.pdf","stabilisation")</f>
        <v/>
      </c>
      <c r="BY125" s="76" t="n"/>
      <c r="BZ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72" t="n"/>
      <c r="AC126" s="66" t="n"/>
      <c r="AD126" s="72" t="n"/>
      <c r="AE126" s="63" t="n"/>
      <c r="AF126" s="63" t="inlineStr">
        <is>
          <t>lapsed</t>
        </is>
      </c>
      <c r="AG126" s="63" t="inlineStr">
        <is>
          <t>2022-08-05</t>
        </is>
      </c>
      <c r="AH126" s="63" t="inlineStr">
        <is>
          <t>Morgan Stanley Asia Limited</t>
        </is>
      </c>
      <c r="AI126" s="63" t="inlineStr">
        <is>
          <t>Morgan Stanley</t>
        </is>
      </c>
      <c r="AJ126" s="73" t="n">
        <v>0</v>
      </c>
      <c r="AK126" s="72" t="n">
        <v>-9.15</v>
      </c>
      <c r="AL126" s="72" t="n">
        <v>10.07</v>
      </c>
      <c r="AM126" s="72" t="n">
        <v>-3.84</v>
      </c>
      <c r="AN126" s="72" t="n">
        <v>4.33</v>
      </c>
      <c r="AO126" s="72" t="n">
        <v>-21.22</v>
      </c>
      <c r="AP126" s="72" t="n">
        <v>-3.84</v>
      </c>
      <c r="AQ126" s="72" t="n">
        <v>4.33</v>
      </c>
      <c r="AR126" s="72" t="n">
        <v>-21.22</v>
      </c>
      <c r="AS126" s="72" t="n">
        <v>-5.92</v>
      </c>
      <c r="AT126" s="72" t="n">
        <v>7.78</v>
      </c>
      <c r="AU126" s="72" t="n">
        <v>-0.91</v>
      </c>
      <c r="AV126" s="72" t="n">
        <v>7.95</v>
      </c>
      <c r="AW126" s="72" t="n">
        <v>-3.45</v>
      </c>
      <c r="AX126" s="72" t="n">
        <v>-3.62</v>
      </c>
      <c r="AY126" s="63" t="inlineStr">
        <is>
          <t>Hang Seng Commerce &amp; Industry sub-index</t>
        </is>
      </c>
      <c r="AZ126" s="72" t="n">
        <v>-53.41</v>
      </c>
      <c r="BA126" s="64" t="inlineStr">
        <is>
          <t>2026-08-28</t>
        </is>
      </c>
      <c r="BB126" s="65" t="n">
        <v>8357.700000000001</v>
      </c>
      <c r="BC126" s="68" t="n">
        <v>5258.7</v>
      </c>
      <c r="BD126" s="63" t="inlineStr">
        <is>
          <t>Y</t>
        </is>
      </c>
      <c r="BE126" s="74" t="n">
        <v>23.6</v>
      </c>
      <c r="BF126" s="74" t="n">
        <v>8.5</v>
      </c>
      <c r="BG126" s="74" t="n">
        <v>23.2</v>
      </c>
      <c r="BH126" s="74" t="n">
        <v>14.8</v>
      </c>
      <c r="BI126" s="75">
        <f>IF('BBG Verify'!S126="","not filed — run on terminal",'BBG Verify'!S126)</f>
        <v/>
      </c>
      <c r="BJ126" s="76" t="inlineStr">
        <is>
          <t>Y</t>
        </is>
      </c>
      <c r="BK126" s="63" t="inlineStr">
        <is>
          <t>002466.SZ</t>
        </is>
      </c>
      <c r="BL126" s="72" t="n">
        <v>82.11</v>
      </c>
      <c r="BM126" s="66" t="n">
        <v>149.3266</v>
      </c>
      <c r="BN126" s="80" t="n">
        <v>0.5363</v>
      </c>
      <c r="BO126" s="68" t="n">
        <v>99746.60000000001</v>
      </c>
      <c r="BP126" s="75">
        <f>IF('BBG Verify'!Q126="","run on terminal",'BBG Verify'!Q126)</f>
        <v/>
      </c>
      <c r="BQ126" s="75">
        <f>IF('BBG Verify'!R126="","run on terminal",'BBG Verify'!R126)</f>
        <v/>
      </c>
      <c r="BR126" s="76" t="n"/>
      <c r="BS126" s="63" t="inlineStr">
        <is>
          <t>China International Capital Corporation Hong Kong Securities Limited; Morgan Stanley Asia Limited; CMB International Capital Corporation Limited</t>
        </is>
      </c>
      <c r="BT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V126" s="78">
        <f>HYPERLINK("https://www1.hkexnews.hk/listedco/listconews/sehk/2022/0630/2022063000146.htm","prospectus")</f>
        <v/>
      </c>
      <c r="BW126" s="78">
        <f>HYPERLINK("https://www1.hkexnews.hk/listedco/listconews/sehk/2022/0712/2022071200062.htm","allotment")</f>
        <v/>
      </c>
      <c r="BX126" s="78">
        <f>HYPERLINK("https://www1.hkexnews.hk/listedco/listconews/sehk/2022/0805/2022080501243.pdf","stabilisation")</f>
        <v/>
      </c>
      <c r="BY126" s="76" t="n"/>
      <c r="BZ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72" t="n"/>
      <c r="AC127" s="66" t="n"/>
      <c r="AD127" s="72" t="n"/>
      <c r="AE127" s="63" t="n"/>
      <c r="AF127" s="63" t="inlineStr">
        <is>
          <t>partial</t>
        </is>
      </c>
      <c r="AG127" s="63" t="inlineStr">
        <is>
          <t>2022-08-07</t>
        </is>
      </c>
      <c r="AH127" s="63" t="inlineStr">
        <is>
          <t>China Securities</t>
        </is>
      </c>
      <c r="AI127" s="63" t="inlineStr">
        <is>
          <t>China Securities</t>
        </is>
      </c>
      <c r="AJ127" s="73" t="n">
        <v>0</v>
      </c>
      <c r="AK127" s="72" t="n">
        <v>-2.78</v>
      </c>
      <c r="AL127" s="72" t="n">
        <v>2.86</v>
      </c>
      <c r="AM127" s="72" t="n">
        <v>-8.890000000000001</v>
      </c>
      <c r="AN127" s="72" t="n">
        <v>-31.67</v>
      </c>
      <c r="AO127" s="72" t="n">
        <v>-46.11</v>
      </c>
      <c r="AP127" s="72" t="n">
        <v>-8.890000000000001</v>
      </c>
      <c r="AQ127" s="72" t="n">
        <v>-31.67</v>
      </c>
      <c r="AR127" s="72" t="n">
        <v>-46.11</v>
      </c>
      <c r="AS127" s="72" t="n">
        <v>-9.18</v>
      </c>
      <c r="AT127" s="72" t="n">
        <v>-27.28</v>
      </c>
      <c r="AU127" s="72" t="n">
        <v>-24.25</v>
      </c>
      <c r="AV127" s="72" t="n">
        <v>-29.63</v>
      </c>
      <c r="AW127" s="72" t="n">
        <v>-4.39</v>
      </c>
      <c r="AX127" s="72" t="n">
        <v>-2.04</v>
      </c>
      <c r="AY127" s="63" t="inlineStr">
        <is>
          <t>Hang Seng Commerce &amp; Industry sub-index</t>
        </is>
      </c>
      <c r="AZ127" s="72" t="n">
        <v>69.44</v>
      </c>
      <c r="BA127" s="64" t="inlineStr">
        <is>
          <t>2026-08-28</t>
        </is>
      </c>
      <c r="BB127" s="65" t="n">
        <v>3439.5</v>
      </c>
      <c r="BC127" s="68" t="n">
        <v>405.6</v>
      </c>
      <c r="BD127" s="63" t="inlineStr">
        <is>
          <t>Y</t>
        </is>
      </c>
      <c r="BE127" s="74" t="n">
        <v>9.6</v>
      </c>
      <c r="BF127" s="74" t="n"/>
      <c r="BG127" s="74" t="n">
        <v>79.7</v>
      </c>
      <c r="BH127" s="74" t="n">
        <v>1.1</v>
      </c>
      <c r="BI127" s="75">
        <f>IF('BBG Verify'!S127="","not filed — run on terminal",'BBG Verify'!S127)</f>
        <v/>
      </c>
      <c r="BJ127" s="76" t="inlineStr">
        <is>
          <t>N</t>
        </is>
      </c>
      <c r="BK127" s="77">
        <f>IF('BBG Verify'!K127="","not filed — run on terminal",'BBG Verify'!K127)</f>
        <v/>
      </c>
      <c r="BL127" s="63" t="inlineStr">
        <is>
          <t>N/A</t>
        </is>
      </c>
      <c r="BM127" s="63" t="inlineStr">
        <is>
          <t>N/A</t>
        </is>
      </c>
      <c r="BN127" s="63" t="inlineStr">
        <is>
          <t>N/A</t>
        </is>
      </c>
      <c r="BO127" s="63" t="inlineStr">
        <is>
          <t>N/A</t>
        </is>
      </c>
      <c r="BP127" s="63" t="inlineStr">
        <is>
          <t>N/A</t>
        </is>
      </c>
      <c r="BQ127" s="63" t="inlineStr">
        <is>
          <t>N/A</t>
        </is>
      </c>
      <c r="BR127" s="76" t="n"/>
      <c r="BS127" s="63" t="inlineStr">
        <is>
          <t>China Securities (International) Corporate Finance Company Limited</t>
        </is>
      </c>
      <c r="BT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U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V127" s="78">
        <f>HYPERLINK("https://www1.hkexnews.hk/listedco/listconews/sehk/2022/0630/2022063000037.pdf","prospectus")</f>
        <v/>
      </c>
      <c r="BW127" s="78">
        <f>HYPERLINK("https://www1.hkexnews.hk/listedco/listconews/sehk/2022/0714/2022071400006.htm","allotment")</f>
        <v/>
      </c>
      <c r="BX127" s="78">
        <f>HYPERLINK("https://www1.hkexnews.hk/listedco/listconews/sehk/2022/0808/2022080800065.pdf","stabilisation")</f>
        <v/>
      </c>
      <c r="BY127" s="76" t="n"/>
      <c r="BZ127" s="63" t="inlineStr">
        <is>
          <t>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72" t="n"/>
      <c r="AC128" s="66" t="n"/>
      <c r="AD128" s="72" t="n"/>
      <c r="AE128" s="63" t="n"/>
      <c r="AF128" s="63" t="inlineStr">
        <is>
          <t>lapsed (no over-allocation)</t>
        </is>
      </c>
      <c r="AG128" s="63" t="n"/>
      <c r="AH128" s="63" t="inlineStr">
        <is>
          <t>China Tonghai Securities Limited</t>
        </is>
      </c>
      <c r="AI128" s="63" t="inlineStr">
        <is>
          <t>China Tonghai</t>
        </is>
      </c>
      <c r="AJ128" s="73" t="n">
        <v>12.96</v>
      </c>
      <c r="AK128" s="72" t="n">
        <v>5.56</v>
      </c>
      <c r="AL128" s="72" t="n">
        <v>7.01</v>
      </c>
      <c r="AM128" s="72" t="n">
        <v>12.96</v>
      </c>
      <c r="AN128" s="72" t="n">
        <v>10.19</v>
      </c>
      <c r="AO128" s="72" t="n">
        <v>-3.7</v>
      </c>
      <c r="AP128" s="72" t="n">
        <v>0</v>
      </c>
      <c r="AQ128" s="72" t="n">
        <v>-2.45</v>
      </c>
      <c r="AR128" s="72" t="n">
        <v>-14.75</v>
      </c>
      <c r="AS128" s="72" t="n">
        <v>12.56</v>
      </c>
      <c r="AT128" s="72" t="n">
        <v>15.77</v>
      </c>
      <c r="AU128" s="72" t="n">
        <v>26.3</v>
      </c>
      <c r="AV128" s="72" t="n">
        <v>0.33</v>
      </c>
      <c r="AW128" s="72" t="n">
        <v>-5.58</v>
      </c>
      <c r="AX128" s="72" t="n">
        <v>-2.78</v>
      </c>
      <c r="AY128" s="63" t="inlineStr">
        <is>
          <t>HSTECH (Hang Seng TECH ETF)</t>
        </is>
      </c>
      <c r="AZ128" s="72" t="n">
        <v>68.52</v>
      </c>
      <c r="BA128" s="64" t="inlineStr">
        <is>
          <t>2026-08-28</t>
        </is>
      </c>
      <c r="BB128" s="65" t="n">
        <v>534.3</v>
      </c>
      <c r="BC128" s="68" t="n">
        <v>24</v>
      </c>
      <c r="BD128" s="63" t="inlineStr">
        <is>
          <t>Y</t>
        </is>
      </c>
      <c r="BE128" s="74" t="n">
        <v>24.4</v>
      </c>
      <c r="BF128" s="74" t="n"/>
      <c r="BG128" s="74" t="n">
        <v>113.4</v>
      </c>
      <c r="BH128" s="74" t="n">
        <v>1.1</v>
      </c>
      <c r="BI128" s="75">
        <f>IF('BBG Verify'!S128="","not filed — run on terminal",'BBG Verify'!S128)</f>
        <v/>
      </c>
      <c r="BJ128" s="76" t="inlineStr">
        <is>
          <t>N</t>
        </is>
      </c>
      <c r="BK128" s="77">
        <f>IF('BBG Verify'!K128="","not filed — run on terminal",'BBG Verify'!K128)</f>
        <v/>
      </c>
      <c r="BL128" s="63" t="inlineStr">
        <is>
          <t>N/A</t>
        </is>
      </c>
      <c r="BM128" s="63" t="inlineStr">
        <is>
          <t>N/A</t>
        </is>
      </c>
      <c r="BN128" s="63" t="inlineStr">
        <is>
          <t>N/A</t>
        </is>
      </c>
      <c r="BO128" s="63" t="inlineStr">
        <is>
          <t>N/A</t>
        </is>
      </c>
      <c r="BP128" s="63" t="inlineStr">
        <is>
          <t>N/A</t>
        </is>
      </c>
      <c r="BQ128" s="63" t="inlineStr">
        <is>
          <t>N/A</t>
        </is>
      </c>
      <c r="BR128" s="76" t="n"/>
      <c r="BS128" s="63" t="inlineStr">
        <is>
          <t>China Tonghai Capital Limited</t>
        </is>
      </c>
      <c r="BT128" s="63" t="inlineStr">
        <is>
          <t>Beta International Securities Limited; Blackwell Global Securities Limited; CCB International Capital Limited; China Galaxy International Securities (Hong Kong) Company Limited; China Tonghai Securities Limited; CMBC Securities Company Limited</t>
        </is>
      </c>
      <c r="BU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V128" s="78">
        <f>HYPERLINK("https://www1.hkexnews.hk/listedco/listconews/sehk/2022/0629/2022062900148.htm","prospectus")</f>
        <v/>
      </c>
      <c r="BW128" s="78">
        <f>HYPERLINK("https://www1.hkexnews.hk/listedco/listconews/sehk/2022/0714/2022071400026.htm","allotment")</f>
        <v/>
      </c>
      <c r="BX128" s="78">
        <f>HYPERLINK("https://www1.hkexnews.hk/listedco/listconews/sehk/2022/0805/2022080500015.pdf","stabilisation")</f>
        <v/>
      </c>
      <c r="BY128" s="76" t="n"/>
      <c r="BZ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72" t="n"/>
      <c r="AC129" s="66" t="n"/>
      <c r="AD129" s="72" t="n"/>
      <c r="AE129" s="63" t="n"/>
      <c r="AF129" s="63" t="inlineStr">
        <is>
          <t>lapsed</t>
        </is>
      </c>
      <c r="AG129" s="63" t="inlineStr">
        <is>
          <t>2022-08-07</t>
        </is>
      </c>
      <c r="AH129" s="63" t="inlineStr">
        <is>
          <t>China International Capital Corporation Hong Kong Securities Limited</t>
        </is>
      </c>
      <c r="AI129" s="63" t="inlineStr">
        <is>
          <t>China International</t>
        </is>
      </c>
      <c r="AJ129" s="73" t="n">
        <v>-0.16</v>
      </c>
      <c r="AK129" s="72" t="n">
        <v>0.24</v>
      </c>
      <c r="AL129" s="72" t="n">
        <v>-0.4</v>
      </c>
      <c r="AM129" s="72" t="n">
        <v>-0.37</v>
      </c>
      <c r="AN129" s="72" t="n">
        <v>-0.97</v>
      </c>
      <c r="AO129" s="72" t="n">
        <v>-0.37</v>
      </c>
      <c r="AP129" s="72" t="n">
        <v>-0.21</v>
      </c>
      <c r="AQ129" s="72" t="n">
        <v>-0.8100000000000001</v>
      </c>
      <c r="AR129" s="72" t="n">
        <v>-0.21</v>
      </c>
      <c r="AS129" s="72" t="n">
        <v>2.56</v>
      </c>
      <c r="AT129" s="72" t="n">
        <v>5.44</v>
      </c>
      <c r="AU129" s="72" t="n">
        <v>17.36</v>
      </c>
      <c r="AV129" s="72" t="n">
        <v>3.15</v>
      </c>
      <c r="AW129" s="72" t="n">
        <v>-6.41</v>
      </c>
      <c r="AX129" s="72" t="n">
        <v>-3.96</v>
      </c>
      <c r="AY129" s="63" t="inlineStr">
        <is>
          <t>China Biotech ETF (HS biotech proxy)</t>
        </is>
      </c>
      <c r="AZ129" s="72" t="n">
        <v>-66.23</v>
      </c>
      <c r="BA129" s="64" t="inlineStr">
        <is>
          <t>2026-08-28</t>
        </is>
      </c>
      <c r="BB129" s="65" t="n">
        <v>421.1</v>
      </c>
      <c r="BC129" s="68" t="n"/>
      <c r="BD129" s="63" t="inlineStr">
        <is>
          <t>Y</t>
        </is>
      </c>
      <c r="BE129" s="75">
        <f>IF('BBG Verify'!O129="","not filed — run on terminal",'BBG Verify'!O129)</f>
        <v/>
      </c>
      <c r="BF129" s="74" t="n"/>
      <c r="BG129" s="74" t="n">
        <v>23.6</v>
      </c>
      <c r="BH129" s="74" t="n">
        <v>34.3</v>
      </c>
      <c r="BI129" s="75">
        <f>IF('BBG Verify'!S129="","not filed — run on terminal",'BBG Verify'!S129)</f>
        <v/>
      </c>
      <c r="BJ129" s="76" t="inlineStr">
        <is>
          <t>N</t>
        </is>
      </c>
      <c r="BK129" s="77">
        <f>IF('BBG Verify'!K129="","not filed — run on terminal",'BBG Verify'!K129)</f>
        <v/>
      </c>
      <c r="BL129" s="63" t="inlineStr">
        <is>
          <t>N/A</t>
        </is>
      </c>
      <c r="BM129" s="63" t="inlineStr">
        <is>
          <t>N/A</t>
        </is>
      </c>
      <c r="BN129" s="63" t="inlineStr">
        <is>
          <t>N/A</t>
        </is>
      </c>
      <c r="BO129" s="63" t="inlineStr">
        <is>
          <t>N/A</t>
        </is>
      </c>
      <c r="BP129" s="63" t="inlineStr">
        <is>
          <t>N/A</t>
        </is>
      </c>
      <c r="BQ129" s="63" t="inlineStr">
        <is>
          <t>N/A</t>
        </is>
      </c>
      <c r="BR129" s="76" t="n"/>
      <c r="BS129" s="63" t="inlineStr">
        <is>
          <t>China International Capital Corporation Hong Kong Securities Limited; J.P. Morgan Securities (Far East) Limited</t>
        </is>
      </c>
      <c r="BT129" s="63" t="inlineStr">
        <is>
          <t>China International Capital Corporation Hong Kong Securities Limited; Futu Securities International (Hong Kong) Limited; J.P. Morgan Securities (Asia Pacific) Limited; Livermore Holdings Limited</t>
        </is>
      </c>
      <c r="BU129" s="63" t="inlineStr">
        <is>
          <t>China International Capital Corporation Hong Kong Securities Limited; Futu Securities International (Hong Kong) Limited; J.P. Morgan Securities (Asia Pacific) Limited; Livermore Holdings Limited</t>
        </is>
      </c>
      <c r="BV129" s="78">
        <f>HYPERLINK("https://www1.hkexnews.hk/listedco/listconews/sehk/2022/0629/2022062900318.htm","prospectus")</f>
        <v/>
      </c>
      <c r="BW129" s="78">
        <f>HYPERLINK("https://www1.hkexnews.hk/listedco/listconews/sehk/2022/0714/2022071400060.htm","allotment")</f>
        <v/>
      </c>
      <c r="BX129" s="78">
        <f>HYPERLINK("https://www1.hkexnews.hk/listedco/listconews/sehk/2022/0807/2022080700009.pdf","stabilisation")</f>
        <v/>
      </c>
      <c r="BY129" s="76" t="n"/>
      <c r="BZ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72" t="n"/>
      <c r="AC130" s="66" t="n"/>
      <c r="AD130" s="72" t="n"/>
      <c r="AE130" s="63" t="n"/>
      <c r="AF130" s="63" t="inlineStr">
        <is>
          <t>lapsed (no over-allocation)</t>
        </is>
      </c>
      <c r="AG130" s="63" t="n"/>
      <c r="AH130" s="63" t="inlineStr">
        <is>
          <t>Lego Securities Lim ited</t>
        </is>
      </c>
      <c r="AI130" s="63" t="inlineStr">
        <is>
          <t>Lego</t>
        </is>
      </c>
      <c r="AJ130" s="73" t="n">
        <v>143.08</v>
      </c>
      <c r="AK130" s="72" t="n">
        <v>35.38</v>
      </c>
      <c r="AL130" s="72" t="n">
        <v>79.55</v>
      </c>
      <c r="AM130" s="72" t="n">
        <v>56.92</v>
      </c>
      <c r="AN130" s="72" t="n">
        <v>176.92</v>
      </c>
      <c r="AO130" s="72" t="n">
        <v>183.08</v>
      </c>
      <c r="AP130" s="72" t="n">
        <v>-35.45</v>
      </c>
      <c r="AQ130" s="72" t="n">
        <v>13.92</v>
      </c>
      <c r="AR130" s="72" t="n">
        <v>16.46</v>
      </c>
      <c r="AS130" s="72" t="n">
        <v>55.26</v>
      </c>
      <c r="AT130" s="72" t="n">
        <v>180.79</v>
      </c>
      <c r="AU130" s="72" t="n">
        <v>203.2</v>
      </c>
      <c r="AV130" s="72" t="n">
        <v>20.44</v>
      </c>
      <c r="AW130" s="72" t="n">
        <v>-3.87</v>
      </c>
      <c r="AX130" s="72" t="n">
        <v>-6.52</v>
      </c>
      <c r="AY130" s="63" t="inlineStr">
        <is>
          <t>Hang Seng Commerce &amp; Industry sub-index</t>
        </is>
      </c>
      <c r="AZ130" s="72" t="n">
        <v>-36.92</v>
      </c>
      <c r="BA130" s="64" t="inlineStr">
        <is>
          <t>2026-08-28</t>
        </is>
      </c>
      <c r="BB130" s="65" t="n">
        <v>218.2</v>
      </c>
      <c r="BC130" s="68" t="n">
        <v>58.7</v>
      </c>
      <c r="BD130" s="63" t="inlineStr">
        <is>
          <t>Y</t>
        </is>
      </c>
      <c r="BE130" s="74" t="n">
        <v>8.9</v>
      </c>
      <c r="BF130" s="74" t="n"/>
      <c r="BG130" s="74" t="n">
        <v>53.8</v>
      </c>
      <c r="BH130" s="74" t="n">
        <v>2.4</v>
      </c>
      <c r="BI130" s="75">
        <f>IF('BBG Verify'!S130="","not filed — run on terminal",'BBG Verify'!S130)</f>
        <v/>
      </c>
      <c r="BJ130" s="76" t="inlineStr">
        <is>
          <t>N</t>
        </is>
      </c>
      <c r="BK130" s="77">
        <f>IF('BBG Verify'!K130="","not filed — run on terminal",'BBG Verify'!K130)</f>
        <v/>
      </c>
      <c r="BL130" s="63" t="inlineStr">
        <is>
          <t>N/A</t>
        </is>
      </c>
      <c r="BM130" s="63" t="inlineStr">
        <is>
          <t>N/A</t>
        </is>
      </c>
      <c r="BN130" s="63" t="inlineStr">
        <is>
          <t>N/A</t>
        </is>
      </c>
      <c r="BO130" s="63" t="inlineStr">
        <is>
          <t>N/A</t>
        </is>
      </c>
      <c r="BP130" s="63" t="inlineStr">
        <is>
          <t>N/A</t>
        </is>
      </c>
      <c r="BQ130" s="63" t="inlineStr">
        <is>
          <t>N/A</t>
        </is>
      </c>
      <c r="BR130" s="76" t="inlineStr">
        <is>
          <t>Lego Corporate Finance Limited</t>
        </is>
      </c>
      <c r="BS130" s="63" t="inlineStr">
        <is>
          <t>Lego Corporate Finance Limited</t>
        </is>
      </c>
      <c r="BT130" s="63" t="inlineStr">
        <is>
          <t>China Galaxy Internati onal Securities (Hong Kong) Co., Limited; China Tonghai Securities Limited; Guotai Junan Securities (Hong Kong) Limited</t>
        </is>
      </c>
      <c r="BU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V130" s="78">
        <f>HYPERLINK("https://www1.hkexnews.hk/listedco/listconews/sehk/2022/0630/2022063000021.pdf","prospectus")</f>
        <v/>
      </c>
      <c r="BW130" s="78">
        <f>HYPERLINK("https://www1.hkexnews.hk/listedco/listconews/sehk/2022/0715/2022071500016.htm","allotment")</f>
        <v/>
      </c>
      <c r="BX130" s="78">
        <f>HYPERLINK("https://www1.hkexnews.hk/listedco/listconews/sehk/2022/0808/2022080800011.pdf","stabilisation")</f>
        <v/>
      </c>
      <c r="BY130" s="76" t="n"/>
      <c r="BZ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72" t="n"/>
      <c r="AC131" s="66" t="n"/>
      <c r="AD131" s="72" t="n"/>
      <c r="AE131" s="63" t="n"/>
      <c r="AF131" s="63" t="inlineStr">
        <is>
          <t>lapsed</t>
        </is>
      </c>
      <c r="AG131" s="63" t="inlineStr">
        <is>
          <t>2022-09-02</t>
        </is>
      </c>
      <c r="AH131" s="63" t="inlineStr">
        <is>
          <t>Morgan Stanley Asia Limited</t>
        </is>
      </c>
      <c r="AI131" s="63" t="inlineStr">
        <is>
          <t>Morgan Stanley</t>
        </is>
      </c>
      <c r="AJ131" s="73" t="n">
        <v>-2.7</v>
      </c>
      <c r="AK131" s="72" t="n">
        <v>0</v>
      </c>
      <c r="AL131" s="72" t="n">
        <v>-2.7</v>
      </c>
      <c r="AM131" s="72" t="n">
        <v>0</v>
      </c>
      <c r="AN131" s="72" t="n">
        <v>-3.42</v>
      </c>
      <c r="AO131" s="72" t="n">
        <v>-12.43</v>
      </c>
      <c r="AP131" s="72" t="n">
        <v>2.77</v>
      </c>
      <c r="AQ131" s="72" t="n">
        <v>-0.74</v>
      </c>
      <c r="AR131" s="72" t="n">
        <v>-10</v>
      </c>
      <c r="AS131" s="72" t="n">
        <v>0.4</v>
      </c>
      <c r="AT131" s="72" t="n">
        <v>2.32</v>
      </c>
      <c r="AU131" s="72" t="n">
        <v>5.79</v>
      </c>
      <c r="AV131" s="72" t="n">
        <v>3.12</v>
      </c>
      <c r="AW131" s="72" t="n">
        <v>-5.74</v>
      </c>
      <c r="AX131" s="72" t="n">
        <v>-3.86</v>
      </c>
      <c r="AY131" s="63" t="inlineStr">
        <is>
          <t>Hang Seng Index</t>
        </is>
      </c>
      <c r="AZ131" s="72" t="n">
        <v>-90.13</v>
      </c>
      <c r="BA131" s="64" t="inlineStr">
        <is>
          <t>2026-08-28</t>
        </is>
      </c>
      <c r="BB131" s="65" t="n">
        <v>1373.9</v>
      </c>
      <c r="BC131" s="68" t="n">
        <v>67</v>
      </c>
      <c r="BD131" s="63" t="inlineStr">
        <is>
          <t>Y</t>
        </is>
      </c>
      <c r="BE131" s="74" t="n">
        <v>174.2</v>
      </c>
      <c r="BF131" s="74" t="n"/>
      <c r="BG131" s="74" t="n">
        <v>27.3</v>
      </c>
      <c r="BH131" s="74" t="n">
        <v>8.5</v>
      </c>
      <c r="BI131" s="75">
        <f>IF('BBG Verify'!S131="","not filed — run on terminal",'BBG Verify'!S131)</f>
        <v/>
      </c>
      <c r="BJ131" s="76" t="inlineStr">
        <is>
          <t>N</t>
        </is>
      </c>
      <c r="BK131" s="77">
        <f>IF('BBG Verify'!K131="","not filed — run on terminal",'BBG Verify'!K131)</f>
        <v/>
      </c>
      <c r="BL131" s="63" t="inlineStr">
        <is>
          <t>N/A</t>
        </is>
      </c>
      <c r="BM131" s="63" t="inlineStr">
        <is>
          <t>N/A</t>
        </is>
      </c>
      <c r="BN131" s="63" t="inlineStr">
        <is>
          <t>N/A</t>
        </is>
      </c>
      <c r="BO131" s="63" t="inlineStr">
        <is>
          <t>N/A</t>
        </is>
      </c>
      <c r="BP131" s="63" t="inlineStr">
        <is>
          <t>N/A</t>
        </is>
      </c>
      <c r="BQ131" s="63" t="inlineStr">
        <is>
          <t>N/A</t>
        </is>
      </c>
      <c r="BR131" s="76" t="inlineStr">
        <is>
          <t>Morgan Stanley Asia Limited; China International Capital Corporation Hong Kong Securities Limited</t>
        </is>
      </c>
      <c r="BS131" s="63" t="inlineStr">
        <is>
          <t>China International Capital Corporation Hong Kong Securities Limited; Morgan Stanley Asia Limited</t>
        </is>
      </c>
      <c r="BT131" s="63" t="inlineStr">
        <is>
          <t>Morgan Stanley Asia Limited; China International Capital Corporation Hong Kong Securities Limited; CMB International Capital Limited; Futu Securities International (Hong Kong) Limited</t>
        </is>
      </c>
      <c r="BU131" s="63" t="inlineStr">
        <is>
          <t>China International Capital Corporation Hong Kong Securities Limited; CMB International Capital Limited; Futu Securities International (Hong Kong) Limited; Livermore Holdings Limited; Morgan Stanley Asia Limited</t>
        </is>
      </c>
      <c r="BV131" s="78">
        <f>HYPERLINK("https://www1.hkexnews.hk/listedco/listconews/sehk/2022/0729/2022072900015.pdf","prospectus")</f>
        <v/>
      </c>
      <c r="BW131" s="78">
        <f>HYPERLINK("https://www1.hkexnews.hk/listedco/listconews/sehk/2022/0809/2022080900036.htm","allotment")</f>
        <v/>
      </c>
      <c r="BX131" s="78">
        <f>HYPERLINK("https://www1.hkexnews.hk/listedco/listconews/sehk/2022/0902/2022090202423.pdf","stabilisation")</f>
        <v/>
      </c>
      <c r="BY131" s="76" t="n"/>
      <c r="BZ131"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72" t="n"/>
      <c r="AC132" s="66" t="n"/>
      <c r="AD132" s="72" t="n"/>
      <c r="AE132" s="63" t="n"/>
      <c r="AF132" s="63" t="inlineStr">
        <is>
          <t>full</t>
        </is>
      </c>
      <c r="AG132" s="63" t="n"/>
      <c r="AH132" s="63" t="inlineStr">
        <is>
          <t>Elstone Securities Limited</t>
        </is>
      </c>
      <c r="AI132" s="63" t="inlineStr">
        <is>
          <t>Elstone</t>
        </is>
      </c>
      <c r="AJ132" s="73" t="n">
        <v>41.07</v>
      </c>
      <c r="AK132" s="72" t="n">
        <v>42.86</v>
      </c>
      <c r="AL132" s="72" t="n">
        <v>-1.25</v>
      </c>
      <c r="AM132" s="72" t="n">
        <v>62.5</v>
      </c>
      <c r="AN132" s="72" t="n">
        <v>96.43000000000001</v>
      </c>
      <c r="AO132" s="72" t="n">
        <v>258.93</v>
      </c>
      <c r="AP132" s="72" t="n">
        <v>15.19</v>
      </c>
      <c r="AQ132" s="72" t="n">
        <v>39.24</v>
      </c>
      <c r="AR132" s="72" t="n">
        <v>154.43</v>
      </c>
      <c r="AS132" s="72" t="n">
        <v>59.03</v>
      </c>
      <c r="AT132" s="72" t="n">
        <v>102.35</v>
      </c>
      <c r="AU132" s="72" t="n">
        <v>268.7</v>
      </c>
      <c r="AV132" s="72" t="n">
        <v>45.12</v>
      </c>
      <c r="AW132" s="72" t="n">
        <v>-5.92</v>
      </c>
      <c r="AX132" s="72" t="n">
        <v>-5.88</v>
      </c>
      <c r="AY132" s="63" t="inlineStr">
        <is>
          <t>Hang Seng Commerce &amp; Industry sub-index</t>
        </is>
      </c>
      <c r="AZ132" s="72" t="n">
        <v>-12.5</v>
      </c>
      <c r="BA132" s="64" t="inlineStr">
        <is>
          <t>2026-08-28</t>
        </is>
      </c>
      <c r="BB132" s="65" t="n">
        <v>668.7</v>
      </c>
      <c r="BC132" s="68" t="n">
        <v>23.6</v>
      </c>
      <c r="BD132" s="63" t="inlineStr">
        <is>
          <t>Y</t>
        </is>
      </c>
      <c r="BE132" s="74" t="n">
        <v>20.7</v>
      </c>
      <c r="BF132" s="74" t="n"/>
      <c r="BG132" s="74" t="n">
        <v>8.1</v>
      </c>
      <c r="BH132" s="74" t="n">
        <v>0.7</v>
      </c>
      <c r="BI132" s="75">
        <f>IF('BBG Verify'!S132="","not filed — run on terminal",'BBG Verify'!S132)</f>
        <v/>
      </c>
      <c r="BJ132" s="76" t="inlineStr">
        <is>
          <t>N</t>
        </is>
      </c>
      <c r="BK132" s="77">
        <f>IF('BBG Verify'!K132="","not filed — run on terminal",'BBG Verify'!K132)</f>
        <v/>
      </c>
      <c r="BL132" s="63" t="inlineStr">
        <is>
          <t>N/A</t>
        </is>
      </c>
      <c r="BM132" s="63" t="inlineStr">
        <is>
          <t>N/A</t>
        </is>
      </c>
      <c r="BN132" s="63" t="inlineStr">
        <is>
          <t>N/A</t>
        </is>
      </c>
      <c r="BO132" s="63" t="inlineStr">
        <is>
          <t>N/A</t>
        </is>
      </c>
      <c r="BP132" s="63" t="inlineStr">
        <is>
          <t>N/A</t>
        </is>
      </c>
      <c r="BQ132" s="63" t="inlineStr">
        <is>
          <t>N/A</t>
        </is>
      </c>
      <c r="BR132" s="76" t="inlineStr">
        <is>
          <t>Sunny Fortune Capital Limited</t>
        </is>
      </c>
      <c r="BS132" s="63" t="inlineStr">
        <is>
          <t>Sunny Fortune Capital Limited</t>
        </is>
      </c>
      <c r="BT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U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V132" s="78">
        <f>HYPERLINK("https://www1.hkexnews.hk/listedco/listconews/sehk/2022/0808/2022080800013.pdf","prospectus")</f>
        <v/>
      </c>
      <c r="BW132" s="78">
        <f>HYPERLINK("https://www1.hkexnews.hk/listedco/listconews/sehk/2022/0818/2022081800018.htm","allotment")</f>
        <v/>
      </c>
      <c r="BX132" s="78">
        <f>HYPERLINK("https://www1.hkexnews.hk/listedco/listconews/sehk/2022/0913/2022091300161.pdf","stabilisation")</f>
        <v/>
      </c>
      <c r="BY132" s="76" t="n"/>
      <c r="BZ132"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72" t="n"/>
      <c r="AC133" s="66" t="n"/>
      <c r="AD133" s="72" t="n"/>
      <c r="AE133" s="63" t="n"/>
      <c r="AF133" s="63" t="inlineStr">
        <is>
          <t>partial</t>
        </is>
      </c>
      <c r="AG133" s="63" t="inlineStr">
        <is>
          <t>2022-09-15</t>
        </is>
      </c>
      <c r="AH133" s="63" t="inlineStr">
        <is>
          <t>BOCOM International Securities Limited</t>
        </is>
      </c>
      <c r="AI133" s="63" t="inlineStr">
        <is>
          <t>BOCOM</t>
        </is>
      </c>
      <c r="AJ133" s="73" t="n">
        <v>-0.12</v>
      </c>
      <c r="AK133" s="72" t="n">
        <v>-4.65</v>
      </c>
      <c r="AL133" s="72" t="n">
        <v>4.75</v>
      </c>
      <c r="AM133" s="72" t="n">
        <v>-0.12</v>
      </c>
      <c r="AN133" s="72" t="n">
        <v>-27.33</v>
      </c>
      <c r="AO133" s="72" t="n">
        <v>-29.07</v>
      </c>
      <c r="AP133" s="72" t="n">
        <v>0</v>
      </c>
      <c r="AQ133" s="72" t="n">
        <v>-27.24</v>
      </c>
      <c r="AR133" s="72" t="n">
        <v>-28.98</v>
      </c>
      <c r="AS133" s="72" t="n">
        <v>0.08</v>
      </c>
      <c r="AT133" s="72" t="n">
        <v>-26.23</v>
      </c>
      <c r="AU133" s="72" t="n">
        <v>-20.32</v>
      </c>
      <c r="AV133" s="72" t="n">
        <v>-27.51</v>
      </c>
      <c r="AW133" s="72" t="n">
        <v>-1.1</v>
      </c>
      <c r="AX133" s="72" t="n">
        <v>0.27</v>
      </c>
      <c r="AY133" s="63" t="inlineStr">
        <is>
          <t>Hang Seng Properties sub-index</t>
        </is>
      </c>
      <c r="AZ133" s="72" t="n">
        <v>-44.3</v>
      </c>
      <c r="BA133" s="64" t="inlineStr">
        <is>
          <t>2026-08-28</t>
        </is>
      </c>
      <c r="BB133" s="65" t="n">
        <v>508.2</v>
      </c>
      <c r="BC133" s="68" t="n">
        <v>62.2</v>
      </c>
      <c r="BD133" s="63" t="inlineStr">
        <is>
          <t>Y</t>
        </is>
      </c>
      <c r="BE133" s="74" t="n">
        <v>15.4</v>
      </c>
      <c r="BF133" s="74" t="n"/>
      <c r="BG133" s="74" t="n">
        <v>5.6</v>
      </c>
      <c r="BH133" s="74" t="n">
        <v>1.9</v>
      </c>
      <c r="BI133" s="75">
        <f>IF('BBG Verify'!S133="","not filed — run on terminal",'BBG Verify'!S133)</f>
        <v/>
      </c>
      <c r="BJ133" s="76" t="inlineStr">
        <is>
          <t>N</t>
        </is>
      </c>
      <c r="BK133" s="77">
        <f>IF('BBG Verify'!K133="","not filed — run on terminal",'BBG Verify'!K133)</f>
        <v/>
      </c>
      <c r="BL133" s="63" t="inlineStr">
        <is>
          <t>N/A</t>
        </is>
      </c>
      <c r="BM133" s="63" t="inlineStr">
        <is>
          <t>N/A</t>
        </is>
      </c>
      <c r="BN133" s="63" t="inlineStr">
        <is>
          <t>N/A</t>
        </is>
      </c>
      <c r="BO133" s="63" t="inlineStr">
        <is>
          <t>N/A</t>
        </is>
      </c>
      <c r="BP133" s="63" t="inlineStr">
        <is>
          <t>N/A</t>
        </is>
      </c>
      <c r="BQ133" s="63" t="inlineStr">
        <is>
          <t>N/A</t>
        </is>
      </c>
      <c r="BR133" s="76" t="inlineStr">
        <is>
          <t>BOCOM International (Asia) Limited; BOCOM International Securities Limited</t>
        </is>
      </c>
      <c r="BS133" s="63" t="inlineStr">
        <is>
          <t>BOCOM International (Asia) Limited</t>
        </is>
      </c>
      <c r="BT133" s="63" t="inlineStr">
        <is>
          <t>Haitong International Securities Company Limited; China Everbright Securities (HK) Limited; CEB International Capital Corporation Limited; CMBC Securities Company Limited; Essence International Securities (Hong Kong) Limited; ABCI Capital Limited</t>
        </is>
      </c>
      <c r="BU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V133" s="78">
        <f>HYPERLINK("https://www1.hkexnews.hk/listedco/listconews/sehk/2022/0811/2022081100025.pdf","prospectus")</f>
        <v/>
      </c>
      <c r="BW133" s="78">
        <f>HYPERLINK("https://www1.hkexnews.hk/listedco/listconews/sehk/2022/0823/2022082300018.htm","allotment")</f>
        <v/>
      </c>
      <c r="BX133" s="78">
        <f>HYPERLINK("https://www1.hkexnews.hk/listedco/listconews/sehk/2022/0915/2022091501585.pdf","stabilisation")</f>
        <v/>
      </c>
      <c r="BY133" s="76" t="n"/>
      <c r="BZ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72" t="n"/>
      <c r="AC134" s="66" t="n"/>
      <c r="AD134" s="72" t="n"/>
      <c r="AE134" s="63" t="n"/>
      <c r="AF134" s="63" t="n"/>
      <c r="AG134" s="63" t="inlineStr">
        <is>
          <t>2022-09-17</t>
        </is>
      </c>
      <c r="AH134" s="63" t="inlineStr">
        <is>
          <t>China International Capital Corporation Hong Kong Securities Limited</t>
        </is>
      </c>
      <c r="AI134" s="63" t="inlineStr">
        <is>
          <t>China International</t>
        </is>
      </c>
      <c r="AJ134" s="73" t="n">
        <v>0</v>
      </c>
      <c r="AK134" s="72" t="n">
        <v>-24.05</v>
      </c>
      <c r="AL134" s="72" t="n">
        <v>31.67</v>
      </c>
      <c r="AM134" s="72" t="n">
        <v>8.23</v>
      </c>
      <c r="AN134" s="72" t="n">
        <v>17.09</v>
      </c>
      <c r="AO134" s="72" t="n">
        <v>9.300000000000001</v>
      </c>
      <c r="AP134" s="72" t="n">
        <v>8.23</v>
      </c>
      <c r="AQ134" s="72" t="n">
        <v>17.09</v>
      </c>
      <c r="AR134" s="72" t="n">
        <v>9.300000000000001</v>
      </c>
      <c r="AS134" s="72" t="n">
        <v>5.36</v>
      </c>
      <c r="AT134" s="72" t="n">
        <v>24.76</v>
      </c>
      <c r="AU134" s="72" t="n">
        <v>20.62</v>
      </c>
      <c r="AV134" s="72" t="n">
        <v>28.99</v>
      </c>
      <c r="AW134" s="72" t="n">
        <v>-7.67</v>
      </c>
      <c r="AX134" s="72" t="n">
        <v>-11.9</v>
      </c>
      <c r="AY134" s="63" t="inlineStr">
        <is>
          <t>Hang Seng Commerce &amp; Industry sub-index</t>
        </is>
      </c>
      <c r="AZ134" s="72" t="n">
        <v>-68.68000000000001</v>
      </c>
      <c r="BA134" s="64" t="inlineStr">
        <is>
          <t>2026-08-28</t>
        </is>
      </c>
      <c r="BB134" s="65" t="n">
        <v>74443.10000000001</v>
      </c>
      <c r="BC134" s="68" t="n">
        <v>10699.2</v>
      </c>
      <c r="BD134" s="63" t="inlineStr">
        <is>
          <t>Y</t>
        </is>
      </c>
      <c r="BE134" s="74" t="n">
        <v>29.9</v>
      </c>
      <c r="BF134" s="74" t="n">
        <v>32.6</v>
      </c>
      <c r="BG134" s="74" t="n">
        <v>22</v>
      </c>
      <c r="BH134" s="74" t="n">
        <v>4.3</v>
      </c>
      <c r="BI134" s="75">
        <f>IF('BBG Verify'!S134="","not filed — run on terminal",'BBG Verify'!S134)</f>
        <v/>
      </c>
      <c r="BJ134" s="76" t="inlineStr">
        <is>
          <t>Y</t>
        </is>
      </c>
      <c r="BK134" s="63" t="inlineStr">
        <is>
          <t>601888.SS</t>
        </is>
      </c>
      <c r="BL134" s="72" t="n">
        <v>37.93</v>
      </c>
      <c r="BM134" s="66" t="n">
        <v>217.934</v>
      </c>
      <c r="BN134" s="80" t="n">
        <v>0.2658</v>
      </c>
      <c r="BO134" s="68" t="n">
        <v>127238.8</v>
      </c>
      <c r="BP134" s="75">
        <f>IF('BBG Verify'!Q134="","run on terminal",'BBG Verify'!Q134)</f>
        <v/>
      </c>
      <c r="BQ134" s="75">
        <f>IF('BBG Verify'!R134="","run on terminal",'BBG Verify'!R134)</f>
        <v/>
      </c>
      <c r="BR134" s="76" t="inlineStr">
        <is>
          <t>CICC</t>
        </is>
      </c>
      <c r="BS134" s="63" t="inlineStr">
        <is>
          <t>China International Capital Corporation Hong Kong Securities Limited; UBS Securities Hong Kong Limited</t>
        </is>
      </c>
      <c r="BT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V134" s="63" t="n"/>
      <c r="BW134" s="78">
        <f>HYPERLINK("https://www1.hkexnews.hk/listedco/listconews/sehk/2022/0824/2022082400024.htm","allotment")</f>
        <v/>
      </c>
      <c r="BX134" s="63" t="n"/>
      <c r="BY134" s="76" t="n"/>
      <c r="BZ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72" t="n"/>
      <c r="AC135" s="66" t="n"/>
      <c r="AD135" s="72" t="n"/>
      <c r="AE135" s="63" t="n"/>
      <c r="AF135" s="63" t="inlineStr">
        <is>
          <t>partial</t>
        </is>
      </c>
      <c r="AG135" s="63" t="inlineStr">
        <is>
          <t>2022-09-23</t>
        </is>
      </c>
      <c r="AH135" s="63" t="inlineStr">
        <is>
          <t>Goldman Sachs</t>
        </is>
      </c>
      <c r="AI135" s="63" t="inlineStr">
        <is>
          <t>Goldman Sachs</t>
        </is>
      </c>
      <c r="AJ135" s="73" t="n">
        <v>3.09</v>
      </c>
      <c r="AK135" s="72" t="n">
        <v>4.28</v>
      </c>
      <c r="AL135" s="72" t="n">
        <v>-1.14</v>
      </c>
      <c r="AM135" s="72" t="n">
        <v>0.71</v>
      </c>
      <c r="AN135" s="72" t="n">
        <v>5.47</v>
      </c>
      <c r="AO135" s="72" t="n">
        <v>3.09</v>
      </c>
      <c r="AP135" s="72" t="n">
        <v>-2.31</v>
      </c>
      <c r="AQ135" s="72" t="n">
        <v>2.31</v>
      </c>
      <c r="AR135" s="72" t="n">
        <v>0</v>
      </c>
      <c r="AS135" s="72" t="n">
        <v>5.94</v>
      </c>
      <c r="AT135" s="72" t="n">
        <v>19.05</v>
      </c>
      <c r="AU135" s="72" t="n">
        <v>3.95</v>
      </c>
      <c r="AV135" s="72" t="n">
        <v>15.36</v>
      </c>
      <c r="AW135" s="72" t="n">
        <v>-13.58</v>
      </c>
      <c r="AX135" s="72" t="n">
        <v>-13.05</v>
      </c>
      <c r="AY135" s="63" t="inlineStr">
        <is>
          <t>China Biotech ETF (HS biotech proxy)</t>
        </is>
      </c>
      <c r="AZ135" s="72" t="n">
        <v>142.86</v>
      </c>
      <c r="BA135" s="64" t="inlineStr">
        <is>
          <t>2026-08-28</t>
        </is>
      </c>
      <c r="BB135" s="65" t="n">
        <v>390</v>
      </c>
      <c r="BC135" s="68" t="n">
        <v>-600.1</v>
      </c>
      <c r="BD135" s="63" t="inlineStr">
        <is>
          <t>N</t>
        </is>
      </c>
      <c r="BE135" s="63" t="inlineStr">
        <is>
          <t>n/m</t>
        </is>
      </c>
      <c r="BF135" s="74" t="n"/>
      <c r="BG135" s="74" t="n">
        <v>127.3</v>
      </c>
      <c r="BH135" s="74" t="n">
        <v>25.7</v>
      </c>
      <c r="BI135" s="75">
        <f>IF('BBG Verify'!S135="","not filed — run on terminal",'BBG Verify'!S135)</f>
        <v/>
      </c>
      <c r="BJ135" s="76" t="inlineStr">
        <is>
          <t>Y</t>
        </is>
      </c>
      <c r="BK135" s="63" t="inlineStr">
        <is>
          <t>688796.SS</t>
        </is>
      </c>
      <c r="BL135" s="72" t="n"/>
      <c r="BM135" s="66" t="n"/>
      <c r="BN135" s="80" t="n">
        <v>1.419</v>
      </c>
      <c r="BO135" s="68" t="n">
        <v>61028.9</v>
      </c>
      <c r="BP135" s="75">
        <f>IF('BBG Verify'!Q135="","run on terminal",'BBG Verify'!Q135)</f>
        <v/>
      </c>
      <c r="BQ135" s="75">
        <f>IF('BBG Verify'!R135="","run on terminal",'BBG Verify'!R135)</f>
        <v/>
      </c>
      <c r="BR135" s="76" t="inlineStr">
        <is>
          <t>Goldman Sachs (Asia) L.L.C; China International Capital Corporation Hong Kong Securities Limited</t>
        </is>
      </c>
      <c r="BS135" s="63" t="inlineStr">
        <is>
          <t>China International Capital Corporation Hong Kong Securities Limited; Goldman Sachs (Asia) L.L.C.</t>
        </is>
      </c>
      <c r="BT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U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V135" s="78">
        <f>HYPERLINK("https://www1.hkexnews.hk/listedco/listconews/sehk/2022/0819/2022081900021.pdf","prospectus")</f>
        <v/>
      </c>
      <c r="BW135" s="78">
        <f>HYPERLINK("https://www1.hkexnews.hk/listedco/listconews/sehk/2022/0831/2022083100060.htm","allotment")</f>
        <v/>
      </c>
      <c r="BX135" s="78">
        <f>HYPERLINK("https://www1.hkexnews.hk/listedco/listconews/sehk/2022/0923/2022092301878.pdf","stabilisation")</f>
        <v/>
      </c>
      <c r="BY135" s="76" t="n"/>
      <c r="BZ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no grey-market headline on file for this deal — AAStocks publishes one per listing but keeps only recent items on the stock's news page, and no public archive of past evening sessions exists; captured from this run onward</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72" t="n"/>
      <c r="AC136" s="66" t="n"/>
      <c r="AD136" s="72" t="n"/>
      <c r="AE136" s="63" t="n"/>
      <c r="AF136" s="63" t="inlineStr">
        <is>
          <t>lapsed</t>
        </is>
      </c>
      <c r="AG136" s="63" t="inlineStr">
        <is>
          <t>2022-10-06</t>
        </is>
      </c>
      <c r="AH136" s="63" t="inlineStr">
        <is>
          <t>China International Capital Corporation Hong Kong Securities Limited</t>
        </is>
      </c>
      <c r="AI136" s="63" t="inlineStr">
        <is>
          <t>China International</t>
        </is>
      </c>
      <c r="AJ136" s="73" t="n">
        <v>0</v>
      </c>
      <c r="AK136" s="72" t="n">
        <v>2.83</v>
      </c>
      <c r="AL136" s="72" t="n">
        <v>-2.75</v>
      </c>
      <c r="AM136" s="72" t="n">
        <v>0.33</v>
      </c>
      <c r="AN136" s="72" t="n">
        <v>-1</v>
      </c>
      <c r="AO136" s="72" t="n">
        <v>0</v>
      </c>
      <c r="AP136" s="72" t="n">
        <v>0.33</v>
      </c>
      <c r="AQ136" s="72" t="n">
        <v>-1</v>
      </c>
      <c r="AR136" s="72" t="n">
        <v>0</v>
      </c>
      <c r="AS136" s="72" t="n">
        <v>8.640000000000001</v>
      </c>
      <c r="AT136" s="72" t="n">
        <v>3.13</v>
      </c>
      <c r="AU136" s="72" t="n">
        <v>-5.67</v>
      </c>
      <c r="AV136" s="72" t="n">
        <v>1.52</v>
      </c>
      <c r="AW136" s="72" t="n">
        <v>-4.13</v>
      </c>
      <c r="AX136" s="72" t="n">
        <v>-2.52</v>
      </c>
      <c r="AY136" s="63" t="inlineStr">
        <is>
          <t>China Biotech ETF (HS biotech proxy)</t>
        </is>
      </c>
      <c r="AZ136" s="72" t="n">
        <v>-93.08</v>
      </c>
      <c r="BA136" s="64" t="inlineStr">
        <is>
          <t>2026-08-28</t>
        </is>
      </c>
      <c r="BB136" s="65" t="n">
        <v>2451.4</v>
      </c>
      <c r="BC136" s="68" t="n">
        <v>-1.2</v>
      </c>
      <c r="BD136" s="63" t="inlineStr">
        <is>
          <t>N</t>
        </is>
      </c>
      <c r="BE136" s="63" t="inlineStr">
        <is>
          <t>n/m</t>
        </is>
      </c>
      <c r="BF136" s="74" t="n"/>
      <c r="BG136" s="74" t="n"/>
      <c r="BH136" s="74" t="n">
        <v>6.6</v>
      </c>
      <c r="BI136" s="75">
        <f>IF('BBG Verify'!S136="","not filed — run on terminal",'BBG Verify'!S136)</f>
        <v/>
      </c>
      <c r="BJ136" s="76" t="inlineStr">
        <is>
          <t>N</t>
        </is>
      </c>
      <c r="BK136" s="77">
        <f>IF('BBG Verify'!K136="","not filed — run on terminal",'BBG Verify'!K136)</f>
        <v/>
      </c>
      <c r="BL136" s="63" t="inlineStr">
        <is>
          <t>N/A</t>
        </is>
      </c>
      <c r="BM136" s="63" t="inlineStr">
        <is>
          <t>N/A</t>
        </is>
      </c>
      <c r="BN136" s="63" t="inlineStr">
        <is>
          <t>N/A</t>
        </is>
      </c>
      <c r="BO136" s="63" t="inlineStr">
        <is>
          <t>N/A</t>
        </is>
      </c>
      <c r="BP136" s="63" t="inlineStr">
        <is>
          <t>N/A</t>
        </is>
      </c>
      <c r="BQ136" s="63" t="inlineStr">
        <is>
          <t>N/A</t>
        </is>
      </c>
      <c r="BR136" s="76" t="inlineStr">
        <is>
          <t>CMB International Capital Limited</t>
        </is>
      </c>
      <c r="BS136" s="63" t="inlineStr">
        <is>
          <t>China International Capital Corporation Hong Kong Securities Limited; CMB International Capital Corporation Limited</t>
        </is>
      </c>
      <c r="BT136" s="63" t="inlineStr">
        <is>
          <t>CMB International Capital Limited; China International Capital Corporation Hong Kong Securities Limited; Futu Securities International (Hong Kong) Limited</t>
        </is>
      </c>
      <c r="BU136" s="63" t="inlineStr">
        <is>
          <t>China International Capital Corporation Hong Kong Securities Limited; CMB International Capital Corporation Limited; Futu Securities International (Hong Kong) Limited; Silverbricks Securities Company Limited</t>
        </is>
      </c>
      <c r="BV136" s="78">
        <f>HYPERLINK("https://www1.hkexnews.hk/listedco/listconews/sehk/2022/0901/2022090100013.pdf","prospectus")</f>
        <v/>
      </c>
      <c r="BW136" s="78">
        <f>HYPERLINK("https://www1.hkexnews.hk/listedco/listconews/sehk/2022/0913/2022091300006.htm","allotment")</f>
        <v/>
      </c>
      <c r="BX136" s="78">
        <f>HYPERLINK("https://www1.hkexnews.hk/listedco/listconews/sehk/2022/1006/2022100601196.pdf","stabilisation")</f>
        <v/>
      </c>
      <c r="BY136" s="76" t="n"/>
      <c r="BZ13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72" t="n"/>
      <c r="AC137" s="66" t="n"/>
      <c r="AD137" s="72" t="n"/>
      <c r="AE137" s="63" t="n"/>
      <c r="AF137" s="63" t="inlineStr">
        <is>
          <t>lapsed (no over-allocation)</t>
        </is>
      </c>
      <c r="AG137" s="63" t="n"/>
      <c r="AH137" s="63" t="inlineStr">
        <is>
          <t>Innovax Securities</t>
        </is>
      </c>
      <c r="AI137" s="63" t="inlineStr">
        <is>
          <t>Innovax</t>
        </is>
      </c>
      <c r="AJ137" s="73" t="n">
        <v>-27.06</v>
      </c>
      <c r="AK137" s="72" t="n">
        <v>5.88</v>
      </c>
      <c r="AL137" s="72" t="n">
        <v>-31.11</v>
      </c>
      <c r="AM137" s="72" t="n">
        <v>-34.12</v>
      </c>
      <c r="AN137" s="72" t="n">
        <v>-41.18</v>
      </c>
      <c r="AO137" s="72" t="n">
        <v>-54.12</v>
      </c>
      <c r="AP137" s="72" t="n">
        <v>-9.68</v>
      </c>
      <c r="AQ137" s="72" t="n">
        <v>-19.36</v>
      </c>
      <c r="AR137" s="72" t="n">
        <v>-37.1</v>
      </c>
      <c r="AS137" s="72" t="n">
        <v>-31.16</v>
      </c>
      <c r="AT137" s="72" t="n">
        <v>-25.58</v>
      </c>
      <c r="AU137" s="72" t="n">
        <v>-63.72</v>
      </c>
      <c r="AV137" s="72" t="n">
        <v>-2.79</v>
      </c>
      <c r="AW137" s="72" t="n">
        <v>-15.6</v>
      </c>
      <c r="AX137" s="72" t="n">
        <v>-16.57</v>
      </c>
      <c r="AY137" s="63" t="inlineStr">
        <is>
          <t>Hang Seng Commerce &amp; Industry sub-index</t>
        </is>
      </c>
      <c r="AZ137" s="72" t="n">
        <v>-18.82</v>
      </c>
      <c r="BA137" s="64" t="inlineStr">
        <is>
          <t>2026-08-28</t>
        </is>
      </c>
      <c r="BB137" s="65" t="n">
        <v>631.5</v>
      </c>
      <c r="BC137" s="68" t="n">
        <v>47.3</v>
      </c>
      <c r="BD137" s="63" t="inlineStr">
        <is>
          <t>Y</t>
        </is>
      </c>
      <c r="BE137" s="74" t="n">
        <v>11</v>
      </c>
      <c r="BF137" s="74" t="n"/>
      <c r="BG137" s="74" t="n"/>
      <c r="BH137" s="74" t="n">
        <v>0.8</v>
      </c>
      <c r="BI137" s="75">
        <f>IF('BBG Verify'!S137="","not filed — run on terminal",'BBG Verify'!S137)</f>
        <v/>
      </c>
      <c r="BJ137" s="76" t="inlineStr">
        <is>
          <t>N</t>
        </is>
      </c>
      <c r="BK137" s="77">
        <f>IF('BBG Verify'!K137="","not filed — run on terminal",'BBG Verify'!K137)</f>
        <v/>
      </c>
      <c r="BL137" s="63" t="inlineStr">
        <is>
          <t>N/A</t>
        </is>
      </c>
      <c r="BM137" s="63" t="inlineStr">
        <is>
          <t>N/A</t>
        </is>
      </c>
      <c r="BN137" s="63" t="inlineStr">
        <is>
          <t>N/A</t>
        </is>
      </c>
      <c r="BO137" s="63" t="inlineStr">
        <is>
          <t>N/A</t>
        </is>
      </c>
      <c r="BP137" s="63" t="inlineStr">
        <is>
          <t>N/A</t>
        </is>
      </c>
      <c r="BQ137" s="63" t="inlineStr">
        <is>
          <t>N/A</t>
        </is>
      </c>
      <c r="BR137" s="76" t="n"/>
      <c r="BS137" s="63" t="inlineStr">
        <is>
          <t>Innovax Capital Limited</t>
        </is>
      </c>
      <c r="BT137" s="63" t="inlineStr">
        <is>
          <t>Canfield Securities Company Limited; China PA Securities (Hong Kong) Company Limited; Innovax Securities Limited; Sinomax Securities Limited</t>
        </is>
      </c>
      <c r="BU137" s="63" t="inlineStr">
        <is>
          <t>Canfield Securities Company Limited; China PA Securities (Hong Kong) Company Limited; Innovax Securities Limited; Sinomax Securities Limited</t>
        </is>
      </c>
      <c r="BV137" s="78">
        <f>HYPERLINK("https://www1.hkexnews.hk/listedco/listconews/sehk/2022/0913/2022091300024.htm","prospectus")</f>
        <v/>
      </c>
      <c r="BW137" s="78">
        <f>HYPERLINK("https://www1.hkexnews.hk/listedco/listconews/sehk/2022/0923/2022092300212.htm","allotment")</f>
        <v/>
      </c>
      <c r="BX137" s="78">
        <f>HYPERLINK("https://www1.hkexnews.hk/listedco/listconews/sehk/2022/1017/2022101700385.pdf","stabilisation")</f>
        <v/>
      </c>
      <c r="BY137" s="76" t="n"/>
      <c r="BZ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72" t="n"/>
      <c r="AC138" s="66" t="n"/>
      <c r="AD138" s="72" t="n"/>
      <c r="AE138" s="63" t="n"/>
      <c r="AF138" s="63" t="inlineStr">
        <is>
          <t>lapsed</t>
        </is>
      </c>
      <c r="AG138" s="63" t="inlineStr">
        <is>
          <t>2022-10-23</t>
        </is>
      </c>
      <c r="AH138" s="63" t="inlineStr">
        <is>
          <t>J.P. Morgan Securities</t>
        </is>
      </c>
      <c r="AI138" s="63" t="inlineStr">
        <is>
          <t>JP Morgan</t>
        </is>
      </c>
      <c r="AJ138" s="73" t="n">
        <v>-33.54</v>
      </c>
      <c r="AK138" s="72" t="n">
        <v>-14.58</v>
      </c>
      <c r="AL138" s="72" t="n">
        <v>-22.2</v>
      </c>
      <c r="AM138" s="72" t="n">
        <v>-48.33</v>
      </c>
      <c r="AN138" s="72" t="n">
        <v>-62.21</v>
      </c>
      <c r="AO138" s="72" t="n">
        <v>-37.08</v>
      </c>
      <c r="AP138" s="72" t="n">
        <v>-22.25</v>
      </c>
      <c r="AQ138" s="72" t="n">
        <v>-43.14</v>
      </c>
      <c r="AR138" s="72" t="n">
        <v>-5.33</v>
      </c>
      <c r="AS138" s="72" t="n">
        <v>-50.82</v>
      </c>
      <c r="AT138" s="72" t="n">
        <v>-44.05</v>
      </c>
      <c r="AU138" s="72" t="n">
        <v>-48.68</v>
      </c>
      <c r="AV138" s="72" t="n">
        <v>-25.2</v>
      </c>
      <c r="AW138" s="72" t="n">
        <v>-18.16</v>
      </c>
      <c r="AX138" s="72" t="n">
        <v>-17.94</v>
      </c>
      <c r="AY138" s="63" t="inlineStr">
        <is>
          <t>Hang Seng Commerce &amp; Industry sub-index</t>
        </is>
      </c>
      <c r="AZ138" s="72" t="n">
        <v>-19.04</v>
      </c>
      <c r="BA138" s="64" t="inlineStr">
        <is>
          <t>2026-08-28</t>
        </is>
      </c>
      <c r="BB138" s="65" t="n">
        <v>694.4</v>
      </c>
      <c r="BC138" s="68" t="n">
        <v>-3130.4</v>
      </c>
      <c r="BD138" s="63" t="inlineStr">
        <is>
          <t>N</t>
        </is>
      </c>
      <c r="BE138" s="63" t="inlineStr">
        <is>
          <t>n/m</t>
        </is>
      </c>
      <c r="BF138" s="74" t="n"/>
      <c r="BG138" s="74" t="n">
        <v>95.59999999999999</v>
      </c>
      <c r="BH138" s="74" t="n">
        <v>79.3</v>
      </c>
      <c r="BI138" s="75">
        <f>IF('BBG Verify'!S138="","not filed — run on terminal",'BBG Verify'!S138)</f>
        <v/>
      </c>
      <c r="BJ138" s="76" t="inlineStr">
        <is>
          <t>N</t>
        </is>
      </c>
      <c r="BK138" s="77">
        <f>IF('BBG Verify'!K138="","not filed — run on terminal",'BBG Verify'!K138)</f>
        <v/>
      </c>
      <c r="BL138" s="63" t="inlineStr">
        <is>
          <t>N/A</t>
        </is>
      </c>
      <c r="BM138" s="63" t="inlineStr">
        <is>
          <t>N/A</t>
        </is>
      </c>
      <c r="BN138" s="63" t="inlineStr">
        <is>
          <t>N/A</t>
        </is>
      </c>
      <c r="BO138" s="63" t="inlineStr">
        <is>
          <t>N/A</t>
        </is>
      </c>
      <c r="BP138" s="63" t="inlineStr">
        <is>
          <t>N/A</t>
        </is>
      </c>
      <c r="BQ138" s="63" t="inlineStr">
        <is>
          <t>N/A</t>
        </is>
      </c>
      <c r="BR138" s="76" t="inlineStr">
        <is>
          <t>J.P . Morgan Securities (Far East) Limited; China International Capital Corporation Hong Kong Securities Limited; Citigroup Global Markets Asia Limited; CCB International Capital Limited</t>
        </is>
      </c>
      <c r="BS138" s="63" t="inlineStr">
        <is>
          <t>China International Capital Corporation Hong Kong Securities Limited; CCB International Capital Limited; J.P. Morgan Securities (Far East) Limited; Citigroup Global Markets Asia Limited</t>
        </is>
      </c>
      <c r="BT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U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V138" s="78">
        <f>HYPERLINK("https://www1.hkexnews.hk/listedco/listconews/sehk/2022/0920/2022092000023.pdf","prospectus")</f>
        <v/>
      </c>
      <c r="BW138" s="78">
        <f>HYPERLINK("https://www1.hkexnews.hk/listedco/listconews/sehk/2022/0928/2022092800020.htm","allotment")</f>
        <v/>
      </c>
      <c r="BX138" s="78">
        <f>HYPERLINK("https://www1.hkexnews.hk/listedco/listconews/sehk/2022/1023/2022102300019.pdf","stabilisation")</f>
        <v/>
      </c>
      <c r="BY138" s="76" t="n"/>
      <c r="BZ13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72" t="n"/>
      <c r="AC139" s="66" t="n"/>
      <c r="AD139" s="72" t="n"/>
      <c r="AE139" s="63" t="n"/>
      <c r="AF139" s="63" t="inlineStr">
        <is>
          <t>partial</t>
        </is>
      </c>
      <c r="AG139" s="63" t="inlineStr">
        <is>
          <t>2022-10-22</t>
        </is>
      </c>
      <c r="AH139" s="63" t="inlineStr">
        <is>
          <t>Goldman Sachs</t>
        </is>
      </c>
      <c r="AI139" s="63" t="inlineStr">
        <is>
          <t>Goldman Sachs</t>
        </is>
      </c>
      <c r="AJ139" s="73" t="n">
        <v>-6.79</v>
      </c>
      <c r="AK139" s="72" t="n">
        <v>-7.6</v>
      </c>
      <c r="AL139" s="72" t="n">
        <v>0.88</v>
      </c>
      <c r="AM139" s="72" t="n">
        <v>-11.65</v>
      </c>
      <c r="AN139" s="72" t="n">
        <v>-39.72</v>
      </c>
      <c r="AO139" s="72" t="n">
        <v>-0.61</v>
      </c>
      <c r="AP139" s="72" t="n">
        <v>-5.21</v>
      </c>
      <c r="AQ139" s="72" t="n">
        <v>-35.33</v>
      </c>
      <c r="AR139" s="72" t="n">
        <v>6.63</v>
      </c>
      <c r="AS139" s="72" t="n">
        <v>-12.68</v>
      </c>
      <c r="AT139" s="72" t="n">
        <v>-20.53</v>
      </c>
      <c r="AU139" s="72" t="n">
        <v>-13.61</v>
      </c>
      <c r="AV139" s="72" t="n">
        <v>-17.65</v>
      </c>
      <c r="AW139" s="72" t="n">
        <v>-19.19</v>
      </c>
      <c r="AX139" s="72" t="n">
        <v>-17.68</v>
      </c>
      <c r="AY139" s="63" t="inlineStr">
        <is>
          <t>Hang Seng Properties sub-index</t>
        </is>
      </c>
      <c r="AZ139" s="72" t="n">
        <v>-60.63</v>
      </c>
      <c r="BA139" s="64" t="inlineStr">
        <is>
          <t>2026-08-28</t>
        </is>
      </c>
      <c r="BB139" s="65" t="n">
        <v>26075</v>
      </c>
      <c r="BC139" s="68" t="n">
        <v>1885.7</v>
      </c>
      <c r="BD139" s="63" t="inlineStr">
        <is>
          <t>Y</t>
        </is>
      </c>
      <c r="BE139" s="74" t="n">
        <v>32.7</v>
      </c>
      <c r="BF139" s="74" t="n">
        <v>24.2</v>
      </c>
      <c r="BG139" s="74" t="n">
        <v>26</v>
      </c>
      <c r="BH139" s="74" t="n">
        <v>2.4</v>
      </c>
      <c r="BI139" s="75">
        <f>IF('BBG Verify'!S139="","not filed — run on terminal",'BBG Verify'!S139)</f>
        <v/>
      </c>
      <c r="BJ139" s="76" t="inlineStr">
        <is>
          <t>N</t>
        </is>
      </c>
      <c r="BK139" s="77">
        <f>IF('BBG Verify'!K139="","not filed — run on terminal",'BBG Verify'!K139)</f>
        <v/>
      </c>
      <c r="BL139" s="63" t="inlineStr">
        <is>
          <t>N/A</t>
        </is>
      </c>
      <c r="BM139" s="63" t="inlineStr">
        <is>
          <t>N/A</t>
        </is>
      </c>
      <c r="BN139" s="63" t="inlineStr">
        <is>
          <t>N/A</t>
        </is>
      </c>
      <c r="BO139" s="63" t="inlineStr">
        <is>
          <t>N/A</t>
        </is>
      </c>
      <c r="BP139" s="63" t="inlineStr">
        <is>
          <t>N/A</t>
        </is>
      </c>
      <c r="BQ139" s="63" t="inlineStr">
        <is>
          <t>N/A</t>
        </is>
      </c>
      <c r="BR139" s="76" t="inlineStr">
        <is>
          <t>CLSA Capital Markets Limited; Citigroup Global Markets Asia Limited; Goldman Sachs (Asia) L.L.C; CLSA Limited</t>
        </is>
      </c>
      <c r="BS139" s="63" t="inlineStr">
        <is>
          <t>Goldman Sachs (Asia) L.L.C.; CLSA Capital Markets Limited; Citigroup Global Markets Asia Limited</t>
        </is>
      </c>
      <c r="BT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U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V139" s="78">
        <f>HYPERLINK("https://www1.hkexnews.hk/listedco/listconews/sehk/2022/0919/2022091900009.pdf","prospectus")</f>
        <v/>
      </c>
      <c r="BW139" s="78">
        <f>HYPERLINK("https://www1.hkexnews.hk/listedco/listconews/sehk/2022/0928/2022092800042.htm","allotment")</f>
        <v/>
      </c>
      <c r="BX139" s="78">
        <f>HYPERLINK("https://www1.hkexnews.hk/listedco/listconews/sehk/2022/1023/2022102300033.pdf","stabilisation")</f>
        <v/>
      </c>
      <c r="BY139" s="76" t="n"/>
      <c r="BZ139" s="63" t="inlineStr">
        <is>
          <t>A/H: no A-share listing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72" t="n"/>
      <c r="AC140" s="66" t="n"/>
      <c r="AD140" s="72" t="n"/>
      <c r="AE140" s="63" t="n"/>
      <c r="AF140" s="63" t="inlineStr">
        <is>
          <t>partial</t>
        </is>
      </c>
      <c r="AG140" s="63" t="inlineStr">
        <is>
          <t>2022-10-28</t>
        </is>
      </c>
      <c r="AH140" s="63" t="inlineStr">
        <is>
          <t>Goldman Sachs</t>
        </is>
      </c>
      <c r="AI140" s="63" t="inlineStr">
        <is>
          <t>Goldman Sachs</t>
        </is>
      </c>
      <c r="AJ140" s="73" t="n">
        <v>3.09</v>
      </c>
      <c r="AK140" s="72" t="n">
        <v>-7.18</v>
      </c>
      <c r="AL140" s="72" t="n">
        <v>11.06</v>
      </c>
      <c r="AM140" s="72" t="n">
        <v>3.71</v>
      </c>
      <c r="AN140" s="72" t="n">
        <v>77.59999999999999</v>
      </c>
      <c r="AO140" s="72" t="n">
        <v>54.7</v>
      </c>
      <c r="AP140" s="72" t="n">
        <v>0.6</v>
      </c>
      <c r="AQ140" s="72" t="n">
        <v>72.28</v>
      </c>
      <c r="AR140" s="72" t="n">
        <v>50.06</v>
      </c>
      <c r="AS140" s="72" t="n">
        <v>7.04</v>
      </c>
      <c r="AT140" s="72" t="n">
        <v>65.25</v>
      </c>
      <c r="AU140" s="72" t="n">
        <v>35.21</v>
      </c>
      <c r="AV140" s="72" t="n">
        <v>58.37</v>
      </c>
      <c r="AW140" s="72" t="n">
        <v>12.35</v>
      </c>
      <c r="AX140" s="72" t="n">
        <v>13.91</v>
      </c>
      <c r="AY140" s="63" t="inlineStr">
        <is>
          <t>China Biotech ETF (HS biotech proxy)</t>
        </is>
      </c>
      <c r="AZ140" s="72" t="n">
        <v>-89.11</v>
      </c>
      <c r="BA140" s="64" t="inlineStr">
        <is>
          <t>2026-08-28</t>
        </is>
      </c>
      <c r="BB140" s="65" t="n">
        <v>1727.1</v>
      </c>
      <c r="BC140" s="68" t="n">
        <v>-667.4</v>
      </c>
      <c r="BD140" s="63" t="inlineStr">
        <is>
          <t>N</t>
        </is>
      </c>
      <c r="BE140" s="63" t="inlineStr">
        <is>
          <t>n/m</t>
        </is>
      </c>
      <c r="BF140" s="74" t="n"/>
      <c r="BG140" s="74" t="n"/>
      <c r="BH140" s="74" t="n">
        <v>11.3</v>
      </c>
      <c r="BI140" s="75">
        <f>IF('BBG Verify'!S140="","not filed — run on terminal",'BBG Verify'!S140)</f>
        <v/>
      </c>
      <c r="BJ140" s="76" t="inlineStr">
        <is>
          <t>N</t>
        </is>
      </c>
      <c r="BK140" s="77">
        <f>IF('BBG Verify'!K140="","not filed — run on terminal",'BBG Verify'!K140)</f>
        <v/>
      </c>
      <c r="BL140" s="63" t="inlineStr">
        <is>
          <t>N/A</t>
        </is>
      </c>
      <c r="BM140" s="63" t="inlineStr">
        <is>
          <t>N/A</t>
        </is>
      </c>
      <c r="BN140" s="63" t="inlineStr">
        <is>
          <t>N/A</t>
        </is>
      </c>
      <c r="BO140" s="63" t="inlineStr">
        <is>
          <t>N/A</t>
        </is>
      </c>
      <c r="BP140" s="63" t="inlineStr">
        <is>
          <t>N/A</t>
        </is>
      </c>
      <c r="BQ140" s="63" t="inlineStr">
        <is>
          <t>N/A</t>
        </is>
      </c>
      <c r="BR140" s="76" t="inlineStr">
        <is>
          <t>Goldman Sachs (Asia) L.L.C; China International Capital Corporation Hong Kong Securities Limited; China Securities (International) Corporate Finance Company Limited; Macquarie Capital Limited</t>
        </is>
      </c>
      <c r="BS140" s="63" t="inlineStr">
        <is>
          <t>China International Capital Corporation Hong Kong Securities Limited; Goldman Sachs (Asia) L.L.C.; China Securities (International) Corporate Finance Company Limited; Macquarie Capital Limited</t>
        </is>
      </c>
      <c r="BT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U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V140" s="78">
        <f>HYPERLINK("https://www1.hkexnews.hk/listedco/listconews/sehk/2022/0923/2022092300031.pdf","prospectus")</f>
        <v/>
      </c>
      <c r="BW140" s="78">
        <f>HYPERLINK("https://www1.hkexnews.hk/listedco/listconews/sehk/2022/1005/2022100500006.htm","allotment")</f>
        <v/>
      </c>
      <c r="BX140" s="78">
        <f>HYPERLINK("https://www1.hkexnews.hk/listedco/listconews/sehk/2022/1028/2022102802169.pdf","stabilisation")</f>
        <v/>
      </c>
      <c r="BY140" s="76" t="n"/>
      <c r="BZ140" s="63" t="inlineStr">
        <is>
          <t>P/E: n/m — loss-making at IPO (use P/S) · 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72" t="n"/>
      <c r="AC141" s="66" t="n"/>
      <c r="AD141" s="72" t="n"/>
      <c r="AE141" s="63" t="n"/>
      <c r="AF141" s="63" t="inlineStr">
        <is>
          <t>lapsed</t>
        </is>
      </c>
      <c r="AG141" s="63" t="inlineStr">
        <is>
          <t>2022-10-28</t>
        </is>
      </c>
      <c r="AH141" s="63" t="inlineStr">
        <is>
          <t>Huatai Financial Holdings</t>
        </is>
      </c>
      <c r="AI141" s="63" t="inlineStr">
        <is>
          <t>Huatai</t>
        </is>
      </c>
      <c r="AJ141" s="73" t="n">
        <v>0</v>
      </c>
      <c r="AK141" s="72" t="n">
        <v>0</v>
      </c>
      <c r="AL141" s="72" t="n">
        <v>0</v>
      </c>
      <c r="AM141" s="72" t="n">
        <v>-2.63</v>
      </c>
      <c r="AN141" s="72" t="n">
        <v>-37.76</v>
      </c>
      <c r="AO141" s="72" t="n">
        <v>-45.79</v>
      </c>
      <c r="AP141" s="72" t="n">
        <v>-2.63</v>
      </c>
      <c r="AQ141" s="72" t="n">
        <v>-37.76</v>
      </c>
      <c r="AR141" s="72" t="n">
        <v>-45.79</v>
      </c>
      <c r="AS141" s="72" t="n">
        <v>8.5</v>
      </c>
      <c r="AT141" s="72" t="n">
        <v>-26.11</v>
      </c>
      <c r="AU141" s="72" t="n">
        <v>-60.24</v>
      </c>
      <c r="AV141" s="72" t="n">
        <v>-26.44</v>
      </c>
      <c r="AW141" s="72" t="n">
        <v>-11.65</v>
      </c>
      <c r="AX141" s="72" t="n">
        <v>-11.32</v>
      </c>
      <c r="AY141" s="63" t="inlineStr">
        <is>
          <t>Hang Seng Commerce &amp; Industry sub-index</t>
        </is>
      </c>
      <c r="AZ141" s="72" t="n">
        <v>-52.24</v>
      </c>
      <c r="BA141" s="64" t="inlineStr">
        <is>
          <t>2026-08-28</t>
        </is>
      </c>
      <c r="BB141" s="65" t="n">
        <v>7498.8</v>
      </c>
      <c r="BC141" s="68" t="n"/>
      <c r="BD141" s="63" t="inlineStr">
        <is>
          <t>Y</t>
        </is>
      </c>
      <c r="BE141" s="75">
        <f>IF('BBG Verify'!O141="","not filed — run on terminal",'BBG Verify'!O141)</f>
        <v/>
      </c>
      <c r="BF141" s="74" t="n"/>
      <c r="BG141" s="74" t="n">
        <v>20.7</v>
      </c>
      <c r="BH141" s="74" t="n">
        <v>9</v>
      </c>
      <c r="BI141" s="75">
        <f>IF('BBG Verify'!S141="","not filed — run on terminal",'BBG Verify'!S141)</f>
        <v/>
      </c>
      <c r="BJ141" s="76" t="inlineStr">
        <is>
          <t>N</t>
        </is>
      </c>
      <c r="BK141" s="77">
        <f>IF('BBG Verify'!K141="","not filed — run on terminal",'BBG Verify'!K141)</f>
        <v/>
      </c>
      <c r="BL141" s="63" t="inlineStr">
        <is>
          <t>N/A</t>
        </is>
      </c>
      <c r="BM141" s="63" t="inlineStr">
        <is>
          <t>N/A</t>
        </is>
      </c>
      <c r="BN141" s="63" t="inlineStr">
        <is>
          <t>N/A</t>
        </is>
      </c>
      <c r="BO141" s="63" t="inlineStr">
        <is>
          <t>N/A</t>
        </is>
      </c>
      <c r="BP141" s="63" t="inlineStr">
        <is>
          <t>N/A</t>
        </is>
      </c>
      <c r="BQ141" s="63" t="inlineStr">
        <is>
          <t>N/A</t>
        </is>
      </c>
      <c r="BR141" s="76" t="inlineStr">
        <is>
          <t>OC Huatai Financial Holdings (Hong Kong) Limited</t>
        </is>
      </c>
      <c r="BS141" s="63" t="inlineStr">
        <is>
          <t>Huatai Financial Holdings (Hong Kong) Limited</t>
        </is>
      </c>
      <c r="BT141" s="63" t="inlineStr">
        <is>
          <t>Huatai Financial Holdings (Hong Kong) Limited; J.P. Morgan Securities (Asia Pacific) Limited; Citigroup Global Markets Asia Limited</t>
        </is>
      </c>
      <c r="BU141" s="63" t="inlineStr">
        <is>
          <t>Citigroup Global Markets Asia Limited; Credit Suisse (Hong Kong) Limited; Futu Securities International (Hong Kong) Limited; Huatai Financial Holdings (Hong Kong) Limited; J.P. Morgan Securities (Asia Pacific) Limited</t>
        </is>
      </c>
      <c r="BV141" s="78">
        <f>HYPERLINK("https://www1.hkexnews.hk/listedco/listconews/sehk/2022/0923/2022092300035.pdf","prospectus")</f>
        <v/>
      </c>
      <c r="BW141" s="78">
        <f>HYPERLINK("https://www1.hkexnews.hk/listedco/listconews/sehk/2022/1005/2022100500028.htm","allotment")</f>
        <v/>
      </c>
      <c r="BX141" s="78">
        <f>HYPERLINK("https://www1.hkexnews.hk/listedco/listconews/sehk/2022/1028/2022102801659.pdf","stabilisation")</f>
        <v/>
      </c>
      <c r="BY141" s="76" t="n"/>
      <c r="BZ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72" t="n"/>
      <c r="AC142" s="66" t="n"/>
      <c r="AD142" s="72" t="n"/>
      <c r="AE142" s="63" t="n"/>
      <c r="AF142" s="63" t="inlineStr">
        <is>
          <t>lapsed</t>
        </is>
      </c>
      <c r="AG142" s="63" t="inlineStr">
        <is>
          <t>2022-10-29</t>
        </is>
      </c>
      <c r="AH142" s="63" t="inlineStr">
        <is>
          <t>China International Capital Corporation Hong Kong Securities Limited</t>
        </is>
      </c>
      <c r="AI142" s="63" t="inlineStr">
        <is>
          <t>China International</t>
        </is>
      </c>
      <c r="AJ142" s="73" t="n">
        <v>1.62</v>
      </c>
      <c r="AK142" s="72" t="n">
        <v>0.72</v>
      </c>
      <c r="AL142" s="72" t="n">
        <v>0.89</v>
      </c>
      <c r="AM142" s="72" t="n">
        <v>0.54</v>
      </c>
      <c r="AN142" s="72" t="n">
        <v>11.51</v>
      </c>
      <c r="AO142" s="72" t="n">
        <v>28.42</v>
      </c>
      <c r="AP142" s="72" t="n">
        <v>-1.06</v>
      </c>
      <c r="AQ142" s="72" t="n">
        <v>9.73</v>
      </c>
      <c r="AR142" s="72" t="n">
        <v>26.37</v>
      </c>
      <c r="AS142" s="72" t="n">
        <v>-7.07</v>
      </c>
      <c r="AT142" s="72" t="n">
        <v>-4.32</v>
      </c>
      <c r="AU142" s="72" t="n">
        <v>4.05</v>
      </c>
      <c r="AV142" s="72" t="n">
        <v>-8.83</v>
      </c>
      <c r="AW142" s="72" t="n">
        <v>15.83</v>
      </c>
      <c r="AX142" s="72" t="n">
        <v>18.56</v>
      </c>
      <c r="AY142" s="63" t="inlineStr">
        <is>
          <t>China Biotech ETF (HS biotech proxy)</t>
        </is>
      </c>
      <c r="AZ142" s="72" t="n">
        <v>-74.01000000000001</v>
      </c>
      <c r="BA142" s="64" t="inlineStr">
        <is>
          <t>2026-08-28</t>
        </is>
      </c>
      <c r="BB142" s="65" t="n">
        <v>172.8</v>
      </c>
      <c r="BC142" s="68" t="n">
        <v>59.7</v>
      </c>
      <c r="BD142" s="63" t="inlineStr">
        <is>
          <t>Y</t>
        </is>
      </c>
      <c r="BE142" s="74" t="n">
        <v>180.1</v>
      </c>
      <c r="BF142" s="74" t="n"/>
      <c r="BG142" s="74" t="n"/>
      <c r="BH142" s="74" t="n">
        <v>62.2</v>
      </c>
      <c r="BI142" s="75">
        <f>IF('BBG Verify'!S142="","not filed — run on terminal",'BBG Verify'!S142)</f>
        <v/>
      </c>
      <c r="BJ142" s="76" t="inlineStr">
        <is>
          <t>N</t>
        </is>
      </c>
      <c r="BK142" s="77">
        <f>IF('BBG Verify'!K142="","not filed — run on terminal",'BBG Verify'!K142)</f>
        <v/>
      </c>
      <c r="BL142" s="63" t="inlineStr">
        <is>
          <t>N/A</t>
        </is>
      </c>
      <c r="BM142" s="63" t="inlineStr">
        <is>
          <t>N/A</t>
        </is>
      </c>
      <c r="BN142" s="63" t="inlineStr">
        <is>
          <t>N/A</t>
        </is>
      </c>
      <c r="BO142" s="63" t="inlineStr">
        <is>
          <t>N/A</t>
        </is>
      </c>
      <c r="BP142" s="63" t="inlineStr">
        <is>
          <t>N/A</t>
        </is>
      </c>
      <c r="BQ142" s="63" t="inlineStr">
        <is>
          <t>N/A</t>
        </is>
      </c>
      <c r="BR142" s="76" t="inlineStr">
        <is>
          <t>China International Capital Corporation Hong Kong Securities Limited; Citigroup Global Markets Asia Limited</t>
        </is>
      </c>
      <c r="BS142" s="63" t="inlineStr">
        <is>
          <t>China International Capital Corporation Hong Kong Securities Limited; Citigroup Global Markets Asia Limited</t>
        </is>
      </c>
      <c r="BT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U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V142" s="78">
        <f>HYPERLINK("https://www1.hkexnews.hk/listedco/listconews/sehk/2022/0923/2022092300017.pdf","prospectus")</f>
        <v/>
      </c>
      <c r="BW142" s="78">
        <f>HYPERLINK("https://www1.hkexnews.hk/listedco/listconews/sehk/2022/1007/2022100700012.htm","allotment")</f>
        <v/>
      </c>
      <c r="BX142" s="78">
        <f>HYPERLINK("https://www1.hkexnews.hk/listedco/listconews/sehk/2022/1031/2022103100005.pdf","stabilisation")</f>
        <v/>
      </c>
      <c r="BY142" s="76" t="n"/>
      <c r="BZ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72" t="n"/>
      <c r="AC143" s="66" t="n"/>
      <c r="AD143" s="72" t="n"/>
      <c r="AE143" s="63" t="n"/>
      <c r="AF143" s="63" t="n"/>
      <c r="AG143" s="63" t="n"/>
      <c r="AH143" s="63" t="inlineStr">
        <is>
          <t>China Tonghai Securities Limited</t>
        </is>
      </c>
      <c r="AI143" s="63" t="inlineStr">
        <is>
          <t>China Tonghai</t>
        </is>
      </c>
      <c r="AJ143" s="73" t="n">
        <v>10</v>
      </c>
      <c r="AK143" s="72" t="n">
        <v>24</v>
      </c>
      <c r="AL143" s="72" t="n">
        <v>-11.29</v>
      </c>
      <c r="AM143" s="72" t="n">
        <v>2</v>
      </c>
      <c r="AN143" s="72" t="n">
        <v>8</v>
      </c>
      <c r="AO143" s="72" t="n">
        <v>0</v>
      </c>
      <c r="AP143" s="72" t="n">
        <v>-7.27</v>
      </c>
      <c r="AQ143" s="72" t="n">
        <v>-1.82</v>
      </c>
      <c r="AR143" s="72" t="n">
        <v>-9.09</v>
      </c>
      <c r="AS143" s="72" t="n">
        <v>10.1</v>
      </c>
      <c r="AT143" s="72" t="n">
        <v>16.15</v>
      </c>
      <c r="AU143" s="72" t="n">
        <v>-20.19</v>
      </c>
      <c r="AV143" s="72" t="n">
        <v>2.81</v>
      </c>
      <c r="AW143" s="72" t="n">
        <v>-8.15</v>
      </c>
      <c r="AX143" s="72" t="n">
        <v>-4.63</v>
      </c>
      <c r="AY143" s="63" t="inlineStr">
        <is>
          <t>Hang Seng Commerce &amp; Industry sub-index</t>
        </is>
      </c>
      <c r="AZ143" s="72" t="n">
        <v>275</v>
      </c>
      <c r="BA143" s="64" t="inlineStr">
        <is>
          <t>2026-08-28</t>
        </is>
      </c>
      <c r="BB143" s="65" t="n">
        <v>440.4</v>
      </c>
      <c r="BC143" s="68" t="n">
        <v>46</v>
      </c>
      <c r="BD143" s="63" t="inlineStr">
        <is>
          <t>Y</t>
        </is>
      </c>
      <c r="BE143" s="74" t="n">
        <v>11.7</v>
      </c>
      <c r="BF143" s="74" t="n"/>
      <c r="BG143" s="74" t="n"/>
      <c r="BH143" s="74" t="n">
        <v>1.2</v>
      </c>
      <c r="BI143" s="75">
        <f>IF('BBG Verify'!S143="","not filed — run on terminal",'BBG Verify'!S143)</f>
        <v/>
      </c>
      <c r="BJ143" s="76" t="inlineStr">
        <is>
          <t>N</t>
        </is>
      </c>
      <c r="BK143" s="77">
        <f>IF('BBG Verify'!K143="","not filed — run on terminal",'BBG Verify'!K143)</f>
        <v/>
      </c>
      <c r="BL143" s="63" t="inlineStr">
        <is>
          <t>N/A</t>
        </is>
      </c>
      <c r="BM143" s="63" t="inlineStr">
        <is>
          <t>N/A</t>
        </is>
      </c>
      <c r="BN143" s="63" t="inlineStr">
        <is>
          <t>N/A</t>
        </is>
      </c>
      <c r="BO143" s="63" t="inlineStr">
        <is>
          <t>N/A</t>
        </is>
      </c>
      <c r="BP143" s="63" t="inlineStr">
        <is>
          <t>N/A</t>
        </is>
      </c>
      <c r="BQ143" s="63" t="inlineStr">
        <is>
          <t>N/A</t>
        </is>
      </c>
      <c r="BR143" s="76" t="n"/>
      <c r="BS143" s="63" t="inlineStr">
        <is>
          <t>Grande Capital Limited</t>
        </is>
      </c>
      <c r="BT143" s="63" t="inlineStr">
        <is>
          <t>China Tonghai Securities Limited; CSFG International Securities Limited; Chief Securities Limited; Realord Asia Pacific Securities Limited; Sinomax Securities Limited</t>
        </is>
      </c>
      <c r="BU143" s="63" t="inlineStr">
        <is>
          <t>China Tonghai Securities Limited; CSFG International Securities Limited; Chief Securities Limited; Realord Asia Pacific Securities Limited; Sinomax Securities Limited</t>
        </is>
      </c>
      <c r="BV143" s="78">
        <f>HYPERLINK("https://www1.hkexnews.hk/listedco/listconews/sehk/2022/0923/2022092300044.htm","prospectus")</f>
        <v/>
      </c>
      <c r="BW143" s="78">
        <f>HYPERLINK("https://www1.hkexnews.hk/listedco/listconews/sehk/2022/1007/2022100700042.htm","allotment")</f>
        <v/>
      </c>
      <c r="BX143" s="63" t="n"/>
      <c r="BY143" s="76" t="n"/>
      <c r="BZ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72" t="n"/>
      <c r="AC144" s="66" t="n"/>
      <c r="AD144" s="72" t="n"/>
      <c r="AE144" s="63" t="n"/>
      <c r="AF144" s="63" t="inlineStr">
        <is>
          <t>lapsed (no over-allocation)</t>
        </is>
      </c>
      <c r="AG144" s="63" t="n"/>
      <c r="AH144" s="63" t="inlineStr">
        <is>
          <t>CMBC Securities Company Limited</t>
        </is>
      </c>
      <c r="AI144" s="63" t="inlineStr">
        <is>
          <t>CMBC</t>
        </is>
      </c>
      <c r="AJ144" s="73" t="n">
        <v>110.94</v>
      </c>
      <c r="AK144" s="72" t="n">
        <v>103.12</v>
      </c>
      <c r="AL144" s="72" t="n">
        <v>3.85</v>
      </c>
      <c r="AM144" s="72" t="n">
        <v>218.75</v>
      </c>
      <c r="AN144" s="72" t="n">
        <v>314.06</v>
      </c>
      <c r="AO144" s="72" t="n">
        <v>284.38</v>
      </c>
      <c r="AP144" s="72" t="n">
        <v>51.11</v>
      </c>
      <c r="AQ144" s="72" t="n">
        <v>96.29000000000001</v>
      </c>
      <c r="AR144" s="72" t="n">
        <v>82.22</v>
      </c>
      <c r="AS144" s="72" t="n">
        <v>227.23</v>
      </c>
      <c r="AT144" s="72" t="n">
        <v>303.48</v>
      </c>
      <c r="AU144" s="72" t="n">
        <v>254.3</v>
      </c>
      <c r="AV144" s="72" t="n">
        <v>85.88</v>
      </c>
      <c r="AW144" s="72" t="n">
        <v>10.58</v>
      </c>
      <c r="AX144" s="72" t="n">
        <v>10.41</v>
      </c>
      <c r="AY144" s="63" t="inlineStr">
        <is>
          <t>Hang Seng Index</t>
        </is>
      </c>
      <c r="AZ144" s="72" t="n">
        <v>182.81</v>
      </c>
      <c r="BA144" s="64" t="inlineStr">
        <is>
          <t>2026-08-31</t>
        </is>
      </c>
      <c r="BB144" s="65" t="n">
        <v>241.5</v>
      </c>
      <c r="BC144" s="68" t="n">
        <v>55</v>
      </c>
      <c r="BD144" s="63" t="inlineStr">
        <is>
          <t>Y</t>
        </is>
      </c>
      <c r="BE144" s="74" t="n">
        <v>10.5</v>
      </c>
      <c r="BF144" s="74" t="n"/>
      <c r="BG144" s="74" t="n"/>
      <c r="BH144" s="74" t="n">
        <v>2.4</v>
      </c>
      <c r="BI144" s="75">
        <f>IF('BBG Verify'!S144="","not filed — run on terminal",'BBG Verify'!S144)</f>
        <v/>
      </c>
      <c r="BJ144" s="76" t="inlineStr">
        <is>
          <t>N</t>
        </is>
      </c>
      <c r="BK144" s="77">
        <f>IF('BBG Verify'!K144="","not filed — run on terminal",'BBG Verify'!K144)</f>
        <v/>
      </c>
      <c r="BL144" s="63" t="inlineStr">
        <is>
          <t>N/A</t>
        </is>
      </c>
      <c r="BM144" s="63" t="inlineStr">
        <is>
          <t>N/A</t>
        </is>
      </c>
      <c r="BN144" s="63" t="inlineStr">
        <is>
          <t>N/A</t>
        </is>
      </c>
      <c r="BO144" s="63" t="inlineStr">
        <is>
          <t>N/A</t>
        </is>
      </c>
      <c r="BP144" s="63" t="inlineStr">
        <is>
          <t>N/A</t>
        </is>
      </c>
      <c r="BQ144" s="63" t="inlineStr">
        <is>
          <t>N/A</t>
        </is>
      </c>
      <c r="BR144" s="76" t="inlineStr">
        <is>
          <t>CMBC International Capital Limited</t>
        </is>
      </c>
      <c r="BS144" s="63" t="inlineStr">
        <is>
          <t>CMBC International Capital Limited</t>
        </is>
      </c>
      <c r="BT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U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V144" s="78">
        <f>HYPERLINK("https://www1.hkexnews.hk/listedco/listconews/sehk/2022/0930/2022093000075.pdf","prospectus")</f>
        <v/>
      </c>
      <c r="BW144" s="78">
        <f>HYPERLINK("https://www1.hkexnews.hk/listedco/listconews/sehk/2022/1014/2022101400042.htm","allotment")</f>
        <v/>
      </c>
      <c r="BX144" s="78">
        <f>HYPERLINK("https://www1.hkexnews.hk/listedco/listconews/sehk/2022/1106/2022110600015.pdf","stabilisation")</f>
        <v/>
      </c>
      <c r="BY144" s="76" t="n"/>
      <c r="BZ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no grey-market headline on file for this deal — AAStocks publishes one per listing but keeps only recent items on the stock's news page, and no public archive of past evening sessions exists; captured from this run onward</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72" t="n"/>
      <c r="AC145" s="66" t="n"/>
      <c r="AD145" s="72" t="n"/>
      <c r="AE145" s="63" t="n"/>
      <c r="AF145" s="63" t="inlineStr">
        <is>
          <t>lapsed</t>
        </is>
      </c>
      <c r="AG145" s="63" t="inlineStr">
        <is>
          <t>2022-11-06</t>
        </is>
      </c>
      <c r="AH145" s="63" t="inlineStr">
        <is>
          <t>Shenwan Hongyuan Securities</t>
        </is>
      </c>
      <c r="AI145" s="63" t="inlineStr">
        <is>
          <t>Shenwan Hongyuan</t>
        </is>
      </c>
      <c r="AJ145" s="73" t="n">
        <v>-4.07</v>
      </c>
      <c r="AK145" s="72" t="n">
        <v>0</v>
      </c>
      <c r="AL145" s="72" t="n">
        <v>-4.07</v>
      </c>
      <c r="AM145" s="72" t="n">
        <v>3.62</v>
      </c>
      <c r="AN145" s="72" t="n">
        <v>47.96</v>
      </c>
      <c r="AO145" s="72" t="n">
        <v>89.59</v>
      </c>
      <c r="AP145" s="72" t="n">
        <v>8.02</v>
      </c>
      <c r="AQ145" s="72" t="n">
        <v>54.24</v>
      </c>
      <c r="AR145" s="72" t="n">
        <v>97.63</v>
      </c>
      <c r="AS145" s="72" t="n">
        <v>12.33</v>
      </c>
      <c r="AT145" s="72" t="n">
        <v>38.07</v>
      </c>
      <c r="AU145" s="72" t="n">
        <v>59.1</v>
      </c>
      <c r="AV145" s="72" t="n">
        <v>46.31</v>
      </c>
      <c r="AW145" s="72" t="n">
        <v>9.890000000000001</v>
      </c>
      <c r="AX145" s="72" t="n">
        <v>7.93</v>
      </c>
      <c r="AY145" s="63" t="inlineStr">
        <is>
          <t>Hang Seng Index</t>
        </is>
      </c>
      <c r="AZ145" s="72" t="n">
        <v>-97.73999999999999</v>
      </c>
      <c r="BA145" s="64" t="inlineStr">
        <is>
          <t>2026-08-31</t>
        </is>
      </c>
      <c r="BB145" s="65" t="n">
        <v>654.8</v>
      </c>
      <c r="BC145" s="68" t="n">
        <v>78.90000000000001</v>
      </c>
      <c r="BD145" s="63" t="inlineStr">
        <is>
          <t>Y</t>
        </is>
      </c>
      <c r="BE145" s="74" t="n">
        <v>62.5</v>
      </c>
      <c r="BF145" s="74" t="n"/>
      <c r="BG145" s="74" t="n"/>
      <c r="BH145" s="74" t="n">
        <v>7.5</v>
      </c>
      <c r="BI145" s="75">
        <f>IF('BBG Verify'!S145="","not filed — run on terminal",'BBG Verify'!S145)</f>
        <v/>
      </c>
      <c r="BJ145" s="76" t="inlineStr">
        <is>
          <t>N</t>
        </is>
      </c>
      <c r="BK145" s="77">
        <f>IF('BBG Verify'!K145="","not filed — run on terminal",'BBG Verify'!K145)</f>
        <v/>
      </c>
      <c r="BL145" s="63" t="inlineStr">
        <is>
          <t>N/A</t>
        </is>
      </c>
      <c r="BM145" s="63" t="inlineStr">
        <is>
          <t>N/A</t>
        </is>
      </c>
      <c r="BN145" s="63" t="inlineStr">
        <is>
          <t>N/A</t>
        </is>
      </c>
      <c r="BO145" s="63" t="inlineStr">
        <is>
          <t>N/A</t>
        </is>
      </c>
      <c r="BP145" s="63" t="inlineStr">
        <is>
          <t>N/A</t>
        </is>
      </c>
      <c r="BQ145" s="63" t="inlineStr">
        <is>
          <t>N/A</t>
        </is>
      </c>
      <c r="BR145" s="76" t="inlineStr">
        <is>
          <t>Shenwan Hongyuan Capital (H.K.) Limited</t>
        </is>
      </c>
      <c r="BS145" s="63" t="inlineStr">
        <is>
          <t>Shenwan Hongyuan Capital (H.K.) Limited</t>
        </is>
      </c>
      <c r="BT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U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V145" s="78">
        <f>HYPERLINK("https://www1.hkexnews.hk/listedco/listconews/sehk/2022/0929/2022092900133.pdf","prospectus")</f>
        <v/>
      </c>
      <c r="BW145" s="78">
        <f>HYPERLINK("https://www1.hkexnews.hk/listedco/listconews/sehk/2022/1017/2022101700012.htm","allotment")</f>
        <v/>
      </c>
      <c r="BX145" s="78">
        <f>HYPERLINK("https://www1.hkexnews.hk/listedco/listconews/sehk/2022/1107/2022110700440.pdf","stabilisation")</f>
        <v/>
      </c>
      <c r="BY145" s="76" t="n"/>
      <c r="BZ145" s="63" t="inlineStr">
        <is>
          <t>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72" t="n"/>
      <c r="AC146" s="66" t="n"/>
      <c r="AD146" s="72" t="n"/>
      <c r="AE146" s="63" t="n"/>
      <c r="AF146" s="63" t="inlineStr">
        <is>
          <t>full</t>
        </is>
      </c>
      <c r="AG146" s="63" t="inlineStr">
        <is>
          <t>2022-11-27</t>
        </is>
      </c>
      <c r="AH146" s="63" t="inlineStr">
        <is>
          <t>Goldman Sachs</t>
        </is>
      </c>
      <c r="AI146" s="63" t="inlineStr">
        <is>
          <t>Goldman Sachs</t>
        </is>
      </c>
      <c r="AJ146" s="73" t="n">
        <v>9.880000000000001</v>
      </c>
      <c r="AK146" s="72" t="n">
        <v>7</v>
      </c>
      <c r="AL146" s="72" t="n">
        <v>2.69</v>
      </c>
      <c r="AM146" s="72" t="n">
        <v>37.45</v>
      </c>
      <c r="AN146" s="72" t="n">
        <v>24.28</v>
      </c>
      <c r="AO146" s="72" t="n">
        <v>106.38</v>
      </c>
      <c r="AP146" s="72" t="n">
        <v>25.09</v>
      </c>
      <c r="AQ146" s="72" t="n">
        <v>13.11</v>
      </c>
      <c r="AR146" s="72" t="n">
        <v>87.81999999999999</v>
      </c>
      <c r="AS146" s="72" t="n">
        <v>24.53</v>
      </c>
      <c r="AT146" s="72" t="n">
        <v>-4.9</v>
      </c>
      <c r="AU146" s="72" t="n">
        <v>62.73</v>
      </c>
      <c r="AV146" s="72" t="n">
        <v>-8.210000000000001</v>
      </c>
      <c r="AW146" s="72" t="n">
        <v>29.18</v>
      </c>
      <c r="AX146" s="72" t="n">
        <v>21.32</v>
      </c>
      <c r="AY146" s="63" t="inlineStr">
        <is>
          <t>Hang Seng Commerce &amp; Industry sub-index</t>
        </is>
      </c>
      <c r="AZ146" s="72" t="n">
        <v>10.29</v>
      </c>
      <c r="BA146" s="64" t="inlineStr">
        <is>
          <t>2026-08-28</t>
        </is>
      </c>
      <c r="BB146" s="65" t="n">
        <v>1707.7</v>
      </c>
      <c r="BC146" s="68" t="n">
        <v>910.9</v>
      </c>
      <c r="BD146" s="63" t="inlineStr">
        <is>
          <t>Y</t>
        </is>
      </c>
      <c r="BE146" s="74" t="n">
        <v>23.2</v>
      </c>
      <c r="BF146" s="74" t="n"/>
      <c r="BG146" s="74" t="n">
        <v>14</v>
      </c>
      <c r="BH146" s="74" t="n">
        <v>12.4</v>
      </c>
      <c r="BI146" s="75">
        <f>IF('BBG Verify'!S146="","not filed — run on terminal",'BBG Verify'!S146)</f>
        <v/>
      </c>
      <c r="BJ146" s="76" t="inlineStr">
        <is>
          <t>N</t>
        </is>
      </c>
      <c r="BK146" s="77">
        <f>IF('BBG Verify'!K146="","not filed — run on terminal",'BBG Verify'!K146)</f>
        <v/>
      </c>
      <c r="BL146" s="63" t="inlineStr">
        <is>
          <t>N/A</t>
        </is>
      </c>
      <c r="BM146" s="63" t="inlineStr">
        <is>
          <t>N/A</t>
        </is>
      </c>
      <c r="BN146" s="63" t="inlineStr">
        <is>
          <t>N/A</t>
        </is>
      </c>
      <c r="BO146" s="63" t="inlineStr">
        <is>
          <t>N/A</t>
        </is>
      </c>
      <c r="BP146" s="63" t="inlineStr">
        <is>
          <t>N/A</t>
        </is>
      </c>
      <c r="BQ146" s="63" t="inlineStr">
        <is>
          <t>N/A</t>
        </is>
      </c>
      <c r="BR146" s="76" t="n"/>
      <c r="BS146" s="63" t="inlineStr">
        <is>
          <t>China International Capital Corporation Hong Kong Securities Limited; Goldman Sachs (Asia) L.L.C.</t>
        </is>
      </c>
      <c r="BT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78">
        <f>HYPERLINK("https://www1.hkexnews.hk/listedco/listconews/sehk/2022/1025/2022102500007.pdf","prospectus")</f>
        <v/>
      </c>
      <c r="BW146" s="78">
        <f>HYPERLINK("https://www1.hkexnews.hk/listedco/listconews/sehk/2022/1103/2022110300024.htm","allotment")</f>
        <v/>
      </c>
      <c r="BX146" s="78">
        <f>HYPERLINK("https://www1.hkexnews.hk/listedco/listconews/sehk/2022/1127/2022112700063.pdf","stabilisation")</f>
        <v/>
      </c>
      <c r="BY146" s="76" t="n"/>
      <c r="BZ146" s="63" t="inlineStr">
        <is>
          <t>A/H: no A-share listing · sponsor: English name not in the filing text; AAStocks 保薦人 shown · market cap: prospectus states HK$24,096m at HK$27.70; rescaled to the struck HK$24.30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72" t="n"/>
      <c r="AC147" s="66" t="n"/>
      <c r="AD147" s="72" t="n"/>
      <c r="AE147" s="63" t="n"/>
      <c r="AF147" s="63" t="inlineStr">
        <is>
          <t>lapsed</t>
        </is>
      </c>
      <c r="AG147" s="63" t="inlineStr">
        <is>
          <t>2022-12-01</t>
        </is>
      </c>
      <c r="AH147" s="63" t="inlineStr">
        <is>
          <t>China International Capital Corporation Hong Kong Securities Limited</t>
        </is>
      </c>
      <c r="AI147" s="63" t="inlineStr">
        <is>
          <t>China International</t>
        </is>
      </c>
      <c r="AJ147" s="73" t="n">
        <v>0</v>
      </c>
      <c r="AK147" s="72" t="n">
        <v>2.23</v>
      </c>
      <c r="AL147" s="72" t="n">
        <v>-2.18</v>
      </c>
      <c r="AM147" s="72" t="n">
        <v>-5.49</v>
      </c>
      <c r="AN147" s="72" t="n">
        <v>-0.17</v>
      </c>
      <c r="AO147" s="72" t="n">
        <v>-0.51</v>
      </c>
      <c r="AP147" s="72" t="n">
        <v>-5.49</v>
      </c>
      <c r="AQ147" s="72" t="n">
        <v>-0.17</v>
      </c>
      <c r="AR147" s="72" t="n">
        <v>-0.51</v>
      </c>
      <c r="AS147" s="72" t="n">
        <v>-8.24</v>
      </c>
      <c r="AT147" s="72" t="n">
        <v>3.51</v>
      </c>
      <c r="AU147" s="72" t="n">
        <v>-7.17</v>
      </c>
      <c r="AV147" s="72" t="n">
        <v>2.2</v>
      </c>
      <c r="AW147" s="72" t="n">
        <v>-3.68</v>
      </c>
      <c r="AX147" s="72" t="n">
        <v>-2.37</v>
      </c>
      <c r="AY147" s="63" t="inlineStr">
        <is>
          <t>China Biotech ETF (HS biotech proxy)</t>
        </is>
      </c>
      <c r="AZ147" s="72" t="n">
        <v>-54.13</v>
      </c>
      <c r="BA147" s="64" t="inlineStr">
        <is>
          <t>2026-08-28</t>
        </is>
      </c>
      <c r="BB147" s="65" t="n">
        <v>244.8</v>
      </c>
      <c r="BC147" s="68" t="n">
        <v>64.59999999999999</v>
      </c>
      <c r="BD147" s="63" t="inlineStr">
        <is>
          <t>Y</t>
        </is>
      </c>
      <c r="BE147" s="74" t="n">
        <v>167.9</v>
      </c>
      <c r="BF147" s="74" t="n"/>
      <c r="BG147" s="74" t="n">
        <v>14</v>
      </c>
      <c r="BH147" s="74" t="n">
        <v>44.3</v>
      </c>
      <c r="BI147" s="75">
        <f>IF('BBG Verify'!S147="","not filed — run on terminal",'BBG Verify'!S147)</f>
        <v/>
      </c>
      <c r="BJ147" s="76" t="inlineStr">
        <is>
          <t>N</t>
        </is>
      </c>
      <c r="BK147" s="77">
        <f>IF('BBG Verify'!K147="","not filed — run on terminal",'BBG Verify'!K147)</f>
        <v/>
      </c>
      <c r="BL147" s="63" t="inlineStr">
        <is>
          <t>N/A</t>
        </is>
      </c>
      <c r="BM147" s="63" t="inlineStr">
        <is>
          <t>N/A</t>
        </is>
      </c>
      <c r="BN147" s="63" t="inlineStr">
        <is>
          <t>N/A</t>
        </is>
      </c>
      <c r="BO147" s="63" t="inlineStr">
        <is>
          <t>N/A</t>
        </is>
      </c>
      <c r="BP147" s="63" t="inlineStr">
        <is>
          <t>N/A</t>
        </is>
      </c>
      <c r="BQ147" s="63" t="inlineStr">
        <is>
          <t>N/A</t>
        </is>
      </c>
      <c r="BR147" s="76" t="n"/>
      <c r="BS147" s="63" t="inlineStr">
        <is>
          <t>China International Capital Corporation Hong Kong Securities Limited</t>
        </is>
      </c>
      <c r="BT147" s="63" t="inlineStr">
        <is>
          <t>China International Capital Corporation Hong Kong Securities Limited; CLSA Limited; China Galaxy International Securities (Hong Kong) Co., Limited; Huatai Financial Holdings (Hong Kong) Limited; V aluable Capital Limited</t>
        </is>
      </c>
      <c r="BU147" s="63" t="inlineStr">
        <is>
          <t>China Galaxy International Securities (Hong Kong) Company Limited; China International Capital Corporation Hong Kong Securities Limited; CLSA Limited; Huatai Financial Holdings (Hong Kong) Limited; Valuable Capital Limited</t>
        </is>
      </c>
      <c r="BV147" s="78">
        <f>HYPERLINK("https://www1.hkexnews.hk/listedco/listconews/sehk/2022/1027/2022102700013.pdf","prospectus")</f>
        <v/>
      </c>
      <c r="BW147" s="78">
        <f>HYPERLINK("https://www1.hkexnews.hk/listedco/listconews/sehk/2022/1107/2022110700010.htm","allotment")</f>
        <v/>
      </c>
      <c r="BX147" s="78">
        <f>HYPERLINK("https://www1.hkexnews.hk/listedco/listconews/sehk/2022/1201/2022120103355.pdf","stabilisation")</f>
        <v/>
      </c>
      <c r="BY147" s="76" t="n"/>
      <c r="BZ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no grey-market headline on file for this deal — AAStocks publishes one per listing but keeps only recent items on the stock's news page, and no public archive of past evening sessions exists; captured from this run onward</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72" t="n"/>
      <c r="AC148" s="66" t="n"/>
      <c r="AD148" s="72" t="n"/>
      <c r="AE148" s="63" t="n"/>
      <c r="AF148" s="63" t="inlineStr">
        <is>
          <t>lapsed (no over-allocation)</t>
        </is>
      </c>
      <c r="AG148" s="63" t="n"/>
      <c r="AH148" s="63" t="inlineStr">
        <is>
          <t>Zhongtai International Securities Limited</t>
        </is>
      </c>
      <c r="AI148" s="63" t="inlineStr">
        <is>
          <t>Zhongtai</t>
        </is>
      </c>
      <c r="AJ148" s="73" t="n">
        <v>2.04</v>
      </c>
      <c r="AK148" s="72" t="n">
        <v>48.47</v>
      </c>
      <c r="AL148" s="72" t="n">
        <v>-31.27</v>
      </c>
      <c r="AM148" s="72" t="n">
        <v>-15.82</v>
      </c>
      <c r="AN148" s="72" t="n">
        <v>-64.29000000000001</v>
      </c>
      <c r="AO148" s="72" t="n">
        <v>-70.92</v>
      </c>
      <c r="AP148" s="72" t="n">
        <v>-17.5</v>
      </c>
      <c r="AQ148" s="72" t="n">
        <v>-65</v>
      </c>
      <c r="AR148" s="72" t="n">
        <v>-71.5</v>
      </c>
      <c r="AS148" s="72" t="n">
        <v>-26.08</v>
      </c>
      <c r="AT148" s="72" t="n">
        <v>-81.76000000000001</v>
      </c>
      <c r="AU148" s="72" t="n">
        <v>-98.44</v>
      </c>
      <c r="AV148" s="72" t="n">
        <v>-83.90000000000001</v>
      </c>
      <c r="AW148" s="72" t="n">
        <v>17.47</v>
      </c>
      <c r="AX148" s="72" t="n">
        <v>18.9</v>
      </c>
      <c r="AY148" s="63" t="inlineStr">
        <is>
          <t>Hang Seng Index</t>
        </is>
      </c>
      <c r="AZ148" s="72" t="n">
        <v>-92.5</v>
      </c>
      <c r="BA148" s="64" t="inlineStr">
        <is>
          <t>2026-03-30</t>
        </is>
      </c>
      <c r="BB148" s="65" t="n">
        <v>388.6</v>
      </c>
      <c r="BC148" s="68" t="n">
        <v>71.2</v>
      </c>
      <c r="BD148" s="63" t="inlineStr">
        <is>
          <t>Y</t>
        </is>
      </c>
      <c r="BE148" s="74" t="n">
        <v>25.8</v>
      </c>
      <c r="BF148" s="74" t="n"/>
      <c r="BG148" s="74" t="n"/>
      <c r="BH148" s="74" t="n">
        <v>4.7</v>
      </c>
      <c r="BI148" s="75">
        <f>IF('BBG Verify'!S148="","not filed — run on terminal",'BBG Verify'!S148)</f>
        <v/>
      </c>
      <c r="BJ148" s="76" t="inlineStr">
        <is>
          <t>N</t>
        </is>
      </c>
      <c r="BK148" s="77">
        <f>IF('BBG Verify'!K148="","not filed — run on terminal",'BBG Verify'!K148)</f>
        <v/>
      </c>
      <c r="BL148" s="63" t="inlineStr">
        <is>
          <t>N/A</t>
        </is>
      </c>
      <c r="BM148" s="63" t="inlineStr">
        <is>
          <t>N/A</t>
        </is>
      </c>
      <c r="BN148" s="63" t="inlineStr">
        <is>
          <t>N/A</t>
        </is>
      </c>
      <c r="BO148" s="63" t="inlineStr">
        <is>
          <t>N/A</t>
        </is>
      </c>
      <c r="BP148" s="63" t="inlineStr">
        <is>
          <t>N/A</t>
        </is>
      </c>
      <c r="BQ148" s="63" t="inlineStr">
        <is>
          <t>N/A</t>
        </is>
      </c>
      <c r="BR148" s="76" t="inlineStr">
        <is>
          <t>Zhongtai International Capital Limited</t>
        </is>
      </c>
      <c r="BS148" s="63" t="inlineStr">
        <is>
          <t>Zhongtai International Capital Limited</t>
        </is>
      </c>
      <c r="BT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U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V148" s="78">
        <f>HYPERLINK("https://www1.hkexnews.hk/listedco/listconews/sehk/2022/1028/2022102800015.pdf","prospectus")</f>
        <v/>
      </c>
      <c r="BW148" s="78">
        <f>HYPERLINK("https://www1.hkexnews.hk/listedco/listconews/sehk/2022/1108/2022110800012.htm","allotment")</f>
        <v/>
      </c>
      <c r="BX148" s="78">
        <f>HYPERLINK("https://www1.hkexnews.hk/listedco/listconews/sehk/2022/1202/2022120200787.pdf","stabilisation")</f>
        <v/>
      </c>
      <c r="BY148" s="76" t="n"/>
      <c r="BZ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no grey-market headline on file for this deal — AAStocks publishes one per listing but keeps only recent items on the stock's news page, and no public archive of past evening sessions exists; captured from this run onward</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72" t="n"/>
      <c r="AC149" s="66" t="n"/>
      <c r="AD149" s="72" t="n"/>
      <c r="AE149" s="63" t="n"/>
      <c r="AF149" s="63" t="n"/>
      <c r="AG149" s="63" t="n"/>
      <c r="AH149" s="63" t="n"/>
      <c r="AI149" s="63" t="n"/>
      <c r="AJ149" s="73" t="n">
        <v>5.47</v>
      </c>
      <c r="AK149" s="72" t="n">
        <v>6.36</v>
      </c>
      <c r="AL149" s="72" t="n">
        <v>-0.84</v>
      </c>
      <c r="AM149" s="72" t="n">
        <v>-16.41</v>
      </c>
      <c r="AN149" s="72" t="n">
        <v>-20.87</v>
      </c>
      <c r="AO149" s="72" t="n">
        <v>-33.84</v>
      </c>
      <c r="AP149" s="72" t="n">
        <v>-20.75</v>
      </c>
      <c r="AQ149" s="72" t="n">
        <v>-24.97</v>
      </c>
      <c r="AR149" s="72" t="n">
        <v>-37.27</v>
      </c>
      <c r="AS149" s="72" t="n">
        <v>-34.21</v>
      </c>
      <c r="AT149" s="72" t="n">
        <v>-52.69</v>
      </c>
      <c r="AU149" s="72" t="n">
        <v>-71.23</v>
      </c>
      <c r="AV149" s="72" t="n">
        <v>-44.55</v>
      </c>
      <c r="AW149" s="72" t="n">
        <v>31.82</v>
      </c>
      <c r="AX149" s="72" t="n">
        <v>19.58</v>
      </c>
      <c r="AY149" s="63" t="inlineStr">
        <is>
          <t>HSTECH (Hang Seng TECH ETF)</t>
        </is>
      </c>
      <c r="AZ149" s="72" t="n">
        <v>-47.33</v>
      </c>
      <c r="BA149" s="64" t="inlineStr">
        <is>
          <t>2026-08-28</t>
        </is>
      </c>
      <c r="BB149" s="65" t="n">
        <v>2581.2</v>
      </c>
      <c r="BC149" s="68" t="n">
        <v>89.2</v>
      </c>
      <c r="BD149" s="63" t="inlineStr">
        <is>
          <t>Y</t>
        </is>
      </c>
      <c r="BE149" s="74" t="n">
        <v>51.4</v>
      </c>
      <c r="BF149" s="74" t="n"/>
      <c r="BG149" s="74" t="n">
        <v>5.9</v>
      </c>
      <c r="BH149" s="74" t="n">
        <v>1.8</v>
      </c>
      <c r="BI149" s="75">
        <f>IF('BBG Verify'!S149="","not filed — run on terminal",'BBG Verify'!S149)</f>
        <v/>
      </c>
      <c r="BJ149" s="76" t="inlineStr">
        <is>
          <t>N</t>
        </is>
      </c>
      <c r="BK149" s="77">
        <f>IF('BBG Verify'!K149="","not filed — run on terminal",'BBG Verify'!K149)</f>
        <v/>
      </c>
      <c r="BL149" s="63" t="inlineStr">
        <is>
          <t>N/A</t>
        </is>
      </c>
      <c r="BM149" s="63" t="inlineStr">
        <is>
          <t>N/A</t>
        </is>
      </c>
      <c r="BN149" s="63" t="inlineStr">
        <is>
          <t>N/A</t>
        </is>
      </c>
      <c r="BO149" s="63" t="inlineStr">
        <is>
          <t>N/A</t>
        </is>
      </c>
      <c r="BP149" s="63" t="inlineStr">
        <is>
          <t>N/A</t>
        </is>
      </c>
      <c r="BQ149" s="63" t="inlineStr">
        <is>
          <t>N/A</t>
        </is>
      </c>
      <c r="BR149" s="76" t="inlineStr">
        <is>
          <t>and Sponsor-OC Huatai Financial Holdings (Hong Kong) Limited; ABCI Capital Limited</t>
        </is>
      </c>
      <c r="BS149" s="63" t="inlineStr">
        <is>
          <t>Huatai Financial Holdings (Hong Kong) Limited; ABCI Capital Limited</t>
        </is>
      </c>
      <c r="BT149" s="63" t="inlineStr">
        <is>
          <t>Huatai Financial Holdings (Hong Kong) Limited; ABCI Capital Limited; Shenwan Hongyuan Securities (H.K.) Limited; BOCOM International Securities Limited</t>
        </is>
      </c>
      <c r="BU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V149" s="78">
        <f>HYPERLINK("https://www1.hkexnews.hk/listedco/listconews/sehk/2022/1031/2022103100013.pdf","prospectus")</f>
        <v/>
      </c>
      <c r="BW149" s="78">
        <f>HYPERLINK("https://www1.hkexnews.hk/listedco/listconews/sehk/2022/1110/2022111000034.htm","allotment")</f>
        <v/>
      </c>
      <c r="BX149" s="63" t="n"/>
      <c r="BY149" s="76" t="n"/>
      <c r="BZ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72" t="n"/>
      <c r="AC150" s="66" t="n"/>
      <c r="AD150" s="72" t="n"/>
      <c r="AE150" s="63" t="n"/>
      <c r="AF150" s="63" t="inlineStr">
        <is>
          <t>lapsed (no over-allocation)</t>
        </is>
      </c>
      <c r="AG150" s="63" t="inlineStr">
        <is>
          <t>2022-12-07</t>
        </is>
      </c>
      <c r="AH150" s="63" t="inlineStr">
        <is>
          <t>China Industrial Securities International Capital Limited</t>
        </is>
      </c>
      <c r="AI150" s="63" t="inlineStr">
        <is>
          <t>China Industrial</t>
        </is>
      </c>
      <c r="AJ150" s="73" t="n">
        <v>0</v>
      </c>
      <c r="AK150" s="72" t="n">
        <v>7.04</v>
      </c>
      <c r="AL150" s="72" t="n">
        <v>-6.58</v>
      </c>
      <c r="AM150" s="72" t="n">
        <v>-5.63</v>
      </c>
      <c r="AN150" s="72" t="n">
        <v>-25.35</v>
      </c>
      <c r="AO150" s="72" t="n">
        <v>-47.89</v>
      </c>
      <c r="AP150" s="72" t="n">
        <v>-5.63</v>
      </c>
      <c r="AQ150" s="72" t="n">
        <v>-25.35</v>
      </c>
      <c r="AR150" s="72" t="n">
        <v>-47.89</v>
      </c>
      <c r="AS150" s="72" t="n">
        <v>0.57</v>
      </c>
      <c r="AT150" s="72" t="n">
        <v>-30.25</v>
      </c>
      <c r="AU150" s="72" t="n">
        <v>-58.57</v>
      </c>
      <c r="AV150" s="72" t="n">
        <v>-30.56</v>
      </c>
      <c r="AW150" s="72" t="n">
        <v>4.9</v>
      </c>
      <c r="AX150" s="72" t="n">
        <v>5.21</v>
      </c>
      <c r="AY150" s="63" t="inlineStr">
        <is>
          <t>Hang Seng Commerce &amp; Industry sub-index</t>
        </is>
      </c>
      <c r="AZ150" s="72" t="n">
        <v>-57.75</v>
      </c>
      <c r="BA150" s="64" t="inlineStr">
        <is>
          <t>2026-08-28</t>
        </is>
      </c>
      <c r="BB150" s="65" t="n">
        <v>485</v>
      </c>
      <c r="BC150" s="68" t="n">
        <v>75.2</v>
      </c>
      <c r="BD150" s="63" t="inlineStr">
        <is>
          <t>Y</t>
        </is>
      </c>
      <c r="BE150" s="74" t="n">
        <v>9.300000000000001</v>
      </c>
      <c r="BF150" s="74" t="n"/>
      <c r="BG150" s="74" t="n">
        <v>8.1</v>
      </c>
      <c r="BH150" s="74" t="n">
        <v>1.4</v>
      </c>
      <c r="BI150" s="75">
        <f>IF('BBG Verify'!S150="","not filed — run on terminal",'BBG Verify'!S150)</f>
        <v/>
      </c>
      <c r="BJ150" s="76" t="inlineStr">
        <is>
          <t>N</t>
        </is>
      </c>
      <c r="BK150" s="77">
        <f>IF('BBG Verify'!K150="","not filed — run on terminal",'BBG Verify'!K150)</f>
        <v/>
      </c>
      <c r="BL150" s="63" t="inlineStr">
        <is>
          <t>N/A</t>
        </is>
      </c>
      <c r="BM150" s="63" t="inlineStr">
        <is>
          <t>N/A</t>
        </is>
      </c>
      <c r="BN150" s="63" t="inlineStr">
        <is>
          <t>N/A</t>
        </is>
      </c>
      <c r="BO150" s="63" t="inlineStr">
        <is>
          <t>N/A</t>
        </is>
      </c>
      <c r="BP150" s="63" t="inlineStr">
        <is>
          <t>N/A</t>
        </is>
      </c>
      <c r="BQ150" s="63" t="inlineStr">
        <is>
          <t>N/A</t>
        </is>
      </c>
      <c r="BR150" s="76" t="inlineStr">
        <is>
          <t>China Industrial Securities International Capital Limited</t>
        </is>
      </c>
      <c r="BS150" s="63" t="inlineStr">
        <is>
          <t>China Industrial Securities International Capital Limited</t>
        </is>
      </c>
      <c r="BT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U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V150" s="78">
        <f>HYPERLINK("https://www1.hkexnews.hk/listedco/listconews/sehk/2022/1031/2022103100007.pdf","prospectus")</f>
        <v/>
      </c>
      <c r="BW150" s="78">
        <f>HYPERLINK("https://www1.hkexnews.hk/listedco/listconews/sehk/2022/1115/2022111500160.htm","allotment")</f>
        <v/>
      </c>
      <c r="BX150" s="78">
        <f>HYPERLINK("https://www1.hkexnews.hk/listedco/listconews/sehk/2022/1208/2022120800587.pdf","stabilisation")</f>
        <v/>
      </c>
      <c r="BY150" s="76" t="n"/>
      <c r="BZ150" s="63" t="inlineStr">
        <is>
          <t>A/H: no A-share listing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72" t="n"/>
      <c r="AC151" s="66" t="n"/>
      <c r="AD151" s="72" t="n"/>
      <c r="AE151" s="63" t="n"/>
      <c r="AF151" s="63" t="n"/>
      <c r="AG151" s="63" t="inlineStr">
        <is>
          <t>2022-12-17</t>
        </is>
      </c>
      <c r="AH151" s="63" t="inlineStr">
        <is>
          <t>Haitong International Securities Company Limited</t>
        </is>
      </c>
      <c r="AI151" s="63" t="inlineStr">
        <is>
          <t>Haitong</t>
        </is>
      </c>
      <c r="AJ151" s="73" t="n">
        <v>2.63</v>
      </c>
      <c r="AK151" s="72" t="n">
        <v>3.95</v>
      </c>
      <c r="AL151" s="72" t="n">
        <v>-1.27</v>
      </c>
      <c r="AM151" s="72" t="n">
        <v>18.29</v>
      </c>
      <c r="AN151" s="72" t="n">
        <v>43.42</v>
      </c>
      <c r="AO151" s="72" t="n">
        <v>77.37</v>
      </c>
      <c r="AP151" s="72" t="n">
        <v>15.26</v>
      </c>
      <c r="AQ151" s="72" t="n">
        <v>39.74</v>
      </c>
      <c r="AR151" s="72" t="n">
        <v>72.81999999999999</v>
      </c>
      <c r="AS151" s="72" t="n">
        <v>10.48</v>
      </c>
      <c r="AT151" s="72" t="n">
        <v>27.34</v>
      </c>
      <c r="AU151" s="72" t="n">
        <v>59.87</v>
      </c>
      <c r="AV151" s="72" t="n">
        <v>24.58</v>
      </c>
      <c r="AW151" s="72" t="n">
        <v>16.08</v>
      </c>
      <c r="AX151" s="72" t="n">
        <v>15.16</v>
      </c>
      <c r="AY151" s="63" t="inlineStr">
        <is>
          <t>HSTECH (Hang Seng TECH ETF)</t>
        </is>
      </c>
      <c r="AZ151" s="72" t="n">
        <v>176.32</v>
      </c>
      <c r="BA151" s="64" t="inlineStr">
        <is>
          <t>2026-08-28</t>
        </is>
      </c>
      <c r="BB151" s="65" t="n">
        <v>1463.4</v>
      </c>
      <c r="BC151" s="68" t="n">
        <v>-493.6</v>
      </c>
      <c r="BD151" s="63" t="inlineStr">
        <is>
          <t>N</t>
        </is>
      </c>
      <c r="BE151" s="63" t="inlineStr">
        <is>
          <t>n/m</t>
        </is>
      </c>
      <c r="BF151" s="74" t="n"/>
      <c r="BG151" s="74" t="n">
        <v>360.2</v>
      </c>
      <c r="BH151" s="74" t="n">
        <v>1.8</v>
      </c>
      <c r="BI151" s="75">
        <f>IF('BBG Verify'!S151="","not filed — run on terminal",'BBG Verify'!S151)</f>
        <v/>
      </c>
      <c r="BJ151" s="76" t="inlineStr">
        <is>
          <t>N</t>
        </is>
      </c>
      <c r="BK151" s="77">
        <f>IF('BBG Verify'!K151="","not filed — run on terminal",'BBG Verify'!K151)</f>
        <v/>
      </c>
      <c r="BL151" s="63" t="inlineStr">
        <is>
          <t>N/A</t>
        </is>
      </c>
      <c r="BM151" s="63" t="inlineStr">
        <is>
          <t>N/A</t>
        </is>
      </c>
      <c r="BN151" s="63" t="inlineStr">
        <is>
          <t>N/A</t>
        </is>
      </c>
      <c r="BO151" s="63" t="inlineStr">
        <is>
          <t>N/A</t>
        </is>
      </c>
      <c r="BP151" s="63" t="inlineStr">
        <is>
          <t>N/A</t>
        </is>
      </c>
      <c r="BQ151" s="63" t="inlineStr">
        <is>
          <t>N/A</t>
        </is>
      </c>
      <c r="BR151" s="76" t="inlineStr">
        <is>
          <t>Haitong International Capital Limited</t>
        </is>
      </c>
      <c r="BS151" s="63" t="inlineStr">
        <is>
          <t>Haitong International Capital Limited</t>
        </is>
      </c>
      <c r="BT151" s="63" t="inlineStr">
        <is>
          <t>Haitong International Securities Company Limited; Futu Securities International (Hong Kong) Limited; Tiger Brokers (HK) Global Limited; Dragonstone Capital Management Limited</t>
        </is>
      </c>
      <c r="BU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V151" s="78">
        <f>HYPERLINK("https://www1.hkexnews.hk/listedco/listconews/sehk/2022/1114/2022111400005.pdf","prospectus")</f>
        <v/>
      </c>
      <c r="BW151" s="78">
        <f>HYPERLINK("https://www1.hkexnews.hk/listedco/listconews/sehk/2022/1123/2022112300038.htm","allotment")</f>
        <v/>
      </c>
      <c r="BX151" s="63" t="n"/>
      <c r="BY151" s="76" t="n"/>
      <c r="BZ151" s="63" t="inlineStr">
        <is>
          <t>P/E: n/m — loss-making at IPO (use P/S) · greenshoe: end-of-stabilisation notice not located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72" t="n"/>
      <c r="AC152" s="66" t="n"/>
      <c r="AD152" s="72" t="n"/>
      <c r="AE152" s="63" t="n"/>
      <c r="AF152" s="63" t="n"/>
      <c r="AG152" s="63" t="inlineStr">
        <is>
          <t>2022-12-23</t>
        </is>
      </c>
      <c r="AH152" s="63" t="inlineStr">
        <is>
          <t>Citigroup Global Markets Asia Limited</t>
        </is>
      </c>
      <c r="AI152" s="63" t="inlineStr">
        <is>
          <t>Citigroup</t>
        </is>
      </c>
      <c r="AJ152" s="73" t="n">
        <v>3.44</v>
      </c>
      <c r="AK152" s="72" t="n">
        <v>1.14</v>
      </c>
      <c r="AL152" s="72" t="n">
        <v>2.27</v>
      </c>
      <c r="AM152" s="72" t="n">
        <v>33.82</v>
      </c>
      <c r="AN152" s="72" t="n">
        <v>57.31</v>
      </c>
      <c r="AO152" s="72" t="n">
        <v>67.90000000000001</v>
      </c>
      <c r="AP152" s="72" t="n">
        <v>29.37</v>
      </c>
      <c r="AQ152" s="72" t="n">
        <v>52.08</v>
      </c>
      <c r="AR152" s="72" t="n">
        <v>62.32</v>
      </c>
      <c r="AS152" s="72" t="n">
        <v>12.92</v>
      </c>
      <c r="AT152" s="72" t="n">
        <v>37.06</v>
      </c>
      <c r="AU152" s="72" t="n">
        <v>46.65</v>
      </c>
      <c r="AV152" s="72" t="n">
        <v>40.83</v>
      </c>
      <c r="AW152" s="72" t="n">
        <v>20.25</v>
      </c>
      <c r="AX152" s="72" t="n">
        <v>11.25</v>
      </c>
      <c r="AY152" s="63" t="inlineStr">
        <is>
          <t>HSTECH (Hang Seng TECH ETF)</t>
        </is>
      </c>
      <c r="AZ152" s="72" t="n">
        <v>-26.24</v>
      </c>
      <c r="BA152" s="64" t="inlineStr">
        <is>
          <t>2026-08-28</t>
        </is>
      </c>
      <c r="BB152" s="65" t="n">
        <v>18299.2</v>
      </c>
      <c r="BC152" s="68" t="n">
        <v>6359.9</v>
      </c>
      <c r="BD152" s="63" t="inlineStr">
        <is>
          <t>Y</t>
        </is>
      </c>
      <c r="BE152" s="74" t="n">
        <v>4.4</v>
      </c>
      <c r="BF152" s="74" t="n"/>
      <c r="BG152" s="74" t="n"/>
      <c r="BH152" s="74" t="n">
        <v>1.5</v>
      </c>
      <c r="BI152" s="75">
        <f>IF('BBG Verify'!S152="","not filed — run on terminal",'BBG Verify'!S152)</f>
        <v/>
      </c>
      <c r="BJ152" s="76" t="inlineStr">
        <is>
          <t>N</t>
        </is>
      </c>
      <c r="BK152" s="77">
        <f>IF('BBG Verify'!K152="","not filed — run on terminal",'BBG Verify'!K152)</f>
        <v/>
      </c>
      <c r="BL152" s="63" t="inlineStr">
        <is>
          <t>N/A</t>
        </is>
      </c>
      <c r="BM152" s="63" t="inlineStr">
        <is>
          <t>N/A</t>
        </is>
      </c>
      <c r="BN152" s="63" t="inlineStr">
        <is>
          <t>N/A</t>
        </is>
      </c>
      <c r="BO152" s="63" t="inlineStr">
        <is>
          <t>N/A</t>
        </is>
      </c>
      <c r="BP152" s="63" t="inlineStr">
        <is>
          <t>N/A</t>
        </is>
      </c>
      <c r="BQ152" s="63" t="inlineStr">
        <is>
          <t>N/A</t>
        </is>
      </c>
      <c r="BR152" s="76" t="n"/>
      <c r="BS152" s="63" t="inlineStr">
        <is>
          <t>China International Capital Corporation Hong Kong Securities Limited; Citigroup Global Markets Asia Limited</t>
        </is>
      </c>
      <c r="BT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78">
        <f>HYPERLINK("https://www1.hkexnews.hk/listedco/listconews/sehk/2022/1118/2022111800030.htm","prospectus")</f>
        <v/>
      </c>
      <c r="BW152" s="78">
        <f>HYPERLINK("https://www1.hkexnews.hk/listedco/listconews/sehk/2022/1128/2022112800016.htm","allotment")</f>
        <v/>
      </c>
      <c r="BX152" s="78">
        <f>HYPERLINK("https://www1.hkexnews.hk/listedco/listconews/sehk/2022/1223/2022122300416.pdf","stabilisation")</f>
        <v/>
      </c>
      <c r="BY152" s="76" t="n"/>
      <c r="BZ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72" t="n"/>
      <c r="AC153" s="66" t="n"/>
      <c r="AD153" s="72" t="n"/>
      <c r="AE153" s="63" t="n"/>
      <c r="AF153" s="63" t="inlineStr">
        <is>
          <t>partial</t>
        </is>
      </c>
      <c r="AG153" s="63" t="inlineStr">
        <is>
          <t>2022-12-24</t>
        </is>
      </c>
      <c r="AH153" s="63" t="inlineStr">
        <is>
          <t>China International Capital Corporation Hong Kong Securities Limited</t>
        </is>
      </c>
      <c r="AI153" s="63" t="inlineStr">
        <is>
          <t>China International</t>
        </is>
      </c>
      <c r="AJ153" s="73" t="n">
        <v>0</v>
      </c>
      <c r="AK153" s="72" t="n">
        <v>0</v>
      </c>
      <c r="AL153" s="72" t="n">
        <v>0</v>
      </c>
      <c r="AM153" s="72" t="n">
        <v>-3.67</v>
      </c>
      <c r="AN153" s="72" t="n">
        <v>1.14</v>
      </c>
      <c r="AO153" s="72" t="n">
        <v>-19.37</v>
      </c>
      <c r="AP153" s="72" t="n">
        <v>-3.67</v>
      </c>
      <c r="AQ153" s="72" t="n">
        <v>1.14</v>
      </c>
      <c r="AR153" s="72" t="n">
        <v>-19.37</v>
      </c>
      <c r="AS153" s="72" t="n">
        <v>-10.02</v>
      </c>
      <c r="AT153" s="72" t="n">
        <v>-11.5</v>
      </c>
      <c r="AU153" s="72" t="n">
        <v>-25.92</v>
      </c>
      <c r="AV153" s="72" t="n">
        <v>-10.42</v>
      </c>
      <c r="AW153" s="72" t="n">
        <v>12.64</v>
      </c>
      <c r="AX153" s="72" t="n">
        <v>11.56</v>
      </c>
      <c r="AY153" s="63" t="inlineStr">
        <is>
          <t>Hang Seng Commerce &amp; Industry sub-index</t>
        </is>
      </c>
      <c r="AZ153" s="72" t="n">
        <v>17.97</v>
      </c>
      <c r="BA153" s="64" t="inlineStr">
        <is>
          <t>2026-08-28</t>
        </is>
      </c>
      <c r="BB153" s="65" t="n">
        <v>13694.2</v>
      </c>
      <c r="BC153" s="68" t="n">
        <v>1386</v>
      </c>
      <c r="BD153" s="63" t="inlineStr">
        <is>
          <t>Y</t>
        </is>
      </c>
      <c r="BE153" s="74" t="n">
        <v>20</v>
      </c>
      <c r="BF153" s="74" t="n">
        <v>3.4</v>
      </c>
      <c r="BG153" s="74" t="n">
        <v>7.2</v>
      </c>
      <c r="BH153" s="74" t="n">
        <v>2</v>
      </c>
      <c r="BI153" s="75">
        <f>IF('BBG Verify'!S153="","not filed — run on terminal",'BBG Verify'!S153)</f>
        <v/>
      </c>
      <c r="BJ153" s="76" t="inlineStr">
        <is>
          <t>N</t>
        </is>
      </c>
      <c r="BK153" s="77">
        <f>IF('BBG Verify'!K153="","not filed — run on terminal",'BBG Verify'!K153)</f>
        <v/>
      </c>
      <c r="BL153" s="63" t="inlineStr">
        <is>
          <t>N/A</t>
        </is>
      </c>
      <c r="BM153" s="63" t="inlineStr">
        <is>
          <t>N/A</t>
        </is>
      </c>
      <c r="BN153" s="63" t="inlineStr">
        <is>
          <t>N/A</t>
        </is>
      </c>
      <c r="BO153" s="63" t="inlineStr">
        <is>
          <t>N/A</t>
        </is>
      </c>
      <c r="BP153" s="63" t="inlineStr">
        <is>
          <t>N/A</t>
        </is>
      </c>
      <c r="BQ153" s="63" t="inlineStr">
        <is>
          <t>N/A</t>
        </is>
      </c>
      <c r="BR153" s="76" t="n"/>
      <c r="BS153" s="63" t="inlineStr">
        <is>
          <t>China International Capital Corporation Hong Kong Securities Limited; CMB International Capital Limited</t>
        </is>
      </c>
      <c r="BT153" s="63" t="inlineStr">
        <is>
          <t>ABCI Securities Company Limited; BNP Paribas Securities (Asia) Limited; BOCI Asia Limited; China International Capital Corporation Hong Kong Securities Limited; CMB International Capital Limited; DBS Asia Capital Limited</t>
        </is>
      </c>
      <c r="BU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V153" s="78">
        <f>HYPERLINK("https://www1.hkexnews.hk/listedco/listconews/sehk/2022/1121/2022112100023.htm","prospectus")</f>
        <v/>
      </c>
      <c r="BW153" s="78">
        <f>HYPERLINK("https://www1.hkexnews.hk/listedco/listconews/sehk/2022/1130/2022113000304.htm","allotment")</f>
        <v/>
      </c>
      <c r="BX153" s="78">
        <f>HYPERLINK("https://www1.hkexnews.hk/listedco/listconews/sehk/2022/1228/2022122801241.pdf","stabilisation")</f>
        <v/>
      </c>
      <c r="BY153" s="76" t="n"/>
      <c r="BZ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72" t="n"/>
      <c r="AC154" s="66" t="n"/>
      <c r="AD154" s="72" t="n"/>
      <c r="AE154" s="63" t="n"/>
      <c r="AF154" s="63" t="inlineStr">
        <is>
          <t>lapsed</t>
        </is>
      </c>
      <c r="AG154" s="63" t="inlineStr">
        <is>
          <t>2023-01-04</t>
        </is>
      </c>
      <c r="AH154" s="63" t="inlineStr">
        <is>
          <t>Huatai Financial Holdings</t>
        </is>
      </c>
      <c r="AI154" s="63" t="inlineStr">
        <is>
          <t>Huatai</t>
        </is>
      </c>
      <c r="AJ154" s="73" t="n">
        <v>0</v>
      </c>
      <c r="AK154" s="72" t="n">
        <v>0</v>
      </c>
      <c r="AL154" s="72" t="n">
        <v>0</v>
      </c>
      <c r="AM154" s="72" t="n">
        <v>-27.27</v>
      </c>
      <c r="AN154" s="72" t="n">
        <v>-12.86</v>
      </c>
      <c r="AO154" s="72" t="n">
        <v>-30.02</v>
      </c>
      <c r="AP154" s="72" t="n">
        <v>-27.27</v>
      </c>
      <c r="AQ154" s="72" t="n">
        <v>-12.86</v>
      </c>
      <c r="AR154" s="72" t="n">
        <v>-30.02</v>
      </c>
      <c r="AS154" s="72" t="n">
        <v>-27.83</v>
      </c>
      <c r="AT154" s="72" t="n">
        <v>-23.24</v>
      </c>
      <c r="AU154" s="72" t="n">
        <v>-33.01</v>
      </c>
      <c r="AV154" s="72" t="n">
        <v>-21.54</v>
      </c>
      <c r="AW154" s="72" t="n">
        <v>10.38</v>
      </c>
      <c r="AX154" s="72" t="n">
        <v>8.68</v>
      </c>
      <c r="AY154" s="63" t="inlineStr">
        <is>
          <t>Hang Seng Finance sub-index</t>
        </is>
      </c>
      <c r="AZ154" s="72" t="n">
        <v>-40.82</v>
      </c>
      <c r="BA154" s="64" t="inlineStr">
        <is>
          <t>2026-08-28</t>
        </is>
      </c>
      <c r="BB154" s="65" t="n">
        <v>108190.5</v>
      </c>
      <c r="BC154" s="68" t="n">
        <v>6471.3</v>
      </c>
      <c r="BD154" s="63" t="inlineStr">
        <is>
          <t>Y</t>
        </is>
      </c>
      <c r="BE154" s="74" t="n">
        <v>9.1</v>
      </c>
      <c r="BF154" s="74" t="n">
        <v>7.9</v>
      </c>
      <c r="BG154" s="74" t="n">
        <v>5.4</v>
      </c>
      <c r="BH154" s="74" t="n">
        <v>0.5</v>
      </c>
      <c r="BI154" s="75">
        <f>IF('BBG Verify'!S154="","not filed — run on terminal",'BBG Verify'!S154)</f>
        <v/>
      </c>
      <c r="BJ154" s="76" t="inlineStr">
        <is>
          <t>N</t>
        </is>
      </c>
      <c r="BK154" s="77">
        <f>IF('BBG Verify'!K154="","not filed — run on terminal",'BBG Verify'!K154)</f>
        <v/>
      </c>
      <c r="BL154" s="63" t="inlineStr">
        <is>
          <t>N/A</t>
        </is>
      </c>
      <c r="BM154" s="63" t="inlineStr">
        <is>
          <t>N/A</t>
        </is>
      </c>
      <c r="BN154" s="63" t="inlineStr">
        <is>
          <t>N/A</t>
        </is>
      </c>
      <c r="BO154" s="63" t="inlineStr">
        <is>
          <t>N/A</t>
        </is>
      </c>
      <c r="BP154" s="63" t="inlineStr">
        <is>
          <t>N/A</t>
        </is>
      </c>
      <c r="BQ154" s="63" t="inlineStr">
        <is>
          <t>N/A</t>
        </is>
      </c>
      <c r="BR154" s="76" t="inlineStr">
        <is>
          <t>Huatai Financial Holdings (Hong Kong) Limited; China International Capital Corporation Hong Kong Securities Limited; UBS Securities Hong Kong Limited; CCB International Capital Limited</t>
        </is>
      </c>
      <c r="BS154" s="63" t="inlineStr">
        <is>
          <t>China International Capital Corporation Hong Kong Securities Limited; CCB International Capital Limited; UBS Securities Hong Kong Limited; Huatai Financial Holdings (Hong Kong) Limited</t>
        </is>
      </c>
      <c r="BT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U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V154" s="78">
        <f>HYPERLINK("https://www1.hkexnews.hk/listedco/listconews/sehk/2022/1130/2022113000027.pdf","prospectus")</f>
        <v/>
      </c>
      <c r="BW154" s="78">
        <f>HYPERLINK("https://www1.hkexnews.hk/listedco/listconews/sehk/2022/1208/2022120800048.htm","allotment")</f>
        <v/>
      </c>
      <c r="BX154" s="78">
        <f>HYPERLINK("https://www1.hkexnews.hk/listedco/listconews/sehk/2023/0105/2023010500005.pdf","stabilisation")</f>
        <v/>
      </c>
      <c r="BY154" s="76" t="n"/>
      <c r="BZ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72" t="n"/>
      <c r="AC155" s="66" t="n"/>
      <c r="AD155" s="72" t="n"/>
      <c r="AE155" s="63" t="n"/>
      <c r="AF155" s="63" t="inlineStr">
        <is>
          <t>partial</t>
        </is>
      </c>
      <c r="AG155" s="63" t="inlineStr">
        <is>
          <t>2023-01-04</t>
        </is>
      </c>
      <c r="AH155" s="63" t="n"/>
      <c r="AI155" s="63" t="n"/>
      <c r="AJ155" s="73" t="n">
        <v>0</v>
      </c>
      <c r="AK155" s="72" t="n">
        <v>-0.39</v>
      </c>
      <c r="AL155" s="72" t="n">
        <v>0.39</v>
      </c>
      <c r="AM155" s="72" t="n">
        <v>0</v>
      </c>
      <c r="AN155" s="72" t="n">
        <v>-2.72</v>
      </c>
      <c r="AO155" s="72" t="n">
        <v>-4.28</v>
      </c>
      <c r="AP155" s="72" t="n">
        <v>0</v>
      </c>
      <c r="AQ155" s="72" t="n">
        <v>-2.72</v>
      </c>
      <c r="AR155" s="72" t="n">
        <v>-4.28</v>
      </c>
      <c r="AS155" s="72" t="n">
        <v>5.08</v>
      </c>
      <c r="AT155" s="72" t="n">
        <v>-13.03</v>
      </c>
      <c r="AU155" s="72" t="n">
        <v>-1.41</v>
      </c>
      <c r="AV155" s="72" t="n">
        <v>-12.83</v>
      </c>
      <c r="AW155" s="72" t="n">
        <v>10.31</v>
      </c>
      <c r="AX155" s="72" t="n">
        <v>10.11</v>
      </c>
      <c r="AY155" s="63" t="inlineStr">
        <is>
          <t>China Biotech ETF (HS biotech proxy)</t>
        </is>
      </c>
      <c r="AZ155" s="72" t="n">
        <v>-91.06999999999999</v>
      </c>
      <c r="BA155" s="64" t="inlineStr">
        <is>
          <t>2026-08-28</t>
        </is>
      </c>
      <c r="BB155" s="65" t="n">
        <v>1428</v>
      </c>
      <c r="BC155" s="68" t="n">
        <v>-151.8</v>
      </c>
      <c r="BD155" s="63" t="inlineStr">
        <is>
          <t>N</t>
        </is>
      </c>
      <c r="BE155" s="63" t="inlineStr">
        <is>
          <t>n/m</t>
        </is>
      </c>
      <c r="BF155" s="74" t="n"/>
      <c r="BG155" s="74" t="n">
        <v>6</v>
      </c>
      <c r="BH155" s="74" t="n">
        <v>2</v>
      </c>
      <c r="BI155" s="75">
        <f>IF('BBG Verify'!S155="","not filed — run on terminal",'BBG Verify'!S155)</f>
        <v/>
      </c>
      <c r="BJ155" s="76" t="inlineStr">
        <is>
          <t>N</t>
        </is>
      </c>
      <c r="BK155" s="77">
        <f>IF('BBG Verify'!K155="","not filed — run on terminal",'BBG Verify'!K155)</f>
        <v/>
      </c>
      <c r="BL155" s="63" t="inlineStr">
        <is>
          <t>N/A</t>
        </is>
      </c>
      <c r="BM155" s="63" t="inlineStr">
        <is>
          <t>N/A</t>
        </is>
      </c>
      <c r="BN155" s="63" t="inlineStr">
        <is>
          <t>N/A</t>
        </is>
      </c>
      <c r="BO155" s="63" t="inlineStr">
        <is>
          <t>N/A</t>
        </is>
      </c>
      <c r="BP155" s="63" t="inlineStr">
        <is>
          <t>N/A</t>
        </is>
      </c>
      <c r="BQ155" s="63" t="inlineStr">
        <is>
          <t>N/A</t>
        </is>
      </c>
      <c r="BR155" s="76" t="inlineStr">
        <is>
          <t>Morgan Stanley Asia Limited; Haitong International Capital Limited</t>
        </is>
      </c>
      <c r="BS155" s="63" t="inlineStr">
        <is>
          <t>Morgan Stanley Asia Limited; Haitong International Capital Limited</t>
        </is>
      </c>
      <c r="BT155" s="63" t="inlineStr">
        <is>
          <t>Morgan Stanley Asia Limited; Haitong International Securities Company Limited</t>
        </is>
      </c>
      <c r="BU155" s="63" t="inlineStr">
        <is>
          <t>Daiwa Capital Markets Hong Kong Limited; Futu Securities International (Hong Kong) Limited; Haitong International Securities Company Limited; Maxa Capital Limited; Morgan Stanley Asia Limited; Sinomax Securities Limited; Tiger Brokers (HK) Global Limited</t>
        </is>
      </c>
      <c r="BV155" s="78">
        <f>HYPERLINK("https://www1.hkexnews.hk/listedco/listconews/sehk/2022/1130/2022113000167.pdf","prospectus")</f>
        <v/>
      </c>
      <c r="BW155" s="78">
        <f>HYPERLINK("https://www1.hkexnews.hk/listedco/listconews/sehk/2022/1209/2022120900012.htm","allotment")</f>
        <v/>
      </c>
      <c r="BX155" s="78">
        <f>HYPERLINK("https://www1.hkexnews.hk/listedco/listconews/sehk/2023/0104/2023010402177.pdf","stabilisation")</f>
        <v/>
      </c>
      <c r="BY155" s="76" t="n"/>
      <c r="BZ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72" t="n"/>
      <c r="AC156" s="66" t="n"/>
      <c r="AD156" s="72" t="n"/>
      <c r="AE156" s="63" t="n"/>
      <c r="AF156" s="63" t="n"/>
      <c r="AG156" s="63" t="n"/>
      <c r="AH156" s="63" t="inlineStr">
        <is>
          <t>China PA Securities</t>
        </is>
      </c>
      <c r="AI156" s="63" t="inlineStr">
        <is>
          <t>China PA</t>
        </is>
      </c>
      <c r="AJ156" s="73" t="n">
        <v>-26.74</v>
      </c>
      <c r="AK156" s="72" t="n">
        <v>-18.68</v>
      </c>
      <c r="AL156" s="72" t="n">
        <v>-9.91</v>
      </c>
      <c r="AM156" s="72" t="n">
        <v>-41.76</v>
      </c>
      <c r="AN156" s="72" t="n">
        <v>-47.25</v>
      </c>
      <c r="AO156" s="72" t="n">
        <v>-44.69</v>
      </c>
      <c r="AP156" s="72" t="n">
        <v>-20.5</v>
      </c>
      <c r="AQ156" s="72" t="n">
        <v>-28</v>
      </c>
      <c r="AR156" s="72" t="n">
        <v>-24.5</v>
      </c>
      <c r="AS156" s="72" t="n">
        <v>-35.87</v>
      </c>
      <c r="AT156" s="72" t="n">
        <v>-51.43</v>
      </c>
      <c r="AU156" s="72" t="n">
        <v>-35.55</v>
      </c>
      <c r="AV156" s="72" t="n">
        <v>-37.03</v>
      </c>
      <c r="AW156" s="72" t="n">
        <v>4.18</v>
      </c>
      <c r="AX156" s="72" t="n">
        <v>9.029999999999999</v>
      </c>
      <c r="AY156" s="63" t="inlineStr">
        <is>
          <t>HSTECH (Hang Seng TECH ETF)</t>
        </is>
      </c>
      <c r="AZ156" s="72" t="n">
        <v>-66.67</v>
      </c>
      <c r="BA156" s="64" t="inlineStr">
        <is>
          <t>2026-08-28</t>
        </is>
      </c>
      <c r="BB156" s="65" t="n">
        <v>208.5</v>
      </c>
      <c r="BC156" s="68" t="n">
        <v>37.8</v>
      </c>
      <c r="BD156" s="63" t="inlineStr">
        <is>
          <t>Y</t>
        </is>
      </c>
      <c r="BE156" s="74" t="n">
        <v>16.3</v>
      </c>
      <c r="BF156" s="74" t="n"/>
      <c r="BG156" s="74" t="n"/>
      <c r="BH156" s="74" t="n">
        <v>2.9</v>
      </c>
      <c r="BI156" s="75">
        <f>IF('BBG Verify'!S156="","not filed — run on terminal",'BBG Verify'!S156)</f>
        <v/>
      </c>
      <c r="BJ156" s="76" t="inlineStr">
        <is>
          <t>N</t>
        </is>
      </c>
      <c r="BK156" s="77">
        <f>IF('BBG Verify'!K156="","not filed — run on terminal",'BBG Verify'!K156)</f>
        <v/>
      </c>
      <c r="BL156" s="63" t="inlineStr">
        <is>
          <t>N/A</t>
        </is>
      </c>
      <c r="BM156" s="63" t="inlineStr">
        <is>
          <t>N/A</t>
        </is>
      </c>
      <c r="BN156" s="63" t="inlineStr">
        <is>
          <t>N/A</t>
        </is>
      </c>
      <c r="BO156" s="63" t="inlineStr">
        <is>
          <t>N/A</t>
        </is>
      </c>
      <c r="BP156" s="63" t="inlineStr">
        <is>
          <t>N/A</t>
        </is>
      </c>
      <c r="BQ156" s="63" t="inlineStr">
        <is>
          <t>N/A</t>
        </is>
      </c>
      <c r="BR156" s="76" t="inlineStr">
        <is>
          <t>Ping An of China Capital (Hong Kong) Company Limited</t>
        </is>
      </c>
      <c r="BS156" s="63" t="inlineStr">
        <is>
          <t>Ping An of China Capital (Hong Kong) Company Limited</t>
        </is>
      </c>
      <c r="BT156" s="63" t="inlineStr">
        <is>
          <t>China PA Securities (Hong Kong) Company Limited; Innovax Securities Limited; CMBC Securities Company Limited; Valuable Capital Limited</t>
        </is>
      </c>
      <c r="BU156" s="63" t="inlineStr">
        <is>
          <t>Central China International Capital Limited; CMBC Securities Company Limited; China PA Securities (Hong Kong) Company Limited; Innovax Securities Limited; Lego Securities Limited; Tiger Brokers (HK) Global Limited; Valuable Capital Limited</t>
        </is>
      </c>
      <c r="BV156" s="78">
        <f>HYPERLINK("https://www1.hkexnews.hk/listedco/listconews/sehk/2022/1130/2022113000131.pdf","prospectus")</f>
        <v/>
      </c>
      <c r="BW156" s="78">
        <f>HYPERLINK("https://www1.hkexnews.hk/listedco/listconews/sehk/2022/1209/2022120900148.htm","allotment")</f>
        <v/>
      </c>
      <c r="BX156" s="63" t="n"/>
      <c r="BY156" s="76" t="n"/>
      <c r="BZ156" s="63" t="inlineStr">
        <is>
          <t>greenshoe: end-of-stabilisation notice not located · A/H: no A-share listing · returns: price returns exclude the entitlement value of: 2025-06-24 rights 1-for-2 @ HK$1.262 (now MemeStrategy) — Bloomberg's back-adjusted history divides by x1.224 · grey market: no grey-market headline on file for this deal — AAStocks publishes one per listing but keeps only recent items on the stock's news page, and no public archive of past evening sessions exists; captured from this run onward</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72" t="n"/>
      <c r="AC157" s="66" t="n"/>
      <c r="AD157" s="72" t="n"/>
      <c r="AE157" s="63" t="n"/>
      <c r="AF157" s="63" t="inlineStr">
        <is>
          <t>lapsed (no over-allocation)</t>
        </is>
      </c>
      <c r="AG157" s="63" t="inlineStr">
        <is>
          <t>2023-01-05</t>
        </is>
      </c>
      <c r="AH157" s="63" t="inlineStr">
        <is>
          <t>Innovax Securities Limited</t>
        </is>
      </c>
      <c r="AI157" s="63" t="inlineStr">
        <is>
          <t>Innovax</t>
        </is>
      </c>
      <c r="AJ157" s="73" t="n">
        <v>-14.29</v>
      </c>
      <c r="AK157" s="72" t="n">
        <v>-9.52</v>
      </c>
      <c r="AL157" s="72" t="n">
        <v>-5.27</v>
      </c>
      <c r="AM157" s="72" t="n">
        <v>-39.29</v>
      </c>
      <c r="AN157" s="72" t="n">
        <v>-36.9</v>
      </c>
      <c r="AO157" s="72" t="n">
        <v>-40.48</v>
      </c>
      <c r="AP157" s="72" t="n">
        <v>-29.17</v>
      </c>
      <c r="AQ157" s="72" t="n">
        <v>-26.38</v>
      </c>
      <c r="AR157" s="72" t="n">
        <v>-30.56</v>
      </c>
      <c r="AS157" s="72" t="n">
        <v>-33.66</v>
      </c>
      <c r="AT157" s="72" t="n">
        <v>-46.59</v>
      </c>
      <c r="AU157" s="72" t="n">
        <v>-37.97</v>
      </c>
      <c r="AV157" s="72" t="n">
        <v>-36.39</v>
      </c>
      <c r="AW157" s="72" t="n">
        <v>9.69</v>
      </c>
      <c r="AX157" s="72" t="n">
        <v>10.01</v>
      </c>
      <c r="AY157" s="63" t="inlineStr">
        <is>
          <t>China Biotech ETF (HS biotech proxy)</t>
        </is>
      </c>
      <c r="AZ157" s="72" t="n">
        <v>-34.52</v>
      </c>
      <c r="BA157" s="64" t="inlineStr">
        <is>
          <t>2026-08-28</t>
        </is>
      </c>
      <c r="BB157" s="65" t="n">
        <v>115.8</v>
      </c>
      <c r="BC157" s="68" t="n">
        <v>35.4</v>
      </c>
      <c r="BD157" s="63" t="inlineStr">
        <is>
          <t>Y</t>
        </is>
      </c>
      <c r="BE157" s="74" t="n">
        <v>15.8</v>
      </c>
      <c r="BF157" s="74" t="n"/>
      <c r="BG157" s="74" t="n"/>
      <c r="BH157" s="74" t="n">
        <v>4.8</v>
      </c>
      <c r="BI157" s="75">
        <f>IF('BBG Verify'!S157="","not filed — run on terminal",'BBG Verify'!S157)</f>
        <v/>
      </c>
      <c r="BJ157" s="76" t="inlineStr">
        <is>
          <t>N</t>
        </is>
      </c>
      <c r="BK157" s="77">
        <f>IF('BBG Verify'!K157="","not filed — run on terminal",'BBG Verify'!K157)</f>
        <v/>
      </c>
      <c r="BL157" s="63" t="inlineStr">
        <is>
          <t>N/A</t>
        </is>
      </c>
      <c r="BM157" s="63" t="inlineStr">
        <is>
          <t>N/A</t>
        </is>
      </c>
      <c r="BN157" s="63" t="inlineStr">
        <is>
          <t>N/A</t>
        </is>
      </c>
      <c r="BO157" s="63" t="inlineStr">
        <is>
          <t>N/A</t>
        </is>
      </c>
      <c r="BP157" s="63" t="inlineStr">
        <is>
          <t>N/A</t>
        </is>
      </c>
      <c r="BQ157" s="63" t="inlineStr">
        <is>
          <t>N/A</t>
        </is>
      </c>
      <c r="BR157" s="76" t="inlineStr">
        <is>
          <t>Innovax Capital Limited; Sinolink Securities (Hong Kong) Company Limited</t>
        </is>
      </c>
      <c r="BS157" s="63" t="inlineStr">
        <is>
          <t>Innovax Capital Limited; Sinolink Securities (Hong Kong) Company Limited</t>
        </is>
      </c>
      <c r="BT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U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V157" s="78">
        <f>HYPERLINK("https://www1.hkexnews.hk/listedco/listconews/sehk/2022/1130/2022113000017.pdf","prospectus")</f>
        <v/>
      </c>
      <c r="BW157" s="78">
        <f>HYPERLINK("https://www1.hkexnews.hk/listedco/listconews/sehk/2022/1213/2022121300028.htm","allotment")</f>
        <v/>
      </c>
      <c r="BX157" s="78">
        <f>HYPERLINK("https://www1.hkexnews.hk/listedco/listconews/sehk/2023/0105/2023010501561.pdf","stabilisation")</f>
        <v/>
      </c>
      <c r="BY157" s="76" t="n"/>
      <c r="BZ157"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72" t="n"/>
      <c r="AC158" s="66" t="n"/>
      <c r="AD158" s="72" t="n"/>
      <c r="AE158" s="63" t="n"/>
      <c r="AF158" s="63" t="inlineStr">
        <is>
          <t>partial</t>
        </is>
      </c>
      <c r="AG158" s="63" t="inlineStr">
        <is>
          <t>2023-01-06</t>
        </is>
      </c>
      <c r="AH158" s="63" t="inlineStr">
        <is>
          <t>China Securities</t>
        </is>
      </c>
      <c r="AI158" s="63" t="inlineStr">
        <is>
          <t>China Securities</t>
        </is>
      </c>
      <c r="AJ158" s="73" t="n">
        <v>25.9</v>
      </c>
      <c r="AK158" s="72" t="n">
        <v>16.09</v>
      </c>
      <c r="AL158" s="72" t="n">
        <v>8.449999999999999</v>
      </c>
      <c r="AM158" s="72" t="n">
        <v>66.13</v>
      </c>
      <c r="AN158" s="72" t="n">
        <v>139.39</v>
      </c>
      <c r="AO158" s="72" t="n">
        <v>167.21</v>
      </c>
      <c r="AP158" s="72" t="n">
        <v>31.95</v>
      </c>
      <c r="AQ158" s="72" t="n">
        <v>90.14</v>
      </c>
      <c r="AR158" s="72" t="n">
        <v>112.24</v>
      </c>
      <c r="AS158" s="72" t="n">
        <v>70.7</v>
      </c>
      <c r="AT158" s="72" t="n">
        <v>129.95</v>
      </c>
      <c r="AU158" s="72" t="n">
        <v>169.24</v>
      </c>
      <c r="AV158" s="72" t="n">
        <v>78.67</v>
      </c>
      <c r="AW158" s="72" t="n">
        <v>9.44</v>
      </c>
      <c r="AX158" s="72" t="n">
        <v>11.47</v>
      </c>
      <c r="AY158" s="63" t="inlineStr">
        <is>
          <t>China Biotech ETF (HS biotech proxy)</t>
        </is>
      </c>
      <c r="AZ158" s="72" t="n">
        <v>-89.61</v>
      </c>
      <c r="BA158" s="64" t="inlineStr">
        <is>
          <t>2026-08-28</t>
        </is>
      </c>
      <c r="BB158" s="65" t="n">
        <v>177.2</v>
      </c>
      <c r="BC158" s="68" t="n">
        <v>-1577.5</v>
      </c>
      <c r="BD158" s="63" t="inlineStr">
        <is>
          <t>N</t>
        </is>
      </c>
      <c r="BE158" s="63" t="inlineStr">
        <is>
          <t>n/m</t>
        </is>
      </c>
      <c r="BF158" s="74" t="n"/>
      <c r="BG158" s="74" t="n"/>
      <c r="BH158" s="74" t="n">
        <v>37.7</v>
      </c>
      <c r="BI158" s="75">
        <f>IF('BBG Verify'!S158="","not filed — run on terminal",'BBG Verify'!S158)</f>
        <v/>
      </c>
      <c r="BJ158" s="76" t="inlineStr">
        <is>
          <t>N</t>
        </is>
      </c>
      <c r="BK158" s="77">
        <f>IF('BBG Verify'!K158="","not filed — run on terminal",'BBG Verify'!K158)</f>
        <v/>
      </c>
      <c r="BL158" s="63" t="inlineStr">
        <is>
          <t>N/A</t>
        </is>
      </c>
      <c r="BM158" s="63" t="inlineStr">
        <is>
          <t>N/A</t>
        </is>
      </c>
      <c r="BN158" s="63" t="inlineStr">
        <is>
          <t>N/A</t>
        </is>
      </c>
      <c r="BO158" s="63" t="inlineStr">
        <is>
          <t>N/A</t>
        </is>
      </c>
      <c r="BP158" s="63" t="inlineStr">
        <is>
          <t>N/A</t>
        </is>
      </c>
      <c r="BQ158" s="63" t="inlineStr">
        <is>
          <t>N/A</t>
        </is>
      </c>
      <c r="BR158" s="76" t="inlineStr">
        <is>
          <t>China International Capital Corporation Hong Kong Securities Limited; China Securities (International) Corporate Finance Company Limited</t>
        </is>
      </c>
      <c r="BS158" s="63"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U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V158" s="78">
        <f>HYPERLINK("https://www1.hkexnews.hk/listedco/listconews/sehk/2022/1129/2022112900013.pdf","prospectus")</f>
        <v/>
      </c>
      <c r="BW158" s="78">
        <f>HYPERLINK("https://www1.hkexnews.hk/listedco/listconews/sehk/2022/1214/2022121400036.htm","allotment")</f>
        <v/>
      </c>
      <c r="BX158" s="78">
        <f>HYPERLINK("https://www1.hkexnews.hk/listedco/listconews/sehk/2023/0109/2023010900027.pdf","stabilisation")</f>
        <v/>
      </c>
      <c r="BY158" s="76" t="n"/>
      <c r="BZ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72" t="n"/>
      <c r="AC159" s="66" t="n"/>
      <c r="AD159" s="72" t="n"/>
      <c r="AE159" s="63" t="n"/>
      <c r="AF159" s="63" t="inlineStr">
        <is>
          <t>lapsed</t>
        </is>
      </c>
      <c r="AG159" s="63" t="inlineStr">
        <is>
          <t>2023-01-07</t>
        </is>
      </c>
      <c r="AH159" s="63" t="inlineStr">
        <is>
          <t>Morgan Stanley Asia Limited</t>
        </is>
      </c>
      <c r="AI159" s="63" t="inlineStr">
        <is>
          <t>Morgan Stanley</t>
        </is>
      </c>
      <c r="AJ159" s="73" t="n">
        <v>-5.11</v>
      </c>
      <c r="AK159" s="72" t="n">
        <v>-3.41</v>
      </c>
      <c r="AL159" s="72" t="n">
        <v>-1.76</v>
      </c>
      <c r="AM159" s="72" t="n">
        <v>-12.12</v>
      </c>
      <c r="AN159" s="72" t="n">
        <v>-0.57</v>
      </c>
      <c r="AO159" s="72" t="n">
        <v>7.95</v>
      </c>
      <c r="AP159" s="72" t="n">
        <v>-7.39</v>
      </c>
      <c r="AQ159" s="72" t="n">
        <v>4.78</v>
      </c>
      <c r="AR159" s="72" t="n">
        <v>13.76</v>
      </c>
      <c r="AS159" s="72" t="n">
        <v>-12.16</v>
      </c>
      <c r="AT159" s="72" t="n">
        <v>-11.74</v>
      </c>
      <c r="AU159" s="72" t="n">
        <v>10.29</v>
      </c>
      <c r="AV159" s="72" t="n">
        <v>-8.859999999999999</v>
      </c>
      <c r="AW159" s="72" t="n">
        <v>11.17</v>
      </c>
      <c r="AX159" s="72" t="n">
        <v>13.64</v>
      </c>
      <c r="AY159" s="63" t="inlineStr">
        <is>
          <t>Hang Seng Commerce &amp; Industry sub-index</t>
        </is>
      </c>
      <c r="AZ159" s="72" t="n">
        <v>-23.91</v>
      </c>
      <c r="BA159" s="64" t="inlineStr">
        <is>
          <t>2026-08-28</t>
        </is>
      </c>
      <c r="BB159" s="65" t="n">
        <v>5280.2</v>
      </c>
      <c r="BC159" s="68" t="n">
        <v>1206.3</v>
      </c>
      <c r="BD159" s="63" t="inlineStr">
        <is>
          <t>Y</t>
        </is>
      </c>
      <c r="BE159" s="74" t="n">
        <v>20.6</v>
      </c>
      <c r="BF159" s="74" t="n"/>
      <c r="BG159" s="74" t="n">
        <v>12.1</v>
      </c>
      <c r="BH159" s="74" t="n">
        <v>4.7</v>
      </c>
      <c r="BI159" s="75">
        <f>IF('BBG Verify'!S159="","not filed — run on terminal",'BBG Verify'!S159)</f>
        <v/>
      </c>
      <c r="BJ159" s="76" t="inlineStr">
        <is>
          <t>N</t>
        </is>
      </c>
      <c r="BK159" s="77">
        <f>IF('BBG Verify'!K159="","not filed — run on terminal",'BBG Verify'!K159)</f>
        <v/>
      </c>
      <c r="BL159" s="63" t="inlineStr">
        <is>
          <t>N/A</t>
        </is>
      </c>
      <c r="BM159" s="63" t="inlineStr">
        <is>
          <t>N/A</t>
        </is>
      </c>
      <c r="BN159" s="63" t="inlineStr">
        <is>
          <t>N/A</t>
        </is>
      </c>
      <c r="BO159" s="63" t="inlineStr">
        <is>
          <t>N/A</t>
        </is>
      </c>
      <c r="BP159" s="63" t="inlineStr">
        <is>
          <t>N/A</t>
        </is>
      </c>
      <c r="BQ159" s="63" t="inlineStr">
        <is>
          <t>N/A</t>
        </is>
      </c>
      <c r="BR159" s="76" t="inlineStr">
        <is>
          <t>Morgan Stanley Asia Limited; China International Capital Corporation Hong Kong Securities Limited</t>
        </is>
      </c>
      <c r="BS159" s="63" t="inlineStr">
        <is>
          <t>China International Capital Corporation Hong Kong Securities Limited; Morgan Stanley Asia Limited; UBS Securities Hong Kong Limited</t>
        </is>
      </c>
      <c r="BT159" s="63" t="inlineStr">
        <is>
          <t>UBS AG Hong Kong Branch; Morgan Stanley Asia Limited; China International Capital Corporation Hong Kong Securities Limited; Futu Securities International (Hong Kong) Limited</t>
        </is>
      </c>
      <c r="BU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V159" s="78">
        <f>HYPERLINK("https://www1.hkexnews.hk/listedco/listconews/sehk/2022/1205/2022120500015.pdf","prospectus")</f>
        <v/>
      </c>
      <c r="BW159" s="78">
        <f>HYPERLINK("https://www1.hkexnews.hk/listedco/listconews/sehk/2022/1214/2022121400094.htm","allotment")</f>
        <v/>
      </c>
      <c r="BX159" s="78">
        <f>HYPERLINK("https://www1.hkexnews.hk/listedco/listconews/sehk/2023/0109/2023010900033.pdf","stabilisation")</f>
        <v/>
      </c>
      <c r="BY159" s="76" t="n"/>
      <c r="BZ15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72" t="n"/>
      <c r="AC160" s="66" t="n"/>
      <c r="AD160" s="72" t="n"/>
      <c r="AE160" s="63" t="n"/>
      <c r="AF160" s="63" t="inlineStr">
        <is>
          <t>lapsed (no over-allocation)</t>
        </is>
      </c>
      <c r="AG160" s="63" t="n"/>
      <c r="AH160" s="63" t="inlineStr">
        <is>
          <t>Zhongtai International Securities Limited</t>
        </is>
      </c>
      <c r="AI160" s="63" t="inlineStr">
        <is>
          <t>Zhongtai</t>
        </is>
      </c>
      <c r="AJ160" s="73" t="n">
        <v>-40</v>
      </c>
      <c r="AK160" s="72" t="n">
        <v>-29</v>
      </c>
      <c r="AL160" s="72" t="n">
        <v>-15.49</v>
      </c>
      <c r="AM160" s="72" t="n">
        <v>-25</v>
      </c>
      <c r="AN160" s="72" t="n">
        <v>-15</v>
      </c>
      <c r="AO160" s="72" t="n">
        <v>-31</v>
      </c>
      <c r="AP160" s="72" t="n">
        <v>25</v>
      </c>
      <c r="AQ160" s="72" t="n">
        <v>41.67</v>
      </c>
      <c r="AR160" s="72" t="n">
        <v>15</v>
      </c>
      <c r="AS160" s="72" t="n">
        <v>-25.04</v>
      </c>
      <c r="AT160" s="72" t="n">
        <v>-26.17</v>
      </c>
      <c r="AU160" s="72" t="n">
        <v>-28.66</v>
      </c>
      <c r="AV160" s="72" t="n">
        <v>28.03</v>
      </c>
      <c r="AW160" s="72" t="n">
        <v>11.17</v>
      </c>
      <c r="AX160" s="72" t="n">
        <v>13.64</v>
      </c>
      <c r="AY160" s="63" t="inlineStr">
        <is>
          <t>Hang Seng Commerce &amp; Industry sub-index</t>
        </is>
      </c>
      <c r="AZ160" s="72" t="n">
        <v>-20</v>
      </c>
      <c r="BA160" s="64" t="inlineStr">
        <is>
          <t>2026-08-28</t>
        </is>
      </c>
      <c r="BB160" s="65" t="n">
        <v>484.4</v>
      </c>
      <c r="BC160" s="68" t="n">
        <v>41.4</v>
      </c>
      <c r="BD160" s="63" t="inlineStr">
        <is>
          <t>Y</t>
        </is>
      </c>
      <c r="BE160" s="74" t="n">
        <v>14.5</v>
      </c>
      <c r="BF160" s="74" t="n"/>
      <c r="BG160" s="74" t="n">
        <v>28.6</v>
      </c>
      <c r="BH160" s="74" t="n">
        <v>1.2</v>
      </c>
      <c r="BI160" s="75">
        <f>IF('BBG Verify'!S160="","not filed — run on terminal",'BBG Verify'!S160)</f>
        <v/>
      </c>
      <c r="BJ160" s="76" t="inlineStr">
        <is>
          <t>N</t>
        </is>
      </c>
      <c r="BK160" s="77">
        <f>IF('BBG Verify'!K160="","not filed — run on terminal",'BBG Verify'!K160)</f>
        <v/>
      </c>
      <c r="BL160" s="63" t="inlineStr">
        <is>
          <t>N/A</t>
        </is>
      </c>
      <c r="BM160" s="63" t="inlineStr">
        <is>
          <t>N/A</t>
        </is>
      </c>
      <c r="BN160" s="63" t="inlineStr">
        <is>
          <t>N/A</t>
        </is>
      </c>
      <c r="BO160" s="63" t="inlineStr">
        <is>
          <t>N/A</t>
        </is>
      </c>
      <c r="BP160" s="63" t="inlineStr">
        <is>
          <t>N/A</t>
        </is>
      </c>
      <c r="BQ160" s="63" t="inlineStr">
        <is>
          <t>N/A</t>
        </is>
      </c>
      <c r="BR160" s="76" t="n"/>
      <c r="BS160" s="63" t="inlineStr">
        <is>
          <t>Zhongtai International Capital Limited</t>
        </is>
      </c>
      <c r="BT160" s="63" t="inlineStr">
        <is>
          <t>Beta International Securities Limited; CEB International Capital Corporation Limited; China Tonghai Securities Limited; China PA Securities (Hong Kong) Company Limited; First Shanghai Securities Limited; GF Securities (Hong Kong) Brokerage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V160" s="78">
        <f>HYPERLINK("https://www1.hkexnews.hk/listedco/listconews/sehk/2022/1129/2022112900024.htm","prospectus")</f>
        <v/>
      </c>
      <c r="BW160" s="78">
        <f>HYPERLINK("https://www1.hkexnews.hk/listedco/listconews/sehk/2022/1214/2022121400106.htm","allotment")</f>
        <v/>
      </c>
      <c r="BX160" s="78">
        <f>HYPERLINK("https://www1.hkexnews.hk/listedco/listconews/sehk/2023/0106/2023010600817.pdf","stabilisation")</f>
        <v/>
      </c>
      <c r="BY160" s="76" t="n"/>
      <c r="BZ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72" t="n"/>
      <c r="AC161" s="66" t="n"/>
      <c r="AD161" s="72" t="n"/>
      <c r="AE161" s="63" t="n"/>
      <c r="AF161" s="63" t="inlineStr">
        <is>
          <t>partial</t>
        </is>
      </c>
      <c r="AG161" s="63" t="inlineStr">
        <is>
          <t>2023-01-14</t>
        </is>
      </c>
      <c r="AH161" s="63" t="inlineStr">
        <is>
          <t>China International Capital Corporation Hong Kong Securities Limited</t>
        </is>
      </c>
      <c r="AI161" s="63" t="inlineStr">
        <is>
          <t>China International</t>
        </is>
      </c>
      <c r="AJ161" s="73" t="n">
        <v>0</v>
      </c>
      <c r="AK161" s="72" t="n">
        <v>0</v>
      </c>
      <c r="AL161" s="72" t="n">
        <v>0</v>
      </c>
      <c r="AM161" s="72" t="n">
        <v>19.05</v>
      </c>
      <c r="AN161" s="72" t="n">
        <v>20.63</v>
      </c>
      <c r="AO161" s="72" t="n">
        <v>0.79</v>
      </c>
      <c r="AP161" s="72" t="n">
        <v>19.05</v>
      </c>
      <c r="AQ161" s="72" t="n">
        <v>20.63</v>
      </c>
      <c r="AR161" s="72" t="n">
        <v>0.79</v>
      </c>
      <c r="AS161" s="72" t="n">
        <v>13.54</v>
      </c>
      <c r="AT161" s="72" t="n">
        <v>3.49</v>
      </c>
      <c r="AU161" s="72" t="n">
        <v>-5.67</v>
      </c>
      <c r="AV161" s="72" t="n">
        <v>7.85</v>
      </c>
      <c r="AW161" s="72" t="n">
        <v>17.14</v>
      </c>
      <c r="AX161" s="72" t="n">
        <v>12.78</v>
      </c>
      <c r="AY161" s="63" t="inlineStr">
        <is>
          <t>Hang Seng Commerce &amp; Industry sub-index</t>
        </is>
      </c>
      <c r="AZ161" s="72" t="n">
        <v>-10.63</v>
      </c>
      <c r="BA161" s="64" t="inlineStr">
        <is>
          <t>2026-08-28</t>
        </is>
      </c>
      <c r="BB161" s="65" t="n">
        <v>3980.8</v>
      </c>
      <c r="BC161" s="68" t="n">
        <v>372.7</v>
      </c>
      <c r="BD161" s="63" t="inlineStr">
        <is>
          <t>Y</t>
        </is>
      </c>
      <c r="BE161" s="74" t="n">
        <v>23.6</v>
      </c>
      <c r="BF161" s="74" t="n"/>
      <c r="BG161" s="74" t="n">
        <v>9</v>
      </c>
      <c r="BH161" s="74" t="n">
        <v>2.2</v>
      </c>
      <c r="BI161" s="75">
        <f>IF('BBG Verify'!S161="","not filed — run on terminal",'BBG Verify'!S161)</f>
        <v/>
      </c>
      <c r="BJ161" s="76" t="inlineStr">
        <is>
          <t>N</t>
        </is>
      </c>
      <c r="BK161" s="77">
        <f>IF('BBG Verify'!K161="","not filed — run on terminal",'BBG Verify'!K161)</f>
        <v/>
      </c>
      <c r="BL161" s="63" t="inlineStr">
        <is>
          <t>N/A</t>
        </is>
      </c>
      <c r="BM161" s="63" t="inlineStr">
        <is>
          <t>N/A</t>
        </is>
      </c>
      <c r="BN161" s="63" t="inlineStr">
        <is>
          <t>N/A</t>
        </is>
      </c>
      <c r="BO161" s="63" t="inlineStr">
        <is>
          <t>N/A</t>
        </is>
      </c>
      <c r="BP161" s="63" t="inlineStr">
        <is>
          <t>N/A</t>
        </is>
      </c>
      <c r="BQ161" s="63" t="inlineStr">
        <is>
          <t>N/A</t>
        </is>
      </c>
      <c r="BR161" s="76" t="inlineStr">
        <is>
          <t>J.P. Morgan Securities (Far East) Limited; China International Capital Corporation Hong Kong Securities Limited; CLSA Capital Markets Limited</t>
        </is>
      </c>
      <c r="BS161" s="63" t="inlineStr">
        <is>
          <t>China International Capital Corporation Hong Kong Securities Limited; J.P. Morgan Securities (Far East) Limited; CLSA Capital Markets Limited</t>
        </is>
      </c>
      <c r="BT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U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V161" s="78">
        <f>HYPERLINK("https://www1.hkexnews.hk/listedco/listconews/sehk/2022/1212/2022121200011.pdf","prospectus")</f>
        <v/>
      </c>
      <c r="BW161" s="78">
        <f>HYPERLINK("https://www1.hkexnews.hk/listedco/listconews/sehk/2022/1221/2022122100048.htm","allotment")</f>
        <v/>
      </c>
      <c r="BX161" s="78">
        <f>HYPERLINK("https://www1.hkexnews.hk/listedco/listconews/sehk/2023/0116/2023011600073.pdf","stabilisation")</f>
        <v/>
      </c>
      <c r="BY161" s="76" t="n"/>
      <c r="BZ161"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72" t="n"/>
      <c r="AC162" s="66" t="n"/>
      <c r="AD162" s="72" t="n"/>
      <c r="AE162" s="63" t="n"/>
      <c r="AF162" s="63" t="inlineStr">
        <is>
          <t>lapsed</t>
        </is>
      </c>
      <c r="AG162" s="63" t="inlineStr">
        <is>
          <t>2023-01-14</t>
        </is>
      </c>
      <c r="AH162" s="63" t="inlineStr">
        <is>
          <t>Morgan Stanley Asia Limited</t>
        </is>
      </c>
      <c r="AI162" s="63" t="inlineStr">
        <is>
          <t>Morgan Stanley</t>
        </is>
      </c>
      <c r="AJ162" s="73" t="n">
        <v>34.41</v>
      </c>
      <c r="AK162" s="72" t="n">
        <v>27.42</v>
      </c>
      <c r="AL162" s="72" t="n">
        <v>5.49</v>
      </c>
      <c r="AM162" s="72" t="n">
        <v>0</v>
      </c>
      <c r="AN162" s="72" t="n">
        <v>7.42</v>
      </c>
      <c r="AO162" s="72" t="n">
        <v>97.84999999999999</v>
      </c>
      <c r="AP162" s="72" t="n">
        <v>-25.6</v>
      </c>
      <c r="AQ162" s="72" t="n">
        <v>-20.08</v>
      </c>
      <c r="AR162" s="72" t="n">
        <v>47.2</v>
      </c>
      <c r="AS162" s="72" t="n">
        <v>-8.31</v>
      </c>
      <c r="AT162" s="72" t="n">
        <v>-5.25</v>
      </c>
      <c r="AU162" s="72" t="n">
        <v>97.47</v>
      </c>
      <c r="AV162" s="72" t="n">
        <v>-32.06</v>
      </c>
      <c r="AW162" s="72" t="n">
        <v>12.67</v>
      </c>
      <c r="AX162" s="72" t="n">
        <v>11.98</v>
      </c>
      <c r="AY162" s="63" t="inlineStr">
        <is>
          <t>China Biotech ETF (HS biotech proxy)</t>
        </is>
      </c>
      <c r="AZ162" s="72" t="n">
        <v>-91.45</v>
      </c>
      <c r="BA162" s="64" t="inlineStr">
        <is>
          <t>2026-08-28</t>
        </is>
      </c>
      <c r="BB162" s="65" t="n">
        <v>3821.3</v>
      </c>
      <c r="BC162" s="68" t="n">
        <v>-4114.5</v>
      </c>
      <c r="BD162" s="63" t="inlineStr">
        <is>
          <t>N</t>
        </is>
      </c>
      <c r="BE162" s="63" t="inlineStr">
        <is>
          <t>n/m</t>
        </is>
      </c>
      <c r="BF162" s="74" t="n"/>
      <c r="BG162" s="74" t="n"/>
      <c r="BH162" s="74" t="n"/>
      <c r="BI162" s="75">
        <f>IF('BBG Verify'!S162="","not filed — run on terminal",'BBG Verify'!S162)</f>
        <v/>
      </c>
      <c r="BJ162" s="76" t="inlineStr">
        <is>
          <t>N</t>
        </is>
      </c>
      <c r="BK162" s="77">
        <f>IF('BBG Verify'!K162="","not filed — run on terminal",'BBG Verify'!K162)</f>
        <v/>
      </c>
      <c r="BL162" s="63" t="inlineStr">
        <is>
          <t>N/A</t>
        </is>
      </c>
      <c r="BM162" s="63" t="inlineStr">
        <is>
          <t>N/A</t>
        </is>
      </c>
      <c r="BN162" s="63" t="inlineStr">
        <is>
          <t>N/A</t>
        </is>
      </c>
      <c r="BO162" s="63" t="inlineStr">
        <is>
          <t>N/A</t>
        </is>
      </c>
      <c r="BP162" s="63" t="inlineStr">
        <is>
          <t>N/A</t>
        </is>
      </c>
      <c r="BQ162" s="63" t="inlineStr">
        <is>
          <t>N/A</t>
        </is>
      </c>
      <c r="BR162" s="76" t="n"/>
      <c r="BS162" s="63" t="inlineStr">
        <is>
          <t>Morgan Stanley Asia Limited; Haitong International Capital Limited</t>
        </is>
      </c>
      <c r="BT162" s="63" t="inlineStr">
        <is>
          <t>Futu Securities International (Hong Kong) Limited; Haitong International Securities Company Limited; I Win Securities Limited; Maxa Capital Limited; Morgan Stanley Asia Limited</t>
        </is>
      </c>
      <c r="BU162" s="63" t="inlineStr">
        <is>
          <t>Futu Securities International (Hong Kong) Limited; Haitong International Securities Company Limited; I Win Securities Limited; Maxa Capital Limited; Morgan Stanley Asia Limited</t>
        </is>
      </c>
      <c r="BV162" s="78">
        <f>HYPERLINK("https://www1.hkexnews.hk/listedco/listconews/sehk/2022/1212/2022121200024.htm","prospectus")</f>
        <v/>
      </c>
      <c r="BW162" s="78">
        <f>HYPERLINK("https://www1.hkexnews.hk/listedco/listconews/sehk/2022/1222/2022122200018.htm","allotment")</f>
        <v/>
      </c>
      <c r="BX162" s="78">
        <f>HYPERLINK("https://www1.hkexnews.hk/listedco/listconews/sehk/2023/0115/2023011500007.pdf","stabilisation")</f>
        <v/>
      </c>
      <c r="BY162" s="76" t="n"/>
      <c r="BZ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72" t="n"/>
      <c r="AC163" s="66" t="n"/>
      <c r="AD163" s="72" t="n"/>
      <c r="AE163" s="63" t="n"/>
      <c r="AF163" s="63" t="n"/>
      <c r="AG163" s="63" t="n"/>
      <c r="AH163" s="63" t="n"/>
      <c r="AI163" s="63" t="n"/>
      <c r="AJ163" s="73" t="n">
        <v>3.98</v>
      </c>
      <c r="AK163" s="72" t="n">
        <v>0</v>
      </c>
      <c r="AL163" s="72" t="n">
        <v>3.98</v>
      </c>
      <c r="AM163" s="72" t="n">
        <v>-5.11</v>
      </c>
      <c r="AN163" s="72" t="n">
        <v>-6.25</v>
      </c>
      <c r="AO163" s="72" t="n">
        <v>45.68</v>
      </c>
      <c r="AP163" s="72" t="n">
        <v>-8.74</v>
      </c>
      <c r="AQ163" s="72" t="n">
        <v>-9.84</v>
      </c>
      <c r="AR163" s="72" t="n">
        <v>40.1</v>
      </c>
      <c r="AS163" s="72" t="n">
        <v>-13.42</v>
      </c>
      <c r="AT163" s="72" t="n">
        <v>-18.92</v>
      </c>
      <c r="AU163" s="72" t="n">
        <v>45.3</v>
      </c>
      <c r="AV163" s="72" t="n">
        <v>-21.82</v>
      </c>
      <c r="AW163" s="72" t="n">
        <v>12.67</v>
      </c>
      <c r="AX163" s="72" t="n">
        <v>11.98</v>
      </c>
      <c r="AY163" s="63" t="inlineStr">
        <is>
          <t>China Biotech ETF (HS biotech proxy)</t>
        </is>
      </c>
      <c r="AZ163" s="72" t="n">
        <v>-55.45</v>
      </c>
      <c r="BA163" s="64" t="inlineStr">
        <is>
          <t>2026-08-28</t>
        </is>
      </c>
      <c r="BB163" s="65" t="n">
        <v>908.4</v>
      </c>
      <c r="BC163" s="68" t="n">
        <v>-10.3</v>
      </c>
      <c r="BD163" s="63" t="inlineStr">
        <is>
          <t>N</t>
        </is>
      </c>
      <c r="BE163" s="63" t="inlineStr">
        <is>
          <t>n/m</t>
        </is>
      </c>
      <c r="BF163" s="74" t="n"/>
      <c r="BG163" s="74" t="n">
        <v>9.699999999999999</v>
      </c>
      <c r="BH163" s="74" t="n">
        <v>8</v>
      </c>
      <c r="BI163" s="75">
        <f>IF('BBG Verify'!S163="","not filed — run on terminal",'BBG Verify'!S163)</f>
        <v/>
      </c>
      <c r="BJ163" s="76" t="inlineStr">
        <is>
          <t>N</t>
        </is>
      </c>
      <c r="BK163" s="77">
        <f>IF('BBG Verify'!K163="","not filed — run on terminal",'BBG Verify'!K163)</f>
        <v/>
      </c>
      <c r="BL163" s="63" t="inlineStr">
        <is>
          <t>N/A</t>
        </is>
      </c>
      <c r="BM163" s="63" t="inlineStr">
        <is>
          <t>N/A</t>
        </is>
      </c>
      <c r="BN163" s="63" t="inlineStr">
        <is>
          <t>N/A</t>
        </is>
      </c>
      <c r="BO163" s="63" t="inlineStr">
        <is>
          <t>N/A</t>
        </is>
      </c>
      <c r="BP163" s="63" t="inlineStr">
        <is>
          <t>N/A</t>
        </is>
      </c>
      <c r="BQ163" s="63" t="inlineStr">
        <is>
          <t>N/A</t>
        </is>
      </c>
      <c r="BR163" s="76" t="inlineStr">
        <is>
          <t>China International Capital Corporation Hong Kong Securities Limited; CCB International Capital Limited</t>
        </is>
      </c>
      <c r="BS163" s="63" t="inlineStr">
        <is>
          <t>CCB International Capital Limited; China International Capital Corporation (HK) Ltd</t>
        </is>
      </c>
      <c r="BT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U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V163" s="78">
        <f>HYPERLINK("https://www1.hkexnews.hk/listedco/listconews/sehk/2022/1213/2022121300009.pdf","prospectus")</f>
        <v/>
      </c>
      <c r="BW163" s="78">
        <f>HYPERLINK("https://www1.hkexnews.hk/listedco/listconews/sehk/2022/1222/2022122200034.htm","allotment")</f>
        <v/>
      </c>
      <c r="BX163" s="63" t="n"/>
      <c r="BY163" s="76" t="n"/>
      <c r="BZ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72" t="n"/>
      <c r="AC164" s="66" t="n"/>
      <c r="AD164" s="72" t="n"/>
      <c r="AE164" s="63" t="n"/>
      <c r="AF164" s="63" t="inlineStr">
        <is>
          <t>lapsed (no over-allocation)</t>
        </is>
      </c>
      <c r="AG164" s="63" t="n"/>
      <c r="AH164" s="63" t="n"/>
      <c r="AI164" s="63" t="n"/>
      <c r="AJ164" s="73" t="n">
        <v>230.19</v>
      </c>
      <c r="AK164" s="72" t="n">
        <v>126.42</v>
      </c>
      <c r="AL164" s="72" t="n">
        <v>45.83</v>
      </c>
      <c r="AM164" s="72" t="n">
        <v>281.13</v>
      </c>
      <c r="AN164" s="72" t="n">
        <v>196.23</v>
      </c>
      <c r="AO164" s="72" t="n">
        <v>696.23</v>
      </c>
      <c r="AP164" s="72" t="n">
        <v>15.43</v>
      </c>
      <c r="AQ164" s="72" t="n">
        <v>-10.28</v>
      </c>
      <c r="AR164" s="72" t="n">
        <v>141.14</v>
      </c>
      <c r="AS164" s="72" t="n">
        <v>273.69</v>
      </c>
      <c r="AT164" s="72" t="n">
        <v>182.72</v>
      </c>
      <c r="AU164" s="72" t="n">
        <v>699.04</v>
      </c>
      <c r="AV164" s="72" t="n">
        <v>-20.57</v>
      </c>
      <c r="AW164" s="72" t="n">
        <v>13.51</v>
      </c>
      <c r="AX164" s="72" t="n">
        <v>10.29</v>
      </c>
      <c r="AY164" s="63" t="inlineStr">
        <is>
          <t>China Biotech ETF (HS biotech proxy)</t>
        </is>
      </c>
      <c r="AZ164" s="72" t="n">
        <v>343.4</v>
      </c>
      <c r="BA164" s="64" t="inlineStr">
        <is>
          <t>2026-08-28</t>
        </is>
      </c>
      <c r="BB164" s="65" t="n">
        <v>232.1</v>
      </c>
      <c r="BC164" s="68" t="n">
        <v>25.4</v>
      </c>
      <c r="BD164" s="63" t="inlineStr">
        <is>
          <t>Y</t>
        </is>
      </c>
      <c r="BE164" s="74" t="n">
        <v>21.7</v>
      </c>
      <c r="BF164" s="74" t="n"/>
      <c r="BG164" s="74" t="n"/>
      <c r="BH164" s="74" t="n">
        <v>2.4</v>
      </c>
      <c r="BI164" s="75">
        <f>IF('BBG Verify'!S164="","not filed — run on terminal",'BBG Verify'!S164)</f>
        <v/>
      </c>
      <c r="BJ164" s="76" t="inlineStr">
        <is>
          <t>N</t>
        </is>
      </c>
      <c r="BK164" s="77">
        <f>IF('BBG Verify'!K164="","not filed — run on terminal",'BBG Verify'!K164)</f>
        <v/>
      </c>
      <c r="BL164" s="63" t="inlineStr">
        <is>
          <t>N/A</t>
        </is>
      </c>
      <c r="BM164" s="63" t="inlineStr">
        <is>
          <t>N/A</t>
        </is>
      </c>
      <c r="BN164" s="63" t="inlineStr">
        <is>
          <t>N/A</t>
        </is>
      </c>
      <c r="BO164" s="63" t="inlineStr">
        <is>
          <t>N/A</t>
        </is>
      </c>
      <c r="BP164" s="63" t="inlineStr">
        <is>
          <t>N/A</t>
        </is>
      </c>
      <c r="BQ164" s="63" t="inlineStr">
        <is>
          <t>N/A</t>
        </is>
      </c>
      <c r="BR164" s="76" t="inlineStr">
        <is>
          <t>Southwest Securities (HK) Capital Limited</t>
        </is>
      </c>
      <c r="BS164" s="63" t="inlineStr">
        <is>
          <t>Southwest Securities (HK) Capital Limited</t>
        </is>
      </c>
      <c r="BT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U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V164" s="78">
        <f>HYPERLINK("https://www1.hkexnews.hk/listedco/listconews/sehk/2022/1215/2022121500017.pdf","prospectus")</f>
        <v/>
      </c>
      <c r="BW164" s="78">
        <f>HYPERLINK("https://www1.hkexnews.hk/listedco/listconews/sehk/2022/1228/2022122800004.htm","allotment")</f>
        <v/>
      </c>
      <c r="BX164" s="78">
        <f>HYPERLINK("https://www1.hkexnews.hk/listedco/listconews/sehk/2023/0119/2023011900669.pdf","stabilisation")</f>
        <v/>
      </c>
      <c r="BY164" s="76" t="n"/>
      <c r="BZ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72" t="n"/>
      <c r="AC165" s="66" t="n"/>
      <c r="AD165" s="72" t="n"/>
      <c r="AE165" s="63" t="n"/>
      <c r="AF165" s="63" t="inlineStr">
        <is>
          <t>partial</t>
        </is>
      </c>
      <c r="AG165" s="63" t="inlineStr">
        <is>
          <t>2023-01-19</t>
        </is>
      </c>
      <c r="AH165" s="63" t="inlineStr">
        <is>
          <t>China Securities</t>
        </is>
      </c>
      <c r="AI165" s="63" t="inlineStr">
        <is>
          <t>China Securities</t>
        </is>
      </c>
      <c r="AJ165" s="73" t="n">
        <v>70.56999999999999</v>
      </c>
      <c r="AK165" s="72" t="n">
        <v>22.83</v>
      </c>
      <c r="AL165" s="72" t="n">
        <v>38.87</v>
      </c>
      <c r="AM165" s="72" t="n">
        <v>76.59999999999999</v>
      </c>
      <c r="AN165" s="72" t="n">
        <v>198.3</v>
      </c>
      <c r="AO165" s="72" t="n">
        <v>277.36</v>
      </c>
      <c r="AP165" s="72" t="n">
        <v>3.54</v>
      </c>
      <c r="AQ165" s="72" t="n">
        <v>74.88</v>
      </c>
      <c r="AR165" s="72" t="n">
        <v>121.23</v>
      </c>
      <c r="AS165" s="72" t="n">
        <v>71.11</v>
      </c>
      <c r="AT165" s="72" t="n">
        <v>187.95</v>
      </c>
      <c r="AU165" s="72" t="n">
        <v>274.8</v>
      </c>
      <c r="AV165" s="72" t="n">
        <v>63.65</v>
      </c>
      <c r="AW165" s="72" t="n">
        <v>10.35</v>
      </c>
      <c r="AX165" s="72" t="n">
        <v>11.23</v>
      </c>
      <c r="AY165" s="63" t="inlineStr">
        <is>
          <t>Hang Seng Index</t>
        </is>
      </c>
      <c r="AZ165" s="72" t="n">
        <v>-96.64</v>
      </c>
      <c r="BA165" s="64" t="inlineStr">
        <is>
          <t>2026-08-28</t>
        </is>
      </c>
      <c r="BB165" s="65" t="n">
        <v>960.8</v>
      </c>
      <c r="BC165" s="68" t="n">
        <v>95.59999999999999</v>
      </c>
      <c r="BD165" s="63" t="inlineStr">
        <is>
          <t>Y</t>
        </is>
      </c>
      <c r="BE165" s="74" t="n">
        <v>110.4</v>
      </c>
      <c r="BF165" s="74" t="n"/>
      <c r="BG165" s="74" t="n"/>
      <c r="BH165" s="74" t="n">
        <v>11</v>
      </c>
      <c r="BI165" s="75">
        <f>IF('BBG Verify'!S165="","not filed — run on terminal",'BBG Verify'!S165)</f>
        <v/>
      </c>
      <c r="BJ165" s="76" t="inlineStr">
        <is>
          <t>N</t>
        </is>
      </c>
      <c r="BK165" s="77">
        <f>IF('BBG Verify'!K165="","not filed — run on terminal",'BBG Verify'!K165)</f>
        <v/>
      </c>
      <c r="BL165" s="63" t="inlineStr">
        <is>
          <t>N/A</t>
        </is>
      </c>
      <c r="BM165" s="63" t="inlineStr">
        <is>
          <t>N/A</t>
        </is>
      </c>
      <c r="BN165" s="63" t="inlineStr">
        <is>
          <t>N/A</t>
        </is>
      </c>
      <c r="BO165" s="63" t="inlineStr">
        <is>
          <t>N/A</t>
        </is>
      </c>
      <c r="BP165" s="63" t="inlineStr">
        <is>
          <t>N/A</t>
        </is>
      </c>
      <c r="BQ165" s="63" t="inlineStr">
        <is>
          <t>N/A</t>
        </is>
      </c>
      <c r="BR165" s="76" t="inlineStr">
        <is>
          <t>China International Capital Corporation Hong Kong Securities Limited; China Securities (International) Corporate Finance Company Limited</t>
        </is>
      </c>
      <c r="BS165" s="63"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U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V165" s="78">
        <f>HYPERLINK("https://www1.hkexnews.hk/listedco/listconews/sehk/2022/1215/2022121500027.pdf","prospectus")</f>
        <v/>
      </c>
      <c r="BW165" s="78">
        <f>HYPERLINK("https://www1.hkexnews.hk/listedco/listconews/sehk/2022/1228/2022122800022.htm","allotment")</f>
        <v/>
      </c>
      <c r="BX165" s="78">
        <f>HYPERLINK("https://www1.hkexnews.hk/listedco/listconews/sehk/2023/0119/2023011901155.pdf","stabilisation")</f>
        <v/>
      </c>
      <c r="BY165" s="76" t="n"/>
      <c r="BZ165" s="63" t="inlineStr">
        <is>
          <t>A/H: no A-share listing · cornerstone: table parse read 97% but the institutional total implies 10% — parse rejected, the filed aggregate-amount sentence used (10.0%) · grey market: no grey-market headline on file for this deal — AAStocks publishes one per listing but keeps only recent items on the stock's news page, and no public archive of past evening sessions exists; captured from this run onward</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72" t="n"/>
      <c r="AC166" s="66" t="n"/>
      <c r="AD166" s="72" t="n"/>
      <c r="AE166" s="63" t="n"/>
      <c r="AF166" s="63" t="inlineStr">
        <is>
          <t>partial</t>
        </is>
      </c>
      <c r="AG166" s="63" t="inlineStr">
        <is>
          <t>2023-01-20</t>
        </is>
      </c>
      <c r="AH166" s="63" t="inlineStr">
        <is>
          <t>China International Capital Corporation Hong Kong Securities Limited</t>
        </is>
      </c>
      <c r="AI166" s="63" t="inlineStr">
        <is>
          <t>China International</t>
        </is>
      </c>
      <c r="AJ166" s="73" t="n">
        <v>-0.47</v>
      </c>
      <c r="AK166" s="72" t="n">
        <v>-4.69</v>
      </c>
      <c r="AL166" s="72" t="n">
        <v>4.43</v>
      </c>
      <c r="AM166" s="72" t="n">
        <v>-5.78</v>
      </c>
      <c r="AN166" s="72" t="n">
        <v>-22.97</v>
      </c>
      <c r="AO166" s="72" t="n">
        <v>-47.81</v>
      </c>
      <c r="AP166" s="72" t="n">
        <v>-5.34</v>
      </c>
      <c r="AQ166" s="72" t="n">
        <v>-22.61</v>
      </c>
      <c r="AR166" s="72" t="n">
        <v>-47.56</v>
      </c>
      <c r="AS166" s="72" t="n">
        <v>-15.78</v>
      </c>
      <c r="AT166" s="72" t="n">
        <v>-35.62</v>
      </c>
      <c r="AU166" s="72" t="n">
        <v>-51.22</v>
      </c>
      <c r="AV166" s="72" t="n">
        <v>-35.63</v>
      </c>
      <c r="AW166" s="72" t="n">
        <v>12.65</v>
      </c>
      <c r="AX166" s="72" t="n">
        <v>13.02</v>
      </c>
      <c r="AY166" s="63" t="inlineStr">
        <is>
          <t>Hang Seng Commerce &amp; Industry sub-index</t>
        </is>
      </c>
      <c r="AZ166" s="72" t="n">
        <v>-72.66</v>
      </c>
      <c r="BA166" s="64" t="inlineStr">
        <is>
          <t>2026-08-28</t>
        </is>
      </c>
      <c r="BB166" s="65" t="n">
        <v>4183.2</v>
      </c>
      <c r="BC166" s="68" t="n">
        <v>173.9</v>
      </c>
      <c r="BD166" s="63" t="inlineStr">
        <is>
          <t>Y</t>
        </is>
      </c>
      <c r="BE166" s="74" t="n">
        <v>27.8</v>
      </c>
      <c r="BF166" s="74" t="n">
        <v>5</v>
      </c>
      <c r="BG166" s="74" t="n"/>
      <c r="BH166" s="74" t="n">
        <v>1.2</v>
      </c>
      <c r="BI166" s="75">
        <f>IF('BBG Verify'!S166="","not filed — run on terminal",'BBG Verify'!S166)</f>
        <v/>
      </c>
      <c r="BJ166" s="76" t="inlineStr">
        <is>
          <t>N</t>
        </is>
      </c>
      <c r="BK166" s="77">
        <f>IF('BBG Verify'!K166="","not filed — run on terminal",'BBG Verify'!K166)</f>
        <v/>
      </c>
      <c r="BL166" s="63" t="inlineStr">
        <is>
          <t>N/A</t>
        </is>
      </c>
      <c r="BM166" s="63" t="inlineStr">
        <is>
          <t>N/A</t>
        </is>
      </c>
      <c r="BN166" s="63" t="inlineStr">
        <is>
          <t>N/A</t>
        </is>
      </c>
      <c r="BO166" s="63" t="inlineStr">
        <is>
          <t>N/A</t>
        </is>
      </c>
      <c r="BP166" s="63" t="inlineStr">
        <is>
          <t>N/A</t>
        </is>
      </c>
      <c r="BQ166" s="63" t="inlineStr">
        <is>
          <t>N/A</t>
        </is>
      </c>
      <c r="BR166" s="76" t="inlineStr">
        <is>
          <t>China International Capital Corporation Hong Kong Securities Limited; DBS Asia Capital Limited</t>
        </is>
      </c>
      <c r="BS166" s="63" t="inlineStr">
        <is>
          <t>China International Capital Corporation Hong Kong Securities Limited; DBS Asia Capital Limited</t>
        </is>
      </c>
      <c r="BT166" s="63" t="inlineStr">
        <is>
          <t>China International Capital Corporation Hong Kong Securities Limited; DBS Asia Capital Limited; Daiwa Capital Markets Hong Kong Limited; ABCI Capital Limited; BOCOM International Securities Limited; Futu Securities International (Hong Kong) Limited</t>
        </is>
      </c>
      <c r="BU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V166" s="78">
        <f>HYPERLINK("https://www1.hkexnews.hk/listedco/listconews/sehk/2022/1216/2022121600017.pdf","prospectus")</f>
        <v/>
      </c>
      <c r="BW166" s="78">
        <f>HYPERLINK("https://www1.hkexnews.hk/listedco/listconews/sehk/2022/1229/2022122900092.htm","allotment")</f>
        <v/>
      </c>
      <c r="BX166" s="78">
        <f>HYPERLINK("https://www1.hkexnews.hk/listedco/listconews/sehk/2023/0120/2023012001115.pdf","stabilisation")</f>
        <v/>
      </c>
      <c r="BY166" s="76" t="n"/>
      <c r="BZ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72" t="n"/>
      <c r="AC167" s="66" t="n"/>
      <c r="AD167" s="72" t="n"/>
      <c r="AE167" s="63" t="n"/>
      <c r="AF167" s="63" t="n"/>
      <c r="AG167" s="63" t="n"/>
      <c r="AH167" s="63" t="n"/>
      <c r="AI167" s="63" t="n"/>
      <c r="AJ167" s="73" t="n">
        <v>-6.56</v>
      </c>
      <c r="AK167" s="72" t="n">
        <v>-2.12</v>
      </c>
      <c r="AL167" s="72" t="n">
        <v>-4.54</v>
      </c>
      <c r="AM167" s="72" t="n">
        <v>-9.84</v>
      </c>
      <c r="AN167" s="72" t="n">
        <v>-19.05</v>
      </c>
      <c r="AO167" s="72" t="n">
        <v>-12.7</v>
      </c>
      <c r="AP167" s="72" t="n">
        <v>-3.51</v>
      </c>
      <c r="AQ167" s="72" t="n">
        <v>-13.37</v>
      </c>
      <c r="AR167" s="72" t="n">
        <v>-6.57</v>
      </c>
      <c r="AS167" s="72" t="n">
        <v>-15.15</v>
      </c>
      <c r="AT167" s="72" t="n">
        <v>-28.32</v>
      </c>
      <c r="AU167" s="72" t="n">
        <v>-7.74</v>
      </c>
      <c r="AV167" s="72" t="n">
        <v>-23.17</v>
      </c>
      <c r="AW167" s="72" t="n">
        <v>9.27</v>
      </c>
      <c r="AX167" s="72" t="n">
        <v>9.800000000000001</v>
      </c>
      <c r="AY167" s="63" t="inlineStr">
        <is>
          <t>China Biotech ETF (HS biotech proxy)</t>
        </is>
      </c>
      <c r="AZ167" s="72" t="n">
        <v>-83.84</v>
      </c>
      <c r="BA167" s="64" t="inlineStr">
        <is>
          <t>2026-08-28</t>
        </is>
      </c>
      <c r="BB167" s="65" t="n">
        <v>13.3</v>
      </c>
      <c r="BC167" s="68" t="n">
        <v>-101.7</v>
      </c>
      <c r="BD167" s="63" t="inlineStr">
        <is>
          <t>N</t>
        </is>
      </c>
      <c r="BE167" s="63" t="inlineStr">
        <is>
          <t>n/m</t>
        </is>
      </c>
      <c r="BF167" s="74" t="n"/>
      <c r="BG167" s="74" t="n"/>
      <c r="BH167" s="74" t="n">
        <v>339.6</v>
      </c>
      <c r="BI167" s="75">
        <f>IF('BBG Verify'!S167="","not filed — run on terminal",'BBG Verify'!S167)</f>
        <v/>
      </c>
      <c r="BJ167" s="76" t="inlineStr">
        <is>
          <t>N</t>
        </is>
      </c>
      <c r="BK167" s="77">
        <f>IF('BBG Verify'!K167="","not filed — run on terminal",'BBG Verify'!K167)</f>
        <v/>
      </c>
      <c r="BL167" s="63" t="inlineStr">
        <is>
          <t>N/A</t>
        </is>
      </c>
      <c r="BM167" s="63" t="inlineStr">
        <is>
          <t>N/A</t>
        </is>
      </c>
      <c r="BN167" s="63" t="inlineStr">
        <is>
          <t>N/A</t>
        </is>
      </c>
      <c r="BO167" s="63" t="inlineStr">
        <is>
          <t>N/A</t>
        </is>
      </c>
      <c r="BP167" s="63" t="inlineStr">
        <is>
          <t>N/A</t>
        </is>
      </c>
      <c r="BQ167" s="63" t="inlineStr">
        <is>
          <t>N/A</t>
        </is>
      </c>
      <c r="BR167" s="76" t="inlineStr">
        <is>
          <t>Citigroup Global Markets Asia Limited; Huatai Financial Holdings (Hong Kong) Limited</t>
        </is>
      </c>
      <c r="BS167" s="63" t="inlineStr">
        <is>
          <t>Huatai Financial Holdings (Hong Kong) Limited; Citigroup Global Markets Asia Limited</t>
        </is>
      </c>
      <c r="BT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U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V167" s="78">
        <f>HYPERLINK("https://www1.hkexnews.hk/listedco/listconews/sehk/2022/1216/2022121600015.pdf","prospectus")</f>
        <v/>
      </c>
      <c r="BW167" s="78">
        <f>HYPERLINK("https://www1.hkexnews.hk/listedco/listconews/sehk/2022/1229/2022122900114.htm","allotment")</f>
        <v/>
      </c>
      <c r="BX167" s="63" t="n"/>
      <c r="BY167" s="76" t="n"/>
      <c r="BZ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72" t="n"/>
      <c r="AC168" s="66" t="n"/>
      <c r="AD168" s="72" t="n"/>
      <c r="AE168" s="63" t="n"/>
      <c r="AF168" s="63" t="inlineStr">
        <is>
          <t>lapsed</t>
        </is>
      </c>
      <c r="AG168" s="63" t="inlineStr">
        <is>
          <t>2023-01-21</t>
        </is>
      </c>
      <c r="AH168" s="63" t="inlineStr">
        <is>
          <t>UBS AG Hong Kong Branch</t>
        </is>
      </c>
      <c r="AI168" s="63" t="inlineStr">
        <is>
          <t>UBS</t>
        </is>
      </c>
      <c r="AJ168" s="73" t="n">
        <v>0</v>
      </c>
      <c r="AK168" s="72" t="n">
        <v>0.51</v>
      </c>
      <c r="AL168" s="72" t="n">
        <v>-0.51</v>
      </c>
      <c r="AM168" s="72" t="n">
        <v>-17.17</v>
      </c>
      <c r="AN168" s="72" t="n">
        <v>-22.02</v>
      </c>
      <c r="AO168" s="72" t="n">
        <v>-2.32</v>
      </c>
      <c r="AP168" s="72" t="n">
        <v>-17.17</v>
      </c>
      <c r="AQ168" s="72" t="n">
        <v>-22.02</v>
      </c>
      <c r="AR168" s="72" t="n">
        <v>-2.32</v>
      </c>
      <c r="AS168" s="72" t="n">
        <v>-22.48</v>
      </c>
      <c r="AT168" s="72" t="n">
        <v>-31.29</v>
      </c>
      <c r="AU168" s="72" t="n">
        <v>2.64</v>
      </c>
      <c r="AV168" s="72" t="n">
        <v>-31.82</v>
      </c>
      <c r="AW168" s="72" t="n">
        <v>9.27</v>
      </c>
      <c r="AX168" s="72" t="n">
        <v>9.800000000000001</v>
      </c>
      <c r="AY168" s="63" t="inlineStr">
        <is>
          <t>China Biotech ETF (HS biotech proxy)</t>
        </is>
      </c>
      <c r="AZ168" s="72" t="n">
        <v>-81.16</v>
      </c>
      <c r="BA168" s="64" t="inlineStr">
        <is>
          <t>2026-08-28</t>
        </is>
      </c>
      <c r="BB168" s="65" t="n">
        <v>242.8</v>
      </c>
      <c r="BC168" s="68" t="n">
        <v>-364.9</v>
      </c>
      <c r="BD168" s="63" t="inlineStr">
        <is>
          <t>N</t>
        </is>
      </c>
      <c r="BE168" s="63" t="inlineStr">
        <is>
          <t>n/m</t>
        </is>
      </c>
      <c r="BF168" s="74" t="n"/>
      <c r="BG168" s="74" t="n">
        <v>196.1</v>
      </c>
      <c r="BH168" s="74" t="n">
        <v>36.3</v>
      </c>
      <c r="BI168" s="75">
        <f>IF('BBG Verify'!S168="","not filed — run on terminal",'BBG Verify'!S168)</f>
        <v/>
      </c>
      <c r="BJ168" s="76" t="inlineStr">
        <is>
          <t>N</t>
        </is>
      </c>
      <c r="BK168" s="77">
        <f>IF('BBG Verify'!K168="","not filed — run on terminal",'BBG Verify'!K168)</f>
        <v/>
      </c>
      <c r="BL168" s="63" t="inlineStr">
        <is>
          <t>N/A</t>
        </is>
      </c>
      <c r="BM168" s="63" t="inlineStr">
        <is>
          <t>N/A</t>
        </is>
      </c>
      <c r="BN168" s="63" t="inlineStr">
        <is>
          <t>N/A</t>
        </is>
      </c>
      <c r="BO168" s="63" t="inlineStr">
        <is>
          <t>N/A</t>
        </is>
      </c>
      <c r="BP168" s="63" t="inlineStr">
        <is>
          <t>N/A</t>
        </is>
      </c>
      <c r="BQ168" s="63" t="inlineStr">
        <is>
          <t>N/A</t>
        </is>
      </c>
      <c r="BR168" s="76" t="inlineStr">
        <is>
          <t>UBS Securities Hong Kong Limited; Essence Corporate Finance (Hong Kong) Limited</t>
        </is>
      </c>
      <c r="BS168" s="63" t="inlineStr">
        <is>
          <t>UBS Securities Hong Kong Limited; Essence Corporate Finance (Hong Kong) Limited</t>
        </is>
      </c>
      <c r="BT168" s="63" t="inlineStr">
        <is>
          <t>UBS AG Hong Kong Branch; Essence International Securities (Hong Kong) Limited</t>
        </is>
      </c>
      <c r="BU168" s="63" t="inlineStr">
        <is>
          <t>Essence International Securities (Hong Kong) Limited; Futu Securities International (Hong Kong) Limited; Livermore Holdings Limited; Silverbricks Securities Company Limited; UBS AG Hong Kong Branch</t>
        </is>
      </c>
      <c r="BV168" s="78">
        <f>HYPERLINK("https://www1.hkexnews.hk/listedco/listconews/sehk/2022/1219/2022121900009.pdf","prospectus")</f>
        <v/>
      </c>
      <c r="BW168" s="78">
        <f>HYPERLINK("https://www1.hkexnews.hk/listedco/listconews/sehk/2022/1229/2022122900320.htm","allotment")</f>
        <v/>
      </c>
      <c r="BX168" s="78">
        <f>HYPERLINK("https://www1.hkexnews.hk/listedco/listconews/sehk/2023/0125/2023012500003.pdf","stabilisation")</f>
        <v/>
      </c>
      <c r="BY168" s="76" t="n"/>
      <c r="BZ16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72" t="n"/>
      <c r="AC169" s="66" t="n"/>
      <c r="AD169" s="72" t="n"/>
      <c r="AE169" s="63" t="n"/>
      <c r="AF169" s="63" t="inlineStr">
        <is>
          <t>lapsed</t>
        </is>
      </c>
      <c r="AG169" s="63" t="inlineStr">
        <is>
          <t>2023-01-29</t>
        </is>
      </c>
      <c r="AH169" s="63" t="inlineStr">
        <is>
          <t>China International Capital Corporation Hong Kong Securities Limited</t>
        </is>
      </c>
      <c r="AI169" s="63" t="inlineStr">
        <is>
          <t>China International</t>
        </is>
      </c>
      <c r="AJ169" s="73" t="n">
        <v>12.12</v>
      </c>
      <c r="AK169" s="72" t="n">
        <v>6.06</v>
      </c>
      <c r="AL169" s="72" t="n">
        <v>5.71</v>
      </c>
      <c r="AM169" s="72" t="n">
        <v>5.05</v>
      </c>
      <c r="AN169" s="72" t="n">
        <v>24.65</v>
      </c>
      <c r="AO169" s="72" t="n">
        <v>22.83</v>
      </c>
      <c r="AP169" s="72" t="n">
        <v>-6.31</v>
      </c>
      <c r="AQ169" s="72" t="n">
        <v>11.18</v>
      </c>
      <c r="AR169" s="72" t="n">
        <v>9.550000000000001</v>
      </c>
      <c r="AS169" s="72" t="n">
        <v>0.8</v>
      </c>
      <c r="AT169" s="72" t="n">
        <v>23.48</v>
      </c>
      <c r="AU169" s="72" t="n">
        <v>26.53</v>
      </c>
      <c r="AV169" s="72" t="n">
        <v>12.68</v>
      </c>
      <c r="AW169" s="72" t="n">
        <v>1.17</v>
      </c>
      <c r="AX169" s="72" t="n">
        <v>-1.5</v>
      </c>
      <c r="AY169" s="63" t="inlineStr">
        <is>
          <t>Hang Seng Commerce &amp; Industry sub-index</t>
        </is>
      </c>
      <c r="AZ169" s="72" t="n">
        <v>-96.62</v>
      </c>
      <c r="BA169" s="64" t="inlineStr">
        <is>
          <t>2026-08-28</t>
        </is>
      </c>
      <c r="BB169" s="65" t="n">
        <v>3771.4</v>
      </c>
      <c r="BC169" s="68" t="n">
        <v>-2263.7</v>
      </c>
      <c r="BD169" s="63" t="inlineStr">
        <is>
          <t>N</t>
        </is>
      </c>
      <c r="BE169" s="63" t="inlineStr">
        <is>
          <t>n/m</t>
        </is>
      </c>
      <c r="BF169" s="74" t="n"/>
      <c r="BG169" s="74" t="n">
        <v>3.2</v>
      </c>
      <c r="BH169" s="74" t="n">
        <v>5.5</v>
      </c>
      <c r="BI169" s="75">
        <f>IF('BBG Verify'!S169="","not filed — run on terminal",'BBG Verify'!S169)</f>
        <v/>
      </c>
      <c r="BJ169" s="76" t="inlineStr">
        <is>
          <t>N</t>
        </is>
      </c>
      <c r="BK169" s="77">
        <f>IF('BBG Verify'!K169="","not filed — run on terminal",'BBG Verify'!K169)</f>
        <v/>
      </c>
      <c r="BL169" s="63" t="inlineStr">
        <is>
          <t>N/A</t>
        </is>
      </c>
      <c r="BM169" s="63" t="inlineStr">
        <is>
          <t>N/A</t>
        </is>
      </c>
      <c r="BN169" s="63" t="inlineStr">
        <is>
          <t>N/A</t>
        </is>
      </c>
      <c r="BO169" s="63" t="inlineStr">
        <is>
          <t>N/A</t>
        </is>
      </c>
      <c r="BP169" s="63" t="inlineStr">
        <is>
          <t>N/A</t>
        </is>
      </c>
      <c r="BQ169" s="63" t="inlineStr">
        <is>
          <t>N/A</t>
        </is>
      </c>
      <c r="BR169" s="76" t="n"/>
      <c r="BS169" s="63" t="inlineStr">
        <is>
          <t>China International Capital Corporation Hong Kong Securities Limited; Merrill Lynch (Asia Pacific) Limited; Citigroup Global Markets Asia Limited</t>
        </is>
      </c>
      <c r="BT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U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V169" s="78">
        <f>HYPERLINK("https://www1.hkexnews.hk/listedco/listconews/sehk/2022/1223/2022122300005.pdf","prospectus")</f>
        <v/>
      </c>
      <c r="BW169" s="78">
        <f>HYPERLINK("https://www1.hkexnews.hk/listedco/listconews/sehk/2023/0106/2023010600010.htm","allotment")</f>
        <v/>
      </c>
      <c r="BX169" s="78">
        <f>HYPERLINK("https://www1.hkexnews.hk/listedco/listconews/sehk/2023/0129/2023012900007.pdf","stabilisation")</f>
        <v/>
      </c>
      <c r="BY169" s="76" t="n"/>
      <c r="BZ169" s="63" t="inlineStr">
        <is>
          <t>P/E: n/m — loss-making at IPO (use P/S)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72" t="n"/>
      <c r="AC170" s="66" t="n"/>
      <c r="AD170" s="72" t="n"/>
      <c r="AE170" s="63" t="n"/>
      <c r="AF170" s="63" t="inlineStr">
        <is>
          <t>partial</t>
        </is>
      </c>
      <c r="AG170" s="63" t="inlineStr">
        <is>
          <t>2023-02-04</t>
        </is>
      </c>
      <c r="AH170" s="63" t="inlineStr">
        <is>
          <t>Guotai Juna n Securities</t>
        </is>
      </c>
      <c r="AI170" s="63" t="inlineStr">
        <is>
          <t>Guotai Juna</t>
        </is>
      </c>
      <c r="AJ170" s="73" t="n">
        <v>0</v>
      </c>
      <c r="AK170" s="72" t="n">
        <v>0</v>
      </c>
      <c r="AL170" s="72" t="n">
        <v>0</v>
      </c>
      <c r="AM170" s="72" t="n">
        <v>0</v>
      </c>
      <c r="AN170" s="72" t="n">
        <v>8.25</v>
      </c>
      <c r="AO170" s="72" t="n">
        <v>-0.5</v>
      </c>
      <c r="AP170" s="72" t="n">
        <v>0</v>
      </c>
      <c r="AQ170" s="72" t="n">
        <v>8.25</v>
      </c>
      <c r="AR170" s="72" t="n">
        <v>-0.5</v>
      </c>
      <c r="AS170" s="72" t="n">
        <v>-0.09</v>
      </c>
      <c r="AT170" s="72" t="n">
        <v>12.29</v>
      </c>
      <c r="AU170" s="72" t="n">
        <v>7.22</v>
      </c>
      <c r="AV170" s="72" t="n">
        <v>12</v>
      </c>
      <c r="AW170" s="72" t="n">
        <v>-4.04</v>
      </c>
      <c r="AX170" s="72" t="n">
        <v>-3.75</v>
      </c>
      <c r="AY170" s="63" t="inlineStr">
        <is>
          <t>Hang Seng Commerce &amp; Industry sub-index</t>
        </is>
      </c>
      <c r="AZ170" s="72" t="n">
        <v>-59.72</v>
      </c>
      <c r="BA170" s="64" t="inlineStr">
        <is>
          <t>2026-08-31</t>
        </is>
      </c>
      <c r="BB170" s="65" t="n">
        <v>692.3</v>
      </c>
      <c r="BC170" s="68" t="n">
        <v>-203.9</v>
      </c>
      <c r="BD170" s="63" t="inlineStr">
        <is>
          <t>N</t>
        </is>
      </c>
      <c r="BE170" s="63" t="inlineStr">
        <is>
          <t>n/m</t>
        </is>
      </c>
      <c r="BF170" s="74" t="n"/>
      <c r="BG170" s="74" t="n"/>
      <c r="BH170" s="74" t="n">
        <v>10.2</v>
      </c>
      <c r="BI170" s="75">
        <f>IF('BBG Verify'!S170="","not filed — run on terminal",'BBG Verify'!S170)</f>
        <v/>
      </c>
      <c r="BJ170" s="76" t="inlineStr">
        <is>
          <t>Y</t>
        </is>
      </c>
      <c r="BK170" s="63" t="inlineStr">
        <is>
          <t>688339.SS</t>
        </is>
      </c>
      <c r="BL170" s="72" t="n">
        <v>54.15</v>
      </c>
      <c r="BM170" s="66" t="n">
        <v>92.48820000000001</v>
      </c>
      <c r="BN170" s="80" t="n">
        <v>0.662</v>
      </c>
      <c r="BO170" s="68" t="n">
        <v>4936</v>
      </c>
      <c r="BP170" s="75">
        <f>IF('BBG Verify'!Q170="","run on terminal",'BBG Verify'!Q170)</f>
        <v/>
      </c>
      <c r="BQ170" s="75">
        <f>IF('BBG Verify'!R170="","run on terminal",'BBG Verify'!R170)</f>
        <v/>
      </c>
      <c r="BR170" s="76" t="inlineStr">
        <is>
          <t>Guotai Junan Capital Limited; Giraffe Capital Limited</t>
        </is>
      </c>
      <c r="BS170" s="63" t="inlineStr">
        <is>
          <t>Guotai Junan Capital Limited; Giraffe Capital Limited</t>
        </is>
      </c>
      <c r="BT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U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V170" s="78">
        <f>HYPERLINK("https://www1.hkexnews.hk/listedco/listconews/sehk/2022/1229/2022122900013.pdf","prospectus")</f>
        <v/>
      </c>
      <c r="BW170" s="78">
        <f>HYPERLINK("https://www1.hkexnews.hk/listedco/listconews/sehk/2023/0111/2023011100006.htm","allotment")</f>
        <v/>
      </c>
      <c r="BX170" s="78">
        <f>HYPERLINK("https://www1.hkexnews.hk/listedco/listconews/sehk/2023/0206/2023020600005.pdf","stabilisation")</f>
        <v/>
      </c>
      <c r="BY170" s="76" t="n"/>
      <c r="BZ170" s="63" t="inlineStr">
        <is>
          <t>P/E: n/m — loss-making at IPO (use P/S) · A/H: H listed Jan 2023 (hydrogen fuel cells); A+H on STAR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72" t="n"/>
      <c r="AC171" s="66" t="n"/>
      <c r="AD171" s="72" t="n"/>
      <c r="AE171" s="63" t="n"/>
      <c r="AF171" s="63" t="inlineStr">
        <is>
          <t>lapsed (no over-allocation)</t>
        </is>
      </c>
      <c r="AG171" s="63" t="n"/>
      <c r="AH171" s="63" t="inlineStr">
        <is>
          <t>Grand Moore Capital</t>
        </is>
      </c>
      <c r="AI171" s="63" t="inlineStr">
        <is>
          <t>Grand Moore</t>
        </is>
      </c>
      <c r="AJ171" s="73" t="n">
        <v>-17.65</v>
      </c>
      <c r="AK171" s="72" t="n">
        <v>8.82</v>
      </c>
      <c r="AL171" s="72" t="n">
        <v>-24.32</v>
      </c>
      <c r="AM171" s="72" t="n">
        <v>-29.41</v>
      </c>
      <c r="AN171" s="72" t="n">
        <v>-30.88</v>
      </c>
      <c r="AO171" s="72" t="n">
        <v>-1.47</v>
      </c>
      <c r="AP171" s="72" t="n">
        <v>-14.28</v>
      </c>
      <c r="AQ171" s="72" t="n">
        <v>-16.07</v>
      </c>
      <c r="AR171" s="72" t="n">
        <v>19.65</v>
      </c>
      <c r="AS171" s="72" t="n">
        <v>-32.28</v>
      </c>
      <c r="AT171" s="72" t="n">
        <v>-28.04</v>
      </c>
      <c r="AU171" s="72" t="n">
        <v>5.72</v>
      </c>
      <c r="AV171" s="72" t="n">
        <v>-12.04</v>
      </c>
      <c r="AW171" s="72" t="n">
        <v>-2.84</v>
      </c>
      <c r="AX171" s="72" t="n">
        <v>-4.03</v>
      </c>
      <c r="AY171" s="63" t="inlineStr">
        <is>
          <t>Hang Seng Commerce &amp; Industry sub-index</t>
        </is>
      </c>
      <c r="AZ171" s="72" t="n">
        <v>-94.90000000000001</v>
      </c>
      <c r="BA171" s="64" t="inlineStr">
        <is>
          <t>2026-08-31</t>
        </is>
      </c>
      <c r="BB171" s="65" t="n">
        <v>376.2</v>
      </c>
      <c r="BC171" s="68" t="n">
        <v>53.1</v>
      </c>
      <c r="BD171" s="63" t="inlineStr">
        <is>
          <t>Y</t>
        </is>
      </c>
      <c r="BE171" s="74" t="n">
        <v>11.3</v>
      </c>
      <c r="BF171" s="74" t="n">
        <v>6</v>
      </c>
      <c r="BG171" s="74" t="n"/>
      <c r="BH171" s="74" t="n">
        <v>1.6</v>
      </c>
      <c r="BI171" s="75">
        <f>IF('BBG Verify'!S171="","not filed — run on terminal",'BBG Verify'!S171)</f>
        <v/>
      </c>
      <c r="BJ171" s="76" t="inlineStr">
        <is>
          <t>N</t>
        </is>
      </c>
      <c r="BK171" s="77">
        <f>IF('BBG Verify'!K171="","not filed — run on terminal",'BBG Verify'!K171)</f>
        <v/>
      </c>
      <c r="BL171" s="63" t="inlineStr">
        <is>
          <t>N/A</t>
        </is>
      </c>
      <c r="BM171" s="63" t="inlineStr">
        <is>
          <t>N/A</t>
        </is>
      </c>
      <c r="BN171" s="63" t="inlineStr">
        <is>
          <t>N/A</t>
        </is>
      </c>
      <c r="BO171" s="63" t="inlineStr">
        <is>
          <t>N/A</t>
        </is>
      </c>
      <c r="BP171" s="63" t="inlineStr">
        <is>
          <t>N/A</t>
        </is>
      </c>
      <c r="BQ171" s="63" t="inlineStr">
        <is>
          <t>N/A</t>
        </is>
      </c>
      <c r="BR171" s="76" t="n"/>
      <c r="BS171" s="63" t="inlineStr">
        <is>
          <t>Grand Moore Capital Limited</t>
        </is>
      </c>
      <c r="BT171" s="63" t="inlineStr">
        <is>
          <t>Cinda International Capital Limited; China PA Securities (Hong Kong) Company Limited; Fortune (HK) Securities Limited; Guotai Junan Securities (Hong Kong) Limited; Grand Moore Capital Limited; Valuable Capital Limited</t>
        </is>
      </c>
      <c r="BU171" s="63" t="inlineStr">
        <is>
          <t>Cinda International Capital Limited; China PA Securities (Hong Kong) Company Limited; Fortune (HK) Securities Limited; Guotai Junan Securities (Hong Kong) Limited; Grand Moore Capital Limited; Valuable Capital Limited; Zhong Yang Securities Limited</t>
        </is>
      </c>
      <c r="BV171" s="78">
        <f>HYPERLINK("https://www1.hkexnews.hk/listedco/listconews/sehk/2022/1230/2022123000080.htm","prospectus")</f>
        <v/>
      </c>
      <c r="BW171" s="78">
        <f>HYPERLINK("https://www1.hkexnews.hk/listedco/listconews/sehk/2023/0112/2023011200014.htm","allotment")</f>
        <v/>
      </c>
      <c r="BX171" s="78">
        <f>HYPERLINK("https://www1.hkexnews.hk/listedco/listconews/sehk/2023/0210/2023021001132.pdf","stabilisation")</f>
        <v/>
      </c>
      <c r="BY171" s="76" t="n"/>
      <c r="BZ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72" t="n"/>
      <c r="AC172" s="66" t="n"/>
      <c r="AD172" s="72" t="n"/>
      <c r="AE172" s="63" t="n"/>
      <c r="AF172" s="63" t="inlineStr">
        <is>
          <t>partial</t>
        </is>
      </c>
      <c r="AG172" s="63" t="inlineStr">
        <is>
          <t>2023-02-08</t>
        </is>
      </c>
      <c r="AH172" s="63" t="inlineStr">
        <is>
          <t>Morgan Stanley Asia Limited</t>
        </is>
      </c>
      <c r="AI172" s="63" t="inlineStr">
        <is>
          <t>Morgan Stanley</t>
        </is>
      </c>
      <c r="AJ172" s="73" t="n">
        <v>7.14</v>
      </c>
      <c r="AK172" s="72" t="n">
        <v>16.43</v>
      </c>
      <c r="AL172" s="72" t="n">
        <v>-7.98</v>
      </c>
      <c r="AM172" s="72" t="n">
        <v>1.07</v>
      </c>
      <c r="AN172" s="72" t="n">
        <v>0.71</v>
      </c>
      <c r="AO172" s="72" t="n">
        <v>5.54</v>
      </c>
      <c r="AP172" s="72" t="n">
        <v>-5.67</v>
      </c>
      <c r="AQ172" s="72" t="n">
        <v>-6</v>
      </c>
      <c r="AR172" s="72" t="n">
        <v>-1.49</v>
      </c>
      <c r="AS172" s="72" t="n">
        <v>-3.18</v>
      </c>
      <c r="AT172" s="72" t="n">
        <v>6.37</v>
      </c>
      <c r="AU172" s="72" t="n">
        <v>15.72</v>
      </c>
      <c r="AV172" s="72" t="n">
        <v>-0.58</v>
      </c>
      <c r="AW172" s="72" t="n">
        <v>-5.66</v>
      </c>
      <c r="AX172" s="72" t="n">
        <v>-5.42</v>
      </c>
      <c r="AY172" s="63" t="inlineStr">
        <is>
          <t>Hang Seng Commerce &amp; Industry sub-index</t>
        </is>
      </c>
      <c r="AZ172" s="72" t="n">
        <v>-76.06999999999999</v>
      </c>
      <c r="BA172" s="64" t="inlineStr">
        <is>
          <t>2026-08-28</t>
        </is>
      </c>
      <c r="BB172" s="65" t="n">
        <v>11318.3</v>
      </c>
      <c r="BC172" s="68" t="n">
        <v>243.5</v>
      </c>
      <c r="BD172" s="63" t="inlineStr">
        <is>
          <t>Y</t>
        </is>
      </c>
      <c r="BE172" s="74" t="n">
        <v>36.5</v>
      </c>
      <c r="BF172" s="74" t="n"/>
      <c r="BG172" s="74" t="n"/>
      <c r="BH172" s="74" t="n">
        <v>0.8</v>
      </c>
      <c r="BI172" s="75">
        <f>IF('BBG Verify'!S172="","not filed — run on terminal",'BBG Verify'!S172)</f>
        <v/>
      </c>
      <c r="BJ172" s="76" t="inlineStr">
        <is>
          <t>N</t>
        </is>
      </c>
      <c r="BK172" s="77">
        <f>IF('BBG Verify'!K172="","not filed — run on terminal",'BBG Verify'!K172)</f>
        <v/>
      </c>
      <c r="BL172" s="63" t="inlineStr">
        <is>
          <t>N/A</t>
        </is>
      </c>
      <c r="BM172" s="63" t="inlineStr">
        <is>
          <t>N/A</t>
        </is>
      </c>
      <c r="BN172" s="63" t="inlineStr">
        <is>
          <t>N/A</t>
        </is>
      </c>
      <c r="BO172" s="63" t="inlineStr">
        <is>
          <t>N/A</t>
        </is>
      </c>
      <c r="BP172" s="63" t="inlineStr">
        <is>
          <t>N/A</t>
        </is>
      </c>
      <c r="BQ172" s="63" t="inlineStr">
        <is>
          <t>N/A</t>
        </is>
      </c>
      <c r="BR172" s="76" t="n"/>
      <c r="BS172" s="63" t="inlineStr">
        <is>
          <t>Morgan Stanley Asia Limited</t>
        </is>
      </c>
      <c r="BT172" s="63" t="inlineStr">
        <is>
          <t>CMB International Capital Limited; First Shanghai Securities Limited; Fosun Hani Securities Limited; Futu Securities International (Hong Kong) Limited; Morgan Stanley Asia Limited; Tiger Brokers (HK) Global Limited</t>
        </is>
      </c>
      <c r="BU172" s="63" t="inlineStr">
        <is>
          <t>CMB International Capital Limited; First Shanghai Securities Limited; Fosun Hani Securities Limited; Futu Securities International (Hong Kong) Limited; Morgan Stanley Asia Limited; Tiger Brokers (HK) Global Limited</t>
        </is>
      </c>
      <c r="BV172" s="78">
        <f>HYPERLINK("https://www1.hkexnews.hk/listedco/listconews/sehk/2022/1229/2022122900158.htm","prospectus")</f>
        <v/>
      </c>
      <c r="BW172" s="78">
        <f>HYPERLINK("https://www1.hkexnews.hk/listedco/listconews/sehk/2023/0113/2023011300018.htm","allotment")</f>
        <v/>
      </c>
      <c r="BX172" s="78">
        <f>HYPERLINK("https://www1.hkexnews.hk/listedco/listconews/sehk/2023/0208/2023020800810.pdf","stabilisation")</f>
        <v/>
      </c>
      <c r="BY172" s="76" t="n"/>
      <c r="BZ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72" t="n"/>
      <c r="AC173" s="66" t="n"/>
      <c r="AD173" s="72" t="n"/>
      <c r="AE173" s="63" t="n"/>
      <c r="AF173" s="63" t="inlineStr">
        <is>
          <t>full</t>
        </is>
      </c>
      <c r="AG173" s="63" t="inlineStr">
        <is>
          <t>2023-02-05</t>
        </is>
      </c>
      <c r="AH173" s="63" t="inlineStr">
        <is>
          <t>Morgan Stanley Asia Limited</t>
        </is>
      </c>
      <c r="AI173" s="63" t="inlineStr">
        <is>
          <t>Morgan Stanley</t>
        </is>
      </c>
      <c r="AJ173" s="73" t="n">
        <v>53.47</v>
      </c>
      <c r="AK173" s="72" t="n">
        <v>57.87</v>
      </c>
      <c r="AL173" s="72" t="n">
        <v>-2.79</v>
      </c>
      <c r="AM173" s="72" t="n">
        <v>56.31</v>
      </c>
      <c r="AN173" s="72" t="n">
        <v>45.96</v>
      </c>
      <c r="AO173" s="72" t="n">
        <v>58.64</v>
      </c>
      <c r="AP173" s="72" t="n">
        <v>1.85</v>
      </c>
      <c r="AQ173" s="72" t="n">
        <v>-4.89</v>
      </c>
      <c r="AR173" s="72" t="n">
        <v>3.37</v>
      </c>
      <c r="AS173" s="72" t="n">
        <v>52.06</v>
      </c>
      <c r="AT173" s="72" t="n">
        <v>51.62</v>
      </c>
      <c r="AU173" s="72" t="n">
        <v>68.81999999999999</v>
      </c>
      <c r="AV173" s="72" t="n">
        <v>0.53</v>
      </c>
      <c r="AW173" s="72" t="n">
        <v>-5.66</v>
      </c>
      <c r="AX173" s="72" t="n">
        <v>-5.42</v>
      </c>
      <c r="AY173" s="63" t="inlineStr">
        <is>
          <t>Hang Seng Commerce &amp; Industry sub-index</t>
        </is>
      </c>
      <c r="AZ173" s="72" t="n">
        <v>0.88</v>
      </c>
      <c r="BA173" s="64" t="inlineStr">
        <is>
          <t>2026-08-28</t>
        </is>
      </c>
      <c r="BB173" s="65" t="n">
        <v>1958.8</v>
      </c>
      <c r="BC173" s="68" t="n">
        <v>229.2</v>
      </c>
      <c r="BD173" s="63" t="inlineStr">
        <is>
          <t>Y</t>
        </is>
      </c>
      <c r="BE173" s="74" t="n">
        <v>19.4</v>
      </c>
      <c r="BF173" s="74" t="n"/>
      <c r="BG173" s="74" t="n">
        <v>11.9</v>
      </c>
      <c r="BH173" s="74" t="n">
        <v>2.3</v>
      </c>
      <c r="BI173" s="75">
        <f>IF('BBG Verify'!S173="","not filed — run on terminal",'BBG Verify'!S173)</f>
        <v/>
      </c>
      <c r="BJ173" s="76" t="inlineStr">
        <is>
          <t>N</t>
        </is>
      </c>
      <c r="BK173" s="77">
        <f>IF('BBG Verify'!K173="","not filed — run on terminal",'BBG Verify'!K173)</f>
        <v/>
      </c>
      <c r="BL173" s="63" t="inlineStr">
        <is>
          <t>N/A</t>
        </is>
      </c>
      <c r="BM173" s="63" t="inlineStr">
        <is>
          <t>N/A</t>
        </is>
      </c>
      <c r="BN173" s="63" t="inlineStr">
        <is>
          <t>N/A</t>
        </is>
      </c>
      <c r="BO173" s="63" t="inlineStr">
        <is>
          <t>N/A</t>
        </is>
      </c>
      <c r="BP173" s="63" t="inlineStr">
        <is>
          <t>N/A</t>
        </is>
      </c>
      <c r="BQ173" s="63" t="inlineStr">
        <is>
          <t>N/A</t>
        </is>
      </c>
      <c r="BR173" s="76" t="inlineStr">
        <is>
          <t>Morgan Stanley Asia Limited; Haitong International Capital Limited; Huatai Financial Holdings (Hong Kong) Limited</t>
        </is>
      </c>
      <c r="BS173" s="63" t="inlineStr">
        <is>
          <t>Morgan Stanley Asia Limited; Haitong International Capital Limited; Huatai Financial Holdings (Hong Kong) Limited</t>
        </is>
      </c>
      <c r="BT173" s="63" t="inlineStr">
        <is>
          <t>Morgan Stanley Asia Limited; Haitong International Securities Company Limited; Huatai Financial Holdings (Hong Kong) Limited; CLSA Limited; ICBC International Capital Limited</t>
        </is>
      </c>
      <c r="BU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V173" s="78">
        <f>HYPERLINK("https://www1.hkexnews.hk/listedco/listconews/sehk/2022/1230/2022123000067.pdf","prospectus")</f>
        <v/>
      </c>
      <c r="BW173" s="78">
        <f>HYPERLINK("https://www1.hkexnews.hk/listedco/listconews/sehk/2023/0113/2023011300032.htm","allotment")</f>
        <v/>
      </c>
      <c r="BX173" s="78">
        <f>HYPERLINK("https://www1.hkexnews.hk/listedco/listconews/sehk/2023/0205/2023020500007.pdf","stabilisation")</f>
        <v/>
      </c>
      <c r="BY173" s="76" t="n"/>
      <c r="BZ173"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72" t="n"/>
      <c r="AC174" s="66" t="n"/>
      <c r="AD174" s="72" t="n"/>
      <c r="AE174" s="63" t="n"/>
      <c r="AF174" s="63" t="n"/>
      <c r="AG174" s="63" t="n"/>
      <c r="AH174" s="63" t="n"/>
      <c r="AI174" s="63" t="n"/>
      <c r="AJ174" s="73" t="n">
        <v>-11.54</v>
      </c>
      <c r="AK174" s="72" t="n">
        <v>-23.08</v>
      </c>
      <c r="AL174" s="72" t="n">
        <v>15</v>
      </c>
      <c r="AM174" s="72" t="n">
        <v>-20.92</v>
      </c>
      <c r="AN174" s="72" t="n">
        <v>4.46</v>
      </c>
      <c r="AO174" s="72" t="n">
        <v>-20.31</v>
      </c>
      <c r="AP174" s="72" t="n">
        <v>-10.6</v>
      </c>
      <c r="AQ174" s="72" t="n">
        <v>18.09</v>
      </c>
      <c r="AR174" s="72" t="n">
        <v>-9.91</v>
      </c>
      <c r="AS174" s="72" t="n">
        <v>-25.11</v>
      </c>
      <c r="AT174" s="72" t="n">
        <v>10.92</v>
      </c>
      <c r="AU174" s="72" t="n">
        <v>-7.35</v>
      </c>
      <c r="AV174" s="72" t="n">
        <v>23.33</v>
      </c>
      <c r="AW174" s="72" t="n">
        <v>-6.46</v>
      </c>
      <c r="AX174" s="72" t="n">
        <v>-5.24</v>
      </c>
      <c r="AY174" s="63" t="inlineStr">
        <is>
          <t>HSTECH (Hang Seng TECH ETF)</t>
        </is>
      </c>
      <c r="AZ174" s="72" t="n">
        <v>-7.69</v>
      </c>
      <c r="BA174" s="64" t="inlineStr">
        <is>
          <t>2026-08-28</t>
        </is>
      </c>
      <c r="BB174" s="65" t="n">
        <v>505.8</v>
      </c>
      <c r="BC174" s="68" t="n">
        <v>-1</v>
      </c>
      <c r="BD174" s="63" t="inlineStr">
        <is>
          <t>N</t>
        </is>
      </c>
      <c r="BE174" s="63" t="inlineStr">
        <is>
          <t>n/m</t>
        </is>
      </c>
      <c r="BF174" s="74" t="n"/>
      <c r="BG174" s="74" t="n">
        <v>7.8</v>
      </c>
      <c r="BH174" s="74" t="n">
        <v>1.9</v>
      </c>
      <c r="BI174" s="75">
        <f>IF('BBG Verify'!S174="","not filed — run on terminal",'BBG Verify'!S174)</f>
        <v/>
      </c>
      <c r="BJ174" s="76" t="inlineStr">
        <is>
          <t>N</t>
        </is>
      </c>
      <c r="BK174" s="77">
        <f>IF('BBG Verify'!K174="","not filed — run on terminal",'BBG Verify'!K174)</f>
        <v/>
      </c>
      <c r="BL174" s="63" t="inlineStr">
        <is>
          <t>N/A</t>
        </is>
      </c>
      <c r="BM174" s="63" t="inlineStr">
        <is>
          <t>N/A</t>
        </is>
      </c>
      <c r="BN174" s="63" t="inlineStr">
        <is>
          <t>N/A</t>
        </is>
      </c>
      <c r="BO174" s="63" t="inlineStr">
        <is>
          <t>N/A</t>
        </is>
      </c>
      <c r="BP174" s="63" t="inlineStr">
        <is>
          <t>N/A</t>
        </is>
      </c>
      <c r="BQ174" s="63" t="inlineStr">
        <is>
          <t>N/A</t>
        </is>
      </c>
      <c r="BR174" s="76" t="inlineStr">
        <is>
          <t>UOB Kay Hian (Hong Kong) Limited</t>
        </is>
      </c>
      <c r="BS174" s="63" t="inlineStr">
        <is>
          <t>UOB Kay Hian (Hong Kong) Limited</t>
        </is>
      </c>
      <c r="BT174" s="63" t="inlineStr">
        <is>
          <t>UOB Kay Hian (Hong Kong) Limited</t>
        </is>
      </c>
      <c r="BU174" s="63" t="inlineStr">
        <is>
          <t>Futu Securities International (Hong Kong) Limited; Haitong International Securities Company Limited; Maxa Capital Limited; Tiger Brokers (HK) Global Limited; UOB Kay Hian (Hong Kong) Limited</t>
        </is>
      </c>
      <c r="BV174" s="78">
        <f>HYPERLINK("https://www1.hkexnews.hk/listedco/listconews/sehk/2022/1230/2022123000207.pdf","prospectus")</f>
        <v/>
      </c>
      <c r="BW174" s="78">
        <f>HYPERLINK("https://www1.hkexnews.hk/listedco/listconews/sehk/2023/0113/2023011300078.htm","allotment")</f>
        <v/>
      </c>
      <c r="BX174" s="63" t="n"/>
      <c r="BY174" s="76" t="n"/>
      <c r="BZ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72" t="n"/>
      <c r="AC175" s="66" t="n"/>
      <c r="AD175" s="72" t="n"/>
      <c r="AE175" s="63" t="n"/>
      <c r="AF175" s="63" t="inlineStr">
        <is>
          <t>lapsed (no over-allocation)</t>
        </is>
      </c>
      <c r="AG175" s="63" t="n"/>
      <c r="AH175" s="63" t="inlineStr">
        <is>
          <t>Yue Xiu Securities Company Limited</t>
        </is>
      </c>
      <c r="AI175" s="63" t="inlineStr">
        <is>
          <t>Yue Xiu</t>
        </is>
      </c>
      <c r="AJ175" s="73" t="n">
        <v>11.25</v>
      </c>
      <c r="AK175" s="72" t="n">
        <v>5</v>
      </c>
      <c r="AL175" s="72" t="n">
        <v>5.95</v>
      </c>
      <c r="AM175" s="72" t="n">
        <v>3.12</v>
      </c>
      <c r="AN175" s="72" t="n">
        <v>51.25</v>
      </c>
      <c r="AO175" s="72" t="n">
        <v>10</v>
      </c>
      <c r="AP175" s="72" t="n">
        <v>-7.31</v>
      </c>
      <c r="AQ175" s="72" t="n">
        <v>35.96</v>
      </c>
      <c r="AR175" s="72" t="n">
        <v>-1.12</v>
      </c>
      <c r="AS175" s="72" t="n">
        <v>-2.34</v>
      </c>
      <c r="AT175" s="72" t="n">
        <v>55.97</v>
      </c>
      <c r="AU175" s="72" t="n">
        <v>20.52</v>
      </c>
      <c r="AV175" s="72" t="n">
        <v>40.1</v>
      </c>
      <c r="AW175" s="72" t="n">
        <v>-4.72</v>
      </c>
      <c r="AX175" s="72" t="n">
        <v>-4.14</v>
      </c>
      <c r="AY175" s="63" t="inlineStr">
        <is>
          <t>Hang Seng Commerce &amp; Industry sub-index</t>
        </is>
      </c>
      <c r="AZ175" s="72" t="n">
        <v>-95.53</v>
      </c>
      <c r="BA175" s="64" t="inlineStr">
        <is>
          <t>2026-08-31</t>
        </is>
      </c>
      <c r="BB175" s="65" t="n">
        <v>846.6</v>
      </c>
      <c r="BC175" s="68" t="n">
        <v>32.7</v>
      </c>
      <c r="BD175" s="63" t="inlineStr">
        <is>
          <t>Y</t>
        </is>
      </c>
      <c r="BE175" s="74" t="n">
        <v>54.4</v>
      </c>
      <c r="BF175" s="74" t="n"/>
      <c r="BG175" s="74" t="n"/>
      <c r="BH175" s="74" t="n">
        <v>2.1</v>
      </c>
      <c r="BI175" s="75">
        <f>IF('BBG Verify'!S175="","not filed — run on terminal",'BBG Verify'!S175)</f>
        <v/>
      </c>
      <c r="BJ175" s="76" t="inlineStr">
        <is>
          <t>N</t>
        </is>
      </c>
      <c r="BK175" s="77">
        <f>IF('BBG Verify'!K175="","not filed — run on terminal",'BBG Verify'!K175)</f>
        <v/>
      </c>
      <c r="BL175" s="63" t="inlineStr">
        <is>
          <t>N/A</t>
        </is>
      </c>
      <c r="BM175" s="63" t="inlineStr">
        <is>
          <t>N/A</t>
        </is>
      </c>
      <c r="BN175" s="63" t="inlineStr">
        <is>
          <t>N/A</t>
        </is>
      </c>
      <c r="BO175" s="63" t="inlineStr">
        <is>
          <t>N/A</t>
        </is>
      </c>
      <c r="BP175" s="63" t="inlineStr">
        <is>
          <t>N/A</t>
        </is>
      </c>
      <c r="BQ175" s="63" t="inlineStr">
        <is>
          <t>N/A</t>
        </is>
      </c>
      <c r="BR175" s="76" t="inlineStr">
        <is>
          <t>Southwest Securities (HK) Capital Limited</t>
        </is>
      </c>
      <c r="BS175" s="63" t="inlineStr">
        <is>
          <t>Southwest Securities (HK) Capital Limited</t>
        </is>
      </c>
      <c r="BT175" s="63" t="inlineStr">
        <is>
          <t>Southwest Securities (HK) Brokerage Limited; Yue Xiu Securities Company Limited; First Capital Securities Limited; Sheng Yuan Securities Limited; BOCI Asia Limited; ABCI Capital Limited; JMC Capital International Limited; Valuable Capital Limited</t>
        </is>
      </c>
      <c r="BU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V175" s="78">
        <f>HYPERLINK("https://www1.hkexnews.hk/listedco/listconews/sehk/2022/1230/2022123000059.pdf","prospectus")</f>
        <v/>
      </c>
      <c r="BW175" s="78">
        <f>HYPERLINK("https://www1.hkexnews.hk/listedco/listconews/sehk/2023/0116/2023011600008.htm","allotment")</f>
        <v/>
      </c>
      <c r="BX175" s="78">
        <f>HYPERLINK("https://www1.hkexnews.hk/listedco/listconews/sehk/2023/0209/2023020900283.pdf","stabilisation")</f>
        <v/>
      </c>
      <c r="BY175" s="76" t="n"/>
      <c r="BZ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72" t="n"/>
      <c r="AC176" s="66" t="n"/>
      <c r="AD176" s="72" t="n"/>
      <c r="AE176" s="63" t="n"/>
      <c r="AF176" s="63" t="inlineStr">
        <is>
          <t>lapsed (no over-allocation)</t>
        </is>
      </c>
      <c r="AG176" s="63" t="n"/>
      <c r="AH176" s="63" t="inlineStr">
        <is>
          <t>Zhongtai International Securities Limited</t>
        </is>
      </c>
      <c r="AI176" s="63" t="inlineStr">
        <is>
          <t>Zhongtai</t>
        </is>
      </c>
      <c r="AJ176" s="73" t="n">
        <v>-25.88</v>
      </c>
      <c r="AK176" s="72" t="n">
        <v>-18.82</v>
      </c>
      <c r="AL176" s="72" t="n">
        <v>-8.699999999999999</v>
      </c>
      <c r="AM176" s="72" t="n">
        <v>-23.53</v>
      </c>
      <c r="AN176" s="72" t="n">
        <v>-25.88</v>
      </c>
      <c r="AO176" s="72" t="n">
        <v>-20</v>
      </c>
      <c r="AP176" s="72" t="n">
        <v>3.17</v>
      </c>
      <c r="AQ176" s="72" t="n">
        <v>0</v>
      </c>
      <c r="AR176" s="72" t="n">
        <v>7.93</v>
      </c>
      <c r="AS176" s="72" t="n">
        <v>-28.37</v>
      </c>
      <c r="AT176" s="72" t="n">
        <v>-21.46</v>
      </c>
      <c r="AU176" s="72" t="n">
        <v>-10.74</v>
      </c>
      <c r="AV176" s="72" t="n">
        <v>4.13</v>
      </c>
      <c r="AW176" s="72" t="n">
        <v>-4.42</v>
      </c>
      <c r="AX176" s="72" t="n">
        <v>-4.13</v>
      </c>
      <c r="AY176" s="63" t="inlineStr">
        <is>
          <t>Hang Seng Properties sub-index</t>
        </is>
      </c>
      <c r="AZ176" s="72" t="n">
        <v>-61.47</v>
      </c>
      <c r="BA176" s="64" t="inlineStr">
        <is>
          <t>2026-08-28</t>
        </is>
      </c>
      <c r="BB176" s="65" t="n">
        <v>661.4</v>
      </c>
      <c r="BC176" s="68" t="n">
        <v>44.2</v>
      </c>
      <c r="BD176" s="63" t="inlineStr">
        <is>
          <t>Y</t>
        </is>
      </c>
      <c r="BE176" s="74" t="n">
        <v>11.5</v>
      </c>
      <c r="BF176" s="74" t="n"/>
      <c r="BG176" s="74" t="n">
        <v>3.8</v>
      </c>
      <c r="BH176" s="74" t="n">
        <v>0.8</v>
      </c>
      <c r="BI176" s="75">
        <f>IF('BBG Verify'!S176="","not filed — run on terminal",'BBG Verify'!S176)</f>
        <v/>
      </c>
      <c r="BJ176" s="76" t="inlineStr">
        <is>
          <t>N</t>
        </is>
      </c>
      <c r="BK176" s="77">
        <f>IF('BBG Verify'!K176="","not filed — run on terminal",'BBG Verify'!K176)</f>
        <v/>
      </c>
      <c r="BL176" s="63" t="inlineStr">
        <is>
          <t>N/A</t>
        </is>
      </c>
      <c r="BM176" s="63" t="inlineStr">
        <is>
          <t>N/A</t>
        </is>
      </c>
      <c r="BN176" s="63" t="inlineStr">
        <is>
          <t>N/A</t>
        </is>
      </c>
      <c r="BO176" s="63" t="inlineStr">
        <is>
          <t>N/A</t>
        </is>
      </c>
      <c r="BP176" s="63" t="inlineStr">
        <is>
          <t>N/A</t>
        </is>
      </c>
      <c r="BQ176" s="63" t="inlineStr">
        <is>
          <t>N/A</t>
        </is>
      </c>
      <c r="BR176" s="76" t="inlineStr">
        <is>
          <t>Zhongtai International Capital Limited; OC Zhongtai International Securities Limited</t>
        </is>
      </c>
      <c r="BS176" s="63" t="inlineStr">
        <is>
          <t>Zhongtai International Capital Limited</t>
        </is>
      </c>
      <c r="BT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U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V176" s="78">
        <f>HYPERLINK("https://www1.hkexnews.hk/listedco/listconews/sehk/2022/1230/2022123000035.pdf","prospectus")</f>
        <v/>
      </c>
      <c r="BW176" s="78">
        <f>HYPERLINK("https://www1.hkexnews.hk/listedco/listconews/sehk/2023/0116/2023011600024.htm","allotment")</f>
        <v/>
      </c>
      <c r="BX176" s="78">
        <f>HYPERLINK("https://www1.hkexnews.hk/listedco/listconews/sehk/2023/0208/2023020800031.pdf","stabilisation")</f>
        <v/>
      </c>
      <c r="BY176" s="76" t="n"/>
      <c r="BZ176"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72" t="n"/>
      <c r="AC177" s="66" t="n"/>
      <c r="AD177" s="72" t="n"/>
      <c r="AE177" s="63" t="n"/>
      <c r="AF177" s="63" t="inlineStr">
        <is>
          <t>partial</t>
        </is>
      </c>
      <c r="AG177" s="63" t="n"/>
      <c r="AH177" s="63" t="inlineStr">
        <is>
          <t>China Securities</t>
        </is>
      </c>
      <c r="AI177" s="63" t="inlineStr">
        <is>
          <t>China Securities</t>
        </is>
      </c>
      <c r="AJ177" s="73" t="n">
        <v>47.79</v>
      </c>
      <c r="AK177" s="72" t="n">
        <v>37.25</v>
      </c>
      <c r="AL177" s="72" t="n">
        <v>7.68</v>
      </c>
      <c r="AM177" s="72" t="n">
        <v>17.16</v>
      </c>
      <c r="AN177" s="72" t="n">
        <v>6.86</v>
      </c>
      <c r="AO177" s="72" t="n">
        <v>-1.23</v>
      </c>
      <c r="AP177" s="72" t="n">
        <v>-20.73</v>
      </c>
      <c r="AQ177" s="72" t="n">
        <v>-27.69</v>
      </c>
      <c r="AR177" s="72" t="n">
        <v>-33.17</v>
      </c>
      <c r="AS177" s="72" t="n">
        <v>16.4</v>
      </c>
      <c r="AT177" s="72" t="n">
        <v>12.65</v>
      </c>
      <c r="AU177" s="72" t="n">
        <v>7.63</v>
      </c>
      <c r="AV177" s="72" t="n">
        <v>-22.01</v>
      </c>
      <c r="AW177" s="72" t="n">
        <v>-5.79</v>
      </c>
      <c r="AX177" s="72" t="n">
        <v>-5.68</v>
      </c>
      <c r="AY177" s="63" t="inlineStr">
        <is>
          <t>Hang Seng Index</t>
        </is>
      </c>
      <c r="AZ177" s="72" t="n">
        <v>-52.45</v>
      </c>
      <c r="BA177" s="64" t="inlineStr">
        <is>
          <t>2026-08-28</t>
        </is>
      </c>
      <c r="BB177" s="65" t="n">
        <v>1419.5</v>
      </c>
      <c r="BC177" s="68" t="n">
        <v>368.9</v>
      </c>
      <c r="BD177" s="63" t="inlineStr">
        <is>
          <t>Y</t>
        </is>
      </c>
      <c r="BE177" s="74" t="n">
        <v>11.4</v>
      </c>
      <c r="BF177" s="74" t="n"/>
      <c r="BG177" s="74" t="n">
        <v>22.1</v>
      </c>
      <c r="BH177" s="74" t="n">
        <v>3</v>
      </c>
      <c r="BI177" s="75">
        <f>IF('BBG Verify'!S177="","not filed — run on terminal",'BBG Verify'!S177)</f>
        <v/>
      </c>
      <c r="BJ177" s="76" t="inlineStr">
        <is>
          <t>N</t>
        </is>
      </c>
      <c r="BK177" s="77">
        <f>IF('BBG Verify'!K177="","not filed — run on terminal",'BBG Verify'!K177)</f>
        <v/>
      </c>
      <c r="BL177" s="63" t="inlineStr">
        <is>
          <t>N/A</t>
        </is>
      </c>
      <c r="BM177" s="63" t="inlineStr">
        <is>
          <t>N/A</t>
        </is>
      </c>
      <c r="BN177" s="63" t="inlineStr">
        <is>
          <t>N/A</t>
        </is>
      </c>
      <c r="BO177" s="63" t="inlineStr">
        <is>
          <t>N/A</t>
        </is>
      </c>
      <c r="BP177" s="63" t="inlineStr">
        <is>
          <t>N/A</t>
        </is>
      </c>
      <c r="BQ177" s="63" t="inlineStr">
        <is>
          <t>N/A</t>
        </is>
      </c>
      <c r="BR177" s="76" t="inlineStr">
        <is>
          <t>China Merchants Securities (HK) Co., Limited</t>
        </is>
      </c>
      <c r="BS177" s="63" t="inlineStr">
        <is>
          <t>China Securities (International) Corporate Finance Company Limited; China Merchants Securities (HK) Company Limited</t>
        </is>
      </c>
      <c r="BT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U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V177" s="78">
        <f>HYPERLINK("https://www1.hkexnews.hk/listedco/listconews/sehk/2022/1230/2022123000047.pdf","prospectus")</f>
        <v/>
      </c>
      <c r="BW177" s="78">
        <f>HYPERLINK("https://www1.hkexnews.hk/listedco/listconews/sehk/2023/0118/2023011800042.htm","allotment")</f>
        <v/>
      </c>
      <c r="BX177" s="78">
        <f>HYPERLINK("https://www1.hkexnews.hk/listedco/listconews/sehk/2023/0212/2023021200017.pdf","stabilisation")</f>
        <v/>
      </c>
      <c r="BY177" s="76" t="n"/>
      <c r="BZ177" s="63" t="inlineStr">
        <is>
          <t>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72" t="n"/>
      <c r="AC178" s="66" t="n"/>
      <c r="AD178" s="72" t="n"/>
      <c r="AE178" s="63" t="n"/>
      <c r="AF178" s="63" t="inlineStr">
        <is>
          <t>lapsed (no over-allocation)</t>
        </is>
      </c>
      <c r="AG178" s="63" t="inlineStr">
        <is>
          <t>2023-02-12</t>
        </is>
      </c>
      <c r="AH178" s="63" t="inlineStr">
        <is>
          <t>China Everbright Securities</t>
        </is>
      </c>
      <c r="AI178" s="63" t="inlineStr">
        <is>
          <t>China Everbright</t>
        </is>
      </c>
      <c r="AJ178" s="73" t="n">
        <v>-44.5</v>
      </c>
      <c r="AK178" s="72" t="n">
        <v>-36.65</v>
      </c>
      <c r="AL178" s="72" t="n">
        <v>-12.39</v>
      </c>
      <c r="AM178" s="72" t="n">
        <v>-47.64</v>
      </c>
      <c r="AN178" s="72" t="n">
        <v>-57.59</v>
      </c>
      <c r="AO178" s="72" t="n">
        <v>-63.87</v>
      </c>
      <c r="AP178" s="72" t="n">
        <v>-5.66</v>
      </c>
      <c r="AQ178" s="72" t="n">
        <v>-23.59</v>
      </c>
      <c r="AR178" s="72" t="n">
        <v>-34.9</v>
      </c>
      <c r="AS178" s="72" t="n">
        <v>-50.94</v>
      </c>
      <c r="AT178" s="72" t="n">
        <v>-49.69</v>
      </c>
      <c r="AU178" s="72" t="n">
        <v>-52.12</v>
      </c>
      <c r="AV178" s="72" t="n">
        <v>-13.47</v>
      </c>
      <c r="AW178" s="72" t="n">
        <v>-7.9</v>
      </c>
      <c r="AX178" s="72" t="n">
        <v>-10.12</v>
      </c>
      <c r="AY178" s="63" t="inlineStr">
        <is>
          <t>Hang Seng Commerce &amp; Industry sub-index</t>
        </is>
      </c>
      <c r="AZ178" s="72" t="n">
        <v>596.86</v>
      </c>
      <c r="BA178" s="64" t="inlineStr">
        <is>
          <t>2026-08-28</t>
        </is>
      </c>
      <c r="BB178" s="65" t="n">
        <v>407.4</v>
      </c>
      <c r="BC178" s="68" t="n">
        <v>108.8</v>
      </c>
      <c r="BD178" s="63" t="inlineStr">
        <is>
          <t>Y</t>
        </is>
      </c>
      <c r="BE178" s="74" t="n">
        <v>4.6</v>
      </c>
      <c r="BF178" s="74" t="n"/>
      <c r="BG178" s="74" t="n"/>
      <c r="BH178" s="74" t="n">
        <v>1.2</v>
      </c>
      <c r="BI178" s="75">
        <f>IF('BBG Verify'!S178="","not filed — run on terminal",'BBG Verify'!S178)</f>
        <v/>
      </c>
      <c r="BJ178" s="76" t="inlineStr">
        <is>
          <t>N</t>
        </is>
      </c>
      <c r="BK178" s="77">
        <f>IF('BBG Verify'!K178="","not filed — run on terminal",'BBG Verify'!K178)</f>
        <v/>
      </c>
      <c r="BL178" s="63" t="inlineStr">
        <is>
          <t>N/A</t>
        </is>
      </c>
      <c r="BM178" s="63" t="inlineStr">
        <is>
          <t>N/A</t>
        </is>
      </c>
      <c r="BN178" s="63" t="inlineStr">
        <is>
          <t>N/A</t>
        </is>
      </c>
      <c r="BO178" s="63" t="inlineStr">
        <is>
          <t>N/A</t>
        </is>
      </c>
      <c r="BP178" s="63" t="inlineStr">
        <is>
          <t>N/A</t>
        </is>
      </c>
      <c r="BQ178" s="63" t="inlineStr">
        <is>
          <t>N/A</t>
        </is>
      </c>
      <c r="BR178" s="76" t="inlineStr">
        <is>
          <t>China Everbright Capital Limited</t>
        </is>
      </c>
      <c r="BS178" s="63" t="inlineStr">
        <is>
          <t>China Everbright Capital Limited</t>
        </is>
      </c>
      <c r="BT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U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V178" s="78">
        <f>HYPERLINK("https://www1.hkexnews.hk/listedco/listconews/sehk/2022/1230/2022123000043.pdf","prospectus")</f>
        <v/>
      </c>
      <c r="BW178" s="78">
        <f>HYPERLINK("https://www1.hkexnews.hk/listedco/listconews/sehk/2023/0119/2023011900018.htm","allotment")</f>
        <v/>
      </c>
      <c r="BX178" s="78">
        <f>HYPERLINK("https://www1.hkexnews.hk/listedco/listconews/sehk/2023/0212/2023021200031.pdf","stabilisation")</f>
        <v/>
      </c>
      <c r="BY178" s="76" t="n"/>
      <c r="BZ178"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72" t="n"/>
      <c r="AC179" s="66" t="n"/>
      <c r="AD179" s="72" t="n"/>
      <c r="AE179" s="63" t="n"/>
      <c r="AF179" s="63" t="inlineStr">
        <is>
          <t>lapsed (no over-allocation)</t>
        </is>
      </c>
      <c r="AG179" s="63" t="n"/>
      <c r="AH179" s="63" t="inlineStr">
        <is>
          <t>Haitong International Securities Company Limited</t>
        </is>
      </c>
      <c r="AI179" s="63" t="inlineStr">
        <is>
          <t>Haitong</t>
        </is>
      </c>
      <c r="AJ179" s="73" t="n">
        <v>-2.07</v>
      </c>
      <c r="AK179" s="72" t="n">
        <v>-3.1</v>
      </c>
      <c r="AL179" s="72" t="n">
        <v>1.06</v>
      </c>
      <c r="AM179" s="72" t="n">
        <v>-1.38</v>
      </c>
      <c r="AN179" s="72" t="n">
        <v>-4.48</v>
      </c>
      <c r="AO179" s="72" t="n">
        <v>-6.9</v>
      </c>
      <c r="AP179" s="72" t="n">
        <v>0.7</v>
      </c>
      <c r="AQ179" s="72" t="n">
        <v>-2.46</v>
      </c>
      <c r="AR179" s="72" t="n">
        <v>-4.93</v>
      </c>
      <c r="AS179" s="72" t="n">
        <v>2.92</v>
      </c>
      <c r="AT179" s="72" t="n">
        <v>-6.85</v>
      </c>
      <c r="AU179" s="72" t="n">
        <v>-3.69</v>
      </c>
      <c r="AV179" s="72" t="n">
        <v>-5.71</v>
      </c>
      <c r="AW179" s="72" t="n">
        <v>2.37</v>
      </c>
      <c r="AX179" s="72" t="n">
        <v>3.25</v>
      </c>
      <c r="AY179" s="63" t="inlineStr">
        <is>
          <t>Hang Seng Commerce &amp; Industry sub-index</t>
        </is>
      </c>
      <c r="AZ179" s="72" t="n">
        <v>-88.97</v>
      </c>
      <c r="BA179" s="64" t="inlineStr">
        <is>
          <t>2026-08-28</t>
        </is>
      </c>
      <c r="BB179" s="65" t="n">
        <v>6927</v>
      </c>
      <c r="BC179" s="68" t="n"/>
      <c r="BD179" s="63" t="inlineStr">
        <is>
          <t>Y</t>
        </is>
      </c>
      <c r="BE179" s="75">
        <f>IF('BBG Verify'!O179="","not filed — run on terminal",'BBG Verify'!O179)</f>
        <v/>
      </c>
      <c r="BF179" s="74" t="n"/>
      <c r="BG179" s="74" t="n">
        <v>8.4</v>
      </c>
      <c r="BH179" s="74" t="n">
        <v>0.7</v>
      </c>
      <c r="BI179" s="75">
        <f>IF('BBG Verify'!S179="","not filed — run on terminal",'BBG Verify'!S179)</f>
        <v/>
      </c>
      <c r="BJ179" s="76" t="inlineStr">
        <is>
          <t>N</t>
        </is>
      </c>
      <c r="BK179" s="77">
        <f>IF('BBG Verify'!K179="","not filed — run on terminal",'BBG Verify'!K179)</f>
        <v/>
      </c>
      <c r="BL179" s="63" t="inlineStr">
        <is>
          <t>N/A</t>
        </is>
      </c>
      <c r="BM179" s="63" t="inlineStr">
        <is>
          <t>N/A</t>
        </is>
      </c>
      <c r="BN179" s="63" t="inlineStr">
        <is>
          <t>N/A</t>
        </is>
      </c>
      <c r="BO179" s="63" t="inlineStr">
        <is>
          <t>N/A</t>
        </is>
      </c>
      <c r="BP179" s="63" t="inlineStr">
        <is>
          <t>N/A</t>
        </is>
      </c>
      <c r="BQ179" s="63" t="inlineStr">
        <is>
          <t>N/A</t>
        </is>
      </c>
      <c r="BR179" s="76" t="inlineStr">
        <is>
          <t>Haitong International Capital Limited; Haitong International Securities Company Limited</t>
        </is>
      </c>
      <c r="BS179" s="63" t="inlineStr">
        <is>
          <t>Haitong International Capital Limited</t>
        </is>
      </c>
      <c r="BT179" s="63" t="inlineStr">
        <is>
          <t>Haitong International Securities Company Limited; CLSA Limited</t>
        </is>
      </c>
      <c r="BU179" s="63" t="inlineStr">
        <is>
          <t>CLSA Limited; Haitong International Securities Company Limited; SDHG International Securities Limited; Sinomax Securities Limited; Valuable Capital Limited</t>
        </is>
      </c>
      <c r="BV179" s="78">
        <f>HYPERLINK("https://www1.hkexnews.hk/listedco/listconews/sehk/2023/0227/2023022700005.pdf","prospectus")</f>
        <v/>
      </c>
      <c r="BW179" s="78">
        <f>HYPERLINK("https://www1.hkexnews.hk/listedco/listconews/sehk/2023/0308/2023030800008.htm","allotment")</f>
        <v/>
      </c>
      <c r="BX179" s="78">
        <f>HYPERLINK("https://www1.hkexnews.hk/listedco/listconews/sehk/2023/0403/2023040300095.pdf","stabilisation")</f>
        <v/>
      </c>
      <c r="BY179" s="76" t="n"/>
      <c r="BZ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72" t="n"/>
      <c r="AC180" s="66" t="n"/>
      <c r="AD180" s="72" t="n"/>
      <c r="AE180" s="63" t="n"/>
      <c r="AF180" s="63" t="inlineStr">
        <is>
          <t>partial</t>
        </is>
      </c>
      <c r="AG180" s="63" t="inlineStr">
        <is>
          <t>2023-04-02</t>
        </is>
      </c>
      <c r="AH180" s="63" t="inlineStr">
        <is>
          <t>China International Capital Corporation Hong Kong Securities Limited</t>
        </is>
      </c>
      <c r="AI180" s="63" t="inlineStr">
        <is>
          <t>China International</t>
        </is>
      </c>
      <c r="AJ180" s="73" t="n">
        <v>0.82</v>
      </c>
      <c r="AK180" s="72" t="n">
        <v>0.12</v>
      </c>
      <c r="AL180" s="72" t="n">
        <v>0.7</v>
      </c>
      <c r="AM180" s="72" t="n">
        <v>-0.82</v>
      </c>
      <c r="AN180" s="72" t="n">
        <v>-7.65</v>
      </c>
      <c r="AO180" s="72" t="n">
        <v>-4.82</v>
      </c>
      <c r="AP180" s="72" t="n">
        <v>-1.63</v>
      </c>
      <c r="AQ180" s="72" t="n">
        <v>-8.4</v>
      </c>
      <c r="AR180" s="72" t="n">
        <v>-5.59</v>
      </c>
      <c r="AS180" s="72" t="n">
        <v>2.29</v>
      </c>
      <c r="AT180" s="72" t="n">
        <v>-7.31</v>
      </c>
      <c r="AU180" s="72" t="n">
        <v>-3.67</v>
      </c>
      <c r="AV180" s="72" t="n">
        <v>-10.95</v>
      </c>
      <c r="AW180" s="72" t="n">
        <v>-0.34</v>
      </c>
      <c r="AX180" s="72" t="n">
        <v>2.55</v>
      </c>
      <c r="AY180" s="63" t="inlineStr">
        <is>
          <t>Hang Seng Finance sub-index</t>
        </is>
      </c>
      <c r="AZ180" s="72" t="n">
        <v>67.76000000000001</v>
      </c>
      <c r="BA180" s="64" t="inlineStr">
        <is>
          <t>2026-08-28</t>
        </is>
      </c>
      <c r="BB180" s="65" t="n">
        <v>1597.1</v>
      </c>
      <c r="BC180" s="68" t="n">
        <v>255.6</v>
      </c>
      <c r="BD180" s="63" t="inlineStr">
        <is>
          <t>Y</t>
        </is>
      </c>
      <c r="BE180" s="74" t="n">
        <v>30.9</v>
      </c>
      <c r="BF180" s="74" t="n">
        <v>12.4</v>
      </c>
      <c r="BG180" s="74" t="n">
        <v>11.4</v>
      </c>
      <c r="BH180" s="74" t="n">
        <v>5</v>
      </c>
      <c r="BI180" s="75">
        <f>IF('BBG Verify'!S180="","not filed — run on terminal",'BBG Verify'!S180)</f>
        <v/>
      </c>
      <c r="BJ180" s="76" t="inlineStr">
        <is>
          <t>N</t>
        </is>
      </c>
      <c r="BK180" s="77">
        <f>IF('BBG Verify'!K180="","not filed — run on terminal",'BBG Verify'!K180)</f>
        <v/>
      </c>
      <c r="BL180" s="63" t="inlineStr">
        <is>
          <t>N/A</t>
        </is>
      </c>
      <c r="BM180" s="63" t="inlineStr">
        <is>
          <t>N/A</t>
        </is>
      </c>
      <c r="BN180" s="63" t="inlineStr">
        <is>
          <t>N/A</t>
        </is>
      </c>
      <c r="BO180" s="63" t="inlineStr">
        <is>
          <t>N/A</t>
        </is>
      </c>
      <c r="BP180" s="63" t="inlineStr">
        <is>
          <t>N/A</t>
        </is>
      </c>
      <c r="BQ180" s="63" t="inlineStr">
        <is>
          <t>N/A</t>
        </is>
      </c>
      <c r="BR180" s="76" t="n"/>
      <c r="BS180" s="63" t="inlineStr">
        <is>
          <t>China International Capital Corporation Hong Kong Securities Limited</t>
        </is>
      </c>
      <c r="BT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U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V180" s="78">
        <f>HYPERLINK("https://www1.hkexnews.hk/listedco/listconews/sehk/2023/0228/2023022800011.pdf","prospectus")</f>
        <v/>
      </c>
      <c r="BW180" s="78">
        <f>HYPERLINK("https://www1.hkexnews.hk/listedco/listconews/sehk/2023/0309/2023030900008.htm","allotment")</f>
        <v/>
      </c>
      <c r="BX180" s="78">
        <f>HYPERLINK("https://www1.hkexnews.hk/listedco/listconews/sehk/2023/0402/2023040200127.pdf","stabilisation")</f>
        <v/>
      </c>
      <c r="BY180" s="76" t="n"/>
      <c r="BZ180" s="63" t="inlineStr">
        <is>
          <t>A/H: no A-share listing · sponsor: English name not in the filing text; AAStocks 保薦人 shown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72" t="n"/>
      <c r="AC181" s="66" t="n"/>
      <c r="AD181" s="72" t="n"/>
      <c r="AE181" s="63" t="n"/>
      <c r="AF181" s="63" t="inlineStr">
        <is>
          <t>partial</t>
        </is>
      </c>
      <c r="AG181" s="63" t="inlineStr">
        <is>
          <t>2023-04-20</t>
        </is>
      </c>
      <c r="AH181" s="63" t="inlineStr">
        <is>
          <t>Merrill Lynch</t>
        </is>
      </c>
      <c r="AI181" s="63" t="inlineStr">
        <is>
          <t>Merrill Lynch</t>
        </is>
      </c>
      <c r="AJ181" s="73" t="n">
        <v>-0.11</v>
      </c>
      <c r="AK181" s="72" t="n">
        <v>0</v>
      </c>
      <c r="AL181" s="72" t="n">
        <v>-0.11</v>
      </c>
      <c r="AM181" s="72" t="n">
        <v>22.83</v>
      </c>
      <c r="AN181" s="72" t="n">
        <v>17.72</v>
      </c>
      <c r="AO181" s="72" t="n">
        <v>13.8</v>
      </c>
      <c r="AP181" s="72" t="n">
        <v>22.97</v>
      </c>
      <c r="AQ181" s="72" t="n">
        <v>17.85</v>
      </c>
      <c r="AR181" s="72" t="n">
        <v>13.93</v>
      </c>
      <c r="AS181" s="72" t="n">
        <v>18.4</v>
      </c>
      <c r="AT181" s="72" t="n">
        <v>18.4</v>
      </c>
      <c r="AU181" s="72" t="n">
        <v>17.59</v>
      </c>
      <c r="AV181" s="72" t="n">
        <v>19.51</v>
      </c>
      <c r="AW181" s="72" t="n">
        <v>-0.68</v>
      </c>
      <c r="AX181" s="72" t="n">
        <v>-1.66</v>
      </c>
      <c r="AY181" s="63" t="inlineStr">
        <is>
          <t>Hang Seng Commerce &amp; Industry sub-index</t>
        </is>
      </c>
      <c r="AZ181" s="72" t="n">
        <v>-25.04</v>
      </c>
      <c r="BA181" s="64" t="inlineStr">
        <is>
          <t>2026-08-28</t>
        </is>
      </c>
      <c r="BB181" s="65" t="n">
        <v>2222.9</v>
      </c>
      <c r="BC181" s="68" t="n">
        <v>-244.9</v>
      </c>
      <c r="BD181" s="63" t="inlineStr">
        <is>
          <t>N</t>
        </is>
      </c>
      <c r="BE181" s="63" t="inlineStr">
        <is>
          <t>n/m</t>
        </is>
      </c>
      <c r="BF181" s="74" t="n"/>
      <c r="BG181" s="74" t="n">
        <v>30.1</v>
      </c>
      <c r="BH181" s="74" t="n">
        <v>2.9</v>
      </c>
      <c r="BI181" s="75">
        <f>IF('BBG Verify'!S181="","not filed — run on terminal",'BBG Verify'!S181)</f>
        <v/>
      </c>
      <c r="BJ181" s="76" t="inlineStr">
        <is>
          <t>N</t>
        </is>
      </c>
      <c r="BK181" s="77">
        <f>IF('BBG Verify'!K181="","not filed — run on terminal",'BBG Verify'!K181)</f>
        <v/>
      </c>
      <c r="BL181" s="63" t="inlineStr">
        <is>
          <t>N/A</t>
        </is>
      </c>
      <c r="BM181" s="63" t="inlineStr">
        <is>
          <t>N/A</t>
        </is>
      </c>
      <c r="BN181" s="63" t="inlineStr">
        <is>
          <t>N/A</t>
        </is>
      </c>
      <c r="BO181" s="63" t="inlineStr">
        <is>
          <t>N/A</t>
        </is>
      </c>
      <c r="BP181" s="63" t="inlineStr">
        <is>
          <t>N/A</t>
        </is>
      </c>
      <c r="BQ181" s="63" t="inlineStr">
        <is>
          <t>N/A</t>
        </is>
      </c>
      <c r="BR181" s="76" t="n"/>
      <c r="BS181" s="63" t="inlineStr">
        <is>
          <t>Merrill Lynch (Asia Pacific) Limited</t>
        </is>
      </c>
      <c r="BT181" s="63" t="inlineStr">
        <is>
          <t>DBS Asia Capital Limited; Merrill Lynch (Asia Pacific) Limited</t>
        </is>
      </c>
      <c r="BU181" s="63" t="inlineStr">
        <is>
          <t>DBS Asia Capital Limited; Merrill Lynch (Asia Pacific) Limited</t>
        </is>
      </c>
      <c r="BV181" s="78">
        <f>HYPERLINK("https://www1.hkexnews.hk/listedco/listconews/sehk/2023/0316/2023031600034.htm","prospectus")</f>
        <v/>
      </c>
      <c r="BW181" s="78">
        <f>HYPERLINK("https://www1.hkexnews.hk/listedco/listconews/sehk/2023/0327/2023032700030.htm","allotment")</f>
        <v/>
      </c>
      <c r="BX181" s="78">
        <f>HYPERLINK("https://www1.hkexnews.hk/listedco/listconews/sehk/2023/0420/2023042000559.pdf","stabilisation")</f>
        <v/>
      </c>
      <c r="BY181" s="76" t="n"/>
      <c r="BZ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72" t="n"/>
      <c r="AC182" s="66" t="n"/>
      <c r="AD182" s="72" t="n"/>
      <c r="AE182" s="63" t="n"/>
      <c r="AF182" s="63" t="inlineStr">
        <is>
          <t>lapsed</t>
        </is>
      </c>
      <c r="AG182" s="63" t="inlineStr">
        <is>
          <t>2023-04-16</t>
        </is>
      </c>
      <c r="AH182" s="63" t="inlineStr">
        <is>
          <t>Zhongtai International Securities Limited</t>
        </is>
      </c>
      <c r="AI182" s="63" t="inlineStr">
        <is>
          <t>Zhongtai</t>
        </is>
      </c>
      <c r="AJ182" s="73" t="n">
        <v>-21.1</v>
      </c>
      <c r="AK182" s="72" t="n">
        <v>0.31</v>
      </c>
      <c r="AL182" s="72" t="n">
        <v>-21.34</v>
      </c>
      <c r="AM182" s="72" t="n">
        <v>-7.65</v>
      </c>
      <c r="AN182" s="72" t="n">
        <v>-13.76</v>
      </c>
      <c r="AO182" s="72" t="n">
        <v>-5.81</v>
      </c>
      <c r="AP182" s="72" t="n">
        <v>17.05</v>
      </c>
      <c r="AQ182" s="72" t="n">
        <v>9.300000000000001</v>
      </c>
      <c r="AR182" s="72" t="n">
        <v>19.38</v>
      </c>
      <c r="AS182" s="72" t="n">
        <v>-11.46</v>
      </c>
      <c r="AT182" s="72" t="n">
        <v>-10.65</v>
      </c>
      <c r="AU182" s="72" t="n">
        <v>-1.93</v>
      </c>
      <c r="AV182" s="72" t="n">
        <v>15.1</v>
      </c>
      <c r="AW182" s="72" t="n">
        <v>-3.11</v>
      </c>
      <c r="AX182" s="72" t="n">
        <v>-5.8</v>
      </c>
      <c r="AY182" s="63" t="inlineStr">
        <is>
          <t>Hang Seng Commerce &amp; Industry sub-index</t>
        </is>
      </c>
      <c r="AZ182" s="72" t="n">
        <v>33.33</v>
      </c>
      <c r="BA182" s="64" t="inlineStr">
        <is>
          <t>2026-08-28</t>
        </is>
      </c>
      <c r="BB182" s="65" t="n">
        <v>2907.4</v>
      </c>
      <c r="BC182" s="68" t="n">
        <v>312</v>
      </c>
      <c r="BD182" s="63" t="inlineStr">
        <is>
          <t>Y</t>
        </is>
      </c>
      <c r="BE182" s="74" t="n">
        <v>5.2</v>
      </c>
      <c r="BF182" s="74" t="n">
        <v>2.2</v>
      </c>
      <c r="BG182" s="74" t="n">
        <v>7.5</v>
      </c>
      <c r="BH182" s="74" t="n">
        <v>0.6</v>
      </c>
      <c r="BI182" s="75">
        <f>IF('BBG Verify'!S182="","not filed — run on terminal",'BBG Verify'!S182)</f>
        <v/>
      </c>
      <c r="BJ182" s="76" t="inlineStr">
        <is>
          <t>N</t>
        </is>
      </c>
      <c r="BK182" s="77">
        <f>IF('BBG Verify'!K182="","not filed — run on terminal",'BBG Verify'!K182)</f>
        <v/>
      </c>
      <c r="BL182" s="63" t="inlineStr">
        <is>
          <t>N/A</t>
        </is>
      </c>
      <c r="BM182" s="63" t="inlineStr">
        <is>
          <t>N/A</t>
        </is>
      </c>
      <c r="BN182" s="63" t="inlineStr">
        <is>
          <t>N/A</t>
        </is>
      </c>
      <c r="BO182" s="63" t="inlineStr">
        <is>
          <t>N/A</t>
        </is>
      </c>
      <c r="BP182" s="63" t="inlineStr">
        <is>
          <t>N/A</t>
        </is>
      </c>
      <c r="BQ182" s="63" t="inlineStr">
        <is>
          <t>N/A</t>
        </is>
      </c>
      <c r="BR182" s="76" t="inlineStr">
        <is>
          <t>Zhongtai International Capital Limited</t>
        </is>
      </c>
      <c r="BS182" s="63" t="inlineStr">
        <is>
          <t>Zhongtai International Capital Limited</t>
        </is>
      </c>
      <c r="BT182" s="63" t="inlineStr">
        <is>
          <t>Zhongtai International Securities Limited; Shenwan Hongyuan Securities (H.K.) Limited; Citrus Securities Limited; BOCOM International Securities Limited</t>
        </is>
      </c>
      <c r="BU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V182" s="78">
        <f>HYPERLINK("https://www1.hkexnews.hk/listedco/listconews/sehk/2023/0314/2023031400009.pdf","prospectus")</f>
        <v/>
      </c>
      <c r="BW182" s="78">
        <f>HYPERLINK("https://www1.hkexnews.hk/listedco/listconews/sehk/2023/0328/2023032800038.htm","allotment")</f>
        <v/>
      </c>
      <c r="BX182" s="78">
        <f>HYPERLINK("https://www1.hkexnews.hk/listedco/listconews/sehk/2023/0416/2023041600007.pdf","stabilisation")</f>
        <v/>
      </c>
      <c r="BY182" s="76" t="n"/>
      <c r="BZ182"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72" t="n"/>
      <c r="AC183" s="66" t="n"/>
      <c r="AD183" s="72" t="n"/>
      <c r="AE183" s="63" t="n"/>
      <c r="AF183" s="63" t="inlineStr">
        <is>
          <t>lapsed (no over-allocation)</t>
        </is>
      </c>
      <c r="AG183" s="63" t="n"/>
      <c r="AH183" s="63" t="inlineStr">
        <is>
          <t>CMBC Securities</t>
        </is>
      </c>
      <c r="AI183" s="63" t="inlineStr">
        <is>
          <t>CMBC</t>
        </is>
      </c>
      <c r="AJ183" s="73" t="n">
        <v>126.27</v>
      </c>
      <c r="AK183" s="72" t="n">
        <v>147.46</v>
      </c>
      <c r="AL183" s="72" t="n">
        <v>-8.56</v>
      </c>
      <c r="AM183" s="72" t="n">
        <v>77.12</v>
      </c>
      <c r="AN183" s="72" t="n">
        <v>22.03</v>
      </c>
      <c r="AO183" s="72" t="n">
        <v>-62.29</v>
      </c>
      <c r="AP183" s="72" t="n">
        <v>-21.72</v>
      </c>
      <c r="AQ183" s="72" t="n">
        <v>-46.07</v>
      </c>
      <c r="AR183" s="72" t="n">
        <v>-83.33</v>
      </c>
      <c r="AS183" s="72" t="n">
        <v>75.79000000000001</v>
      </c>
      <c r="AT183" s="72" t="n">
        <v>27.11</v>
      </c>
      <c r="AU183" s="72" t="n">
        <v>-54.32</v>
      </c>
      <c r="AV183" s="72" t="n">
        <v>-40.11</v>
      </c>
      <c r="AW183" s="72" t="n">
        <v>-5.08</v>
      </c>
      <c r="AX183" s="72" t="n">
        <v>-5.96</v>
      </c>
      <c r="AY183" s="63" t="inlineStr">
        <is>
          <t>Hang Seng Commerce &amp; Industry sub-index</t>
        </is>
      </c>
      <c r="AZ183" s="72" t="n">
        <v>-94.06999999999999</v>
      </c>
      <c r="BA183" s="64" t="inlineStr">
        <is>
          <t>2026-08-28</t>
        </is>
      </c>
      <c r="BB183" s="65" t="n"/>
      <c r="BC183" s="68" t="n"/>
      <c r="BD183" s="63" t="inlineStr">
        <is>
          <t>Y</t>
        </is>
      </c>
      <c r="BE183" s="75">
        <f>IF('BBG Verify'!O183="","not filed — run on terminal",'BBG Verify'!O183)</f>
        <v/>
      </c>
      <c r="BF183" s="74" t="n"/>
      <c r="BG183" s="74" t="n"/>
      <c r="BH183" s="74" t="n"/>
      <c r="BI183" s="75">
        <f>IF('BBG Verify'!S183="","not filed — run on terminal",'BBG Verify'!S183)</f>
        <v/>
      </c>
      <c r="BJ183" s="76" t="inlineStr">
        <is>
          <t>N</t>
        </is>
      </c>
      <c r="BK183" s="77">
        <f>IF('BBG Verify'!K183="","not filed — run on terminal",'BBG Verify'!K183)</f>
        <v/>
      </c>
      <c r="BL183" s="63" t="inlineStr">
        <is>
          <t>N/A</t>
        </is>
      </c>
      <c r="BM183" s="63" t="inlineStr">
        <is>
          <t>N/A</t>
        </is>
      </c>
      <c r="BN183" s="63" t="inlineStr">
        <is>
          <t>N/A</t>
        </is>
      </c>
      <c r="BO183" s="63" t="inlineStr">
        <is>
          <t>N/A</t>
        </is>
      </c>
      <c r="BP183" s="63" t="inlineStr">
        <is>
          <t>N/A</t>
        </is>
      </c>
      <c r="BQ183" s="63" t="inlineStr">
        <is>
          <t>N/A</t>
        </is>
      </c>
      <c r="BR183" s="76" t="n"/>
      <c r="BS183" s="63" t="inlineStr">
        <is>
          <t>Grande Capital Limited</t>
        </is>
      </c>
      <c r="BT183" s="63" t="inlineStr">
        <is>
          <t>Alliance Capital Partners Limited; Beta International Securities Limited; China Everbright Securities (HK) Limited; ChaoShang Securities Limited; CMBC Securities Company Limited; Eddid Securities and Futures Limited</t>
        </is>
      </c>
      <c r="BU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V183" s="78">
        <f>HYPERLINK("https://www1.hkexnews.hk/listedco/listconews/sehk/2023/0320/2023032000008.htm","prospectus")</f>
        <v/>
      </c>
      <c r="BW183" s="78">
        <f>HYPERLINK("https://www1.hkexnews.hk/listedco/listconews/sehk/2023/0329/2023032900042.htm","allotment")</f>
        <v/>
      </c>
      <c r="BX183" s="78">
        <f>HYPERLINK("https://www1.hkexnews.hk/listedco/listconews/sehk/2023/0424/2023042400020.pdf","stabilisation")</f>
        <v/>
      </c>
      <c r="BY183" s="76" t="n"/>
      <c r="BZ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no grey-market headline on file for this deal — AAStocks publishes one per listing but keeps only recent items on the stock's news page, and no public archive of past evening sessions exists; captured from this run onward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72" t="n"/>
      <c r="AC184" s="66" t="n"/>
      <c r="AD184" s="72" t="n"/>
      <c r="AE184" s="63" t="n"/>
      <c r="AF184" s="63" t="inlineStr">
        <is>
          <t>lapsed (no over-allocation)</t>
        </is>
      </c>
      <c r="AG184" s="63" t="inlineStr">
        <is>
          <t>2023-04-23</t>
        </is>
      </c>
      <c r="AH184" s="63" t="inlineStr">
        <is>
          <t>GF Securities</t>
        </is>
      </c>
      <c r="AI184" s="63" t="inlineStr">
        <is>
          <t>GF</t>
        </is>
      </c>
      <c r="AJ184" s="73" t="n">
        <v>20</v>
      </c>
      <c r="AK184" s="72" t="n">
        <v>8.57</v>
      </c>
      <c r="AL184" s="72" t="n">
        <v>10.53</v>
      </c>
      <c r="AM184" s="72" t="n">
        <v>50</v>
      </c>
      <c r="AN184" s="72" t="n">
        <v>128.57</v>
      </c>
      <c r="AO184" s="72" t="n">
        <v>385.71</v>
      </c>
      <c r="AP184" s="72" t="n">
        <v>25</v>
      </c>
      <c r="AQ184" s="72" t="n">
        <v>90.47</v>
      </c>
      <c r="AR184" s="72" t="n">
        <v>304.76</v>
      </c>
      <c r="AS184" s="72" t="n">
        <v>50</v>
      </c>
      <c r="AT184" s="72" t="n">
        <v>129.85</v>
      </c>
      <c r="AU184" s="72" t="n">
        <v>394.46</v>
      </c>
      <c r="AV184" s="72" t="n">
        <v>92.19</v>
      </c>
      <c r="AW184" s="72" t="n">
        <v>-1.28</v>
      </c>
      <c r="AX184" s="72" t="n">
        <v>-1.72</v>
      </c>
      <c r="AY184" s="63" t="inlineStr">
        <is>
          <t>Hang Seng Index</t>
        </is>
      </c>
      <c r="AZ184" s="72" t="n">
        <v>-52.14</v>
      </c>
      <c r="BA184" s="64" t="inlineStr">
        <is>
          <t>2026-08-28</t>
        </is>
      </c>
      <c r="BB184" s="65" t="n">
        <v>111.9</v>
      </c>
      <c r="BC184" s="68" t="n">
        <v>45</v>
      </c>
      <c r="BD184" s="63" t="inlineStr">
        <is>
          <t>Y</t>
        </is>
      </c>
      <c r="BE184" s="74" t="n">
        <v>11.6</v>
      </c>
      <c r="BF184" s="74" t="n"/>
      <c r="BG184" s="74" t="n"/>
      <c r="BH184" s="74" t="n">
        <v>4.6</v>
      </c>
      <c r="BI184" s="75">
        <f>IF('BBG Verify'!S184="","not filed — run on terminal",'BBG Verify'!S184)</f>
        <v/>
      </c>
      <c r="BJ184" s="76" t="inlineStr">
        <is>
          <t>N</t>
        </is>
      </c>
      <c r="BK184" s="77">
        <f>IF('BBG Verify'!K184="","not filed — run on terminal",'BBG Verify'!K184)</f>
        <v/>
      </c>
      <c r="BL184" s="63" t="inlineStr">
        <is>
          <t>N/A</t>
        </is>
      </c>
      <c r="BM184" s="63" t="inlineStr">
        <is>
          <t>N/A</t>
        </is>
      </c>
      <c r="BN184" s="63" t="inlineStr">
        <is>
          <t>N/A</t>
        </is>
      </c>
      <c r="BO184" s="63" t="inlineStr">
        <is>
          <t>N/A</t>
        </is>
      </c>
      <c r="BP184" s="63" t="inlineStr">
        <is>
          <t>N/A</t>
        </is>
      </c>
      <c r="BQ184" s="63" t="inlineStr">
        <is>
          <t>N/A</t>
        </is>
      </c>
      <c r="BR184" s="76" t="inlineStr">
        <is>
          <t>GF Capital (Hong Kong) Limited</t>
        </is>
      </c>
      <c r="BS184" s="63" t="inlineStr">
        <is>
          <t>GF Capital (Hong Kong) Limited</t>
        </is>
      </c>
      <c r="BT184" s="63" t="inlineStr">
        <is>
          <t>GF Securities (Hong Kong) Brokerage Limited; First Capital Securities Limited; Maxa Capital Limited; China Everbright Securities (HK) Limited</t>
        </is>
      </c>
      <c r="BU184" s="63" t="inlineStr">
        <is>
          <t>China Everbright Securities (HK) Limited; First Capital Securities Limited; GF Securities (Hong Kong) Brokerage Limited; Maxa Capital Limited</t>
        </is>
      </c>
      <c r="BV184" s="78">
        <f>HYPERLINK("https://www1.hkexnews.hk/listedco/listconews/sehk/2023/0321/2023032100009.pdf","prospectus")</f>
        <v/>
      </c>
      <c r="BW184" s="78">
        <f>HYPERLINK("https://www1.hkexnews.hk/listedco/listconews/sehk/2023/0330/2023033000098.htm","allotment")</f>
        <v/>
      </c>
      <c r="BX184" s="78">
        <f>HYPERLINK("https://www1.hkexnews.hk/listedco/listconews/sehk/2023/0423/2023042300029.pdf","stabilisation")</f>
        <v/>
      </c>
      <c r="BY184" s="76" t="n"/>
      <c r="BZ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72" t="n"/>
      <c r="AC185" s="66" t="n"/>
      <c r="AD185" s="72" t="n"/>
      <c r="AE185" s="63" t="n"/>
      <c r="AF185" s="63" t="inlineStr">
        <is>
          <t>lapsed (no over-allocation)</t>
        </is>
      </c>
      <c r="AG185" s="63" t="n"/>
      <c r="AH185" s="63" t="inlineStr">
        <is>
          <t>Wealth Link Securities Limited</t>
        </is>
      </c>
      <c r="AI185" s="63" t="inlineStr">
        <is>
          <t>Wealth Link</t>
        </is>
      </c>
      <c r="AJ185" s="73" t="n">
        <v>-35.24</v>
      </c>
      <c r="AK185" s="72" t="n">
        <v>-38.1</v>
      </c>
      <c r="AL185" s="72" t="n">
        <v>4.62</v>
      </c>
      <c r="AM185" s="72" t="n">
        <v>-36.19</v>
      </c>
      <c r="AN185" s="72" t="n">
        <v>-39.05</v>
      </c>
      <c r="AO185" s="72" t="n">
        <v>-50.48</v>
      </c>
      <c r="AP185" s="72" t="n">
        <v>-1.47</v>
      </c>
      <c r="AQ185" s="72" t="n">
        <v>-5.88</v>
      </c>
      <c r="AR185" s="72" t="n">
        <v>-23.53</v>
      </c>
      <c r="AS185" s="72" t="n">
        <v>-34.63</v>
      </c>
      <c r="AT185" s="72" t="n">
        <v>-33.87</v>
      </c>
      <c r="AU185" s="72" t="n">
        <v>-39.78</v>
      </c>
      <c r="AV185" s="72" t="n">
        <v>0.29</v>
      </c>
      <c r="AW185" s="72" t="n">
        <v>-5.18</v>
      </c>
      <c r="AX185" s="72" t="n">
        <v>-6.17</v>
      </c>
      <c r="AY185" s="63" t="inlineStr">
        <is>
          <t>Hang Seng Commerce &amp; Industry sub-index</t>
        </is>
      </c>
      <c r="AZ185" s="72" t="n">
        <v>-73.33</v>
      </c>
      <c r="BA185" s="64" t="inlineStr">
        <is>
          <t>2026-08-28</t>
        </is>
      </c>
      <c r="BB185" s="65" t="n">
        <v>282.4</v>
      </c>
      <c r="BC185" s="68" t="n"/>
      <c r="BD185" s="63" t="n"/>
      <c r="BE185" s="75">
        <f>IF('BBG Verify'!O185="","not filed — run on terminal",'BBG Verify'!O185)</f>
        <v/>
      </c>
      <c r="BF185" s="74" t="n"/>
      <c r="BG185" s="74" t="n">
        <v>8</v>
      </c>
      <c r="BH185" s="74" t="n">
        <v>4.2</v>
      </c>
      <c r="BI185" s="75">
        <f>IF('BBG Verify'!S185="","not filed — run on terminal",'BBG Verify'!S185)</f>
        <v/>
      </c>
      <c r="BJ185" s="76" t="inlineStr">
        <is>
          <t>N</t>
        </is>
      </c>
      <c r="BK185" s="77">
        <f>IF('BBG Verify'!K185="","not filed — run on terminal",'BBG Verify'!K185)</f>
        <v/>
      </c>
      <c r="BL185" s="63" t="inlineStr">
        <is>
          <t>N/A</t>
        </is>
      </c>
      <c r="BM185" s="63" t="inlineStr">
        <is>
          <t>N/A</t>
        </is>
      </c>
      <c r="BN185" s="63" t="inlineStr">
        <is>
          <t>N/A</t>
        </is>
      </c>
      <c r="BO185" s="63" t="inlineStr">
        <is>
          <t>N/A</t>
        </is>
      </c>
      <c r="BP185" s="63" t="inlineStr">
        <is>
          <t>N/A</t>
        </is>
      </c>
      <c r="BQ185" s="63" t="inlineStr">
        <is>
          <t>N/A</t>
        </is>
      </c>
      <c r="BR185" s="76" t="n"/>
      <c r="BS185" s="63" t="inlineStr">
        <is>
          <t>Soochow Securities International Capital Limited</t>
        </is>
      </c>
      <c r="BT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V185" s="78">
        <f>HYPERLINK("https://www1.hkexnews.hk/listedco/listconews/sehk/2023/0321/2023032100050.htm","prospectus")</f>
        <v/>
      </c>
      <c r="BW185" s="78">
        <f>HYPERLINK("https://www1.hkexnews.hk/listedco/listconews/sehk/2023/0330/2023033000220.htm","allotment")</f>
        <v/>
      </c>
      <c r="BX185" s="78">
        <f>HYPERLINK("https://www1.hkexnews.hk/listedco/listconews/sehk/2023/0424/2023042400062.pdf","stabilisation")</f>
        <v/>
      </c>
      <c r="BY185" s="76" t="n"/>
      <c r="BZ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72" t="n"/>
      <c r="AC186" s="66" t="n"/>
      <c r="AD186" s="72" t="n"/>
      <c r="AE186" s="63" t="n"/>
      <c r="AF186" s="63" t="inlineStr">
        <is>
          <t>lapsed</t>
        </is>
      </c>
      <c r="AG186" s="63" t="inlineStr">
        <is>
          <t>2023-05-04</t>
        </is>
      </c>
      <c r="AH186" s="63" t="inlineStr">
        <is>
          <t>Morgan Stanley Asia Limited</t>
        </is>
      </c>
      <c r="AI186" s="63" t="inlineStr">
        <is>
          <t>Morgan Stanley</t>
        </is>
      </c>
      <c r="AJ186" s="73" t="n">
        <v>-12.12</v>
      </c>
      <c r="AK186" s="72" t="n">
        <v>-0.34</v>
      </c>
      <c r="AL186" s="72" t="n">
        <v>-11.82</v>
      </c>
      <c r="AM186" s="72" t="n">
        <v>-52.53</v>
      </c>
      <c r="AN186" s="72" t="n">
        <v>-69.19</v>
      </c>
      <c r="AO186" s="72" t="n">
        <v>-71.08</v>
      </c>
      <c r="AP186" s="72" t="n">
        <v>-45.98</v>
      </c>
      <c r="AQ186" s="72" t="n">
        <v>-64.94</v>
      </c>
      <c r="AR186" s="72" t="n">
        <v>-67.09</v>
      </c>
      <c r="AS186" s="72" t="n">
        <v>-50.87</v>
      </c>
      <c r="AT186" s="72" t="n">
        <v>-63.52</v>
      </c>
      <c r="AU186" s="72" t="n">
        <v>-72.45</v>
      </c>
      <c r="AV186" s="72" t="n">
        <v>-59.32</v>
      </c>
      <c r="AW186" s="72" t="n">
        <v>-5.67</v>
      </c>
      <c r="AX186" s="72" t="n">
        <v>-5.62</v>
      </c>
      <c r="AY186" s="63" t="inlineStr">
        <is>
          <t>HSTECH (Hang Seng TECH ETF)</t>
        </is>
      </c>
      <c r="AZ186" s="72" t="n">
        <v>-89.56</v>
      </c>
      <c r="BA186" s="64" t="inlineStr">
        <is>
          <t>2026-08-28</t>
        </is>
      </c>
      <c r="BB186" s="65" t="n">
        <v>612</v>
      </c>
      <c r="BC186" s="68" t="n">
        <v>-1034.2</v>
      </c>
      <c r="BD186" s="63" t="inlineStr">
        <is>
          <t>N</t>
        </is>
      </c>
      <c r="BE186" s="63" t="inlineStr">
        <is>
          <t>n/m</t>
        </is>
      </c>
      <c r="BF186" s="74" t="n"/>
      <c r="BG186" s="74" t="n"/>
      <c r="BH186" s="74" t="n">
        <v>35.5</v>
      </c>
      <c r="BI186" s="75">
        <f>IF('BBG Verify'!S186="","not filed — run on terminal",'BBG Verify'!S186)</f>
        <v/>
      </c>
      <c r="BJ186" s="76" t="inlineStr">
        <is>
          <t>N</t>
        </is>
      </c>
      <c r="BK186" s="77">
        <f>IF('BBG Verify'!K186="","not filed — run on terminal",'BBG Verify'!K186)</f>
        <v/>
      </c>
      <c r="BL186" s="63" t="inlineStr">
        <is>
          <t>N/A</t>
        </is>
      </c>
      <c r="BM186" s="63" t="inlineStr">
        <is>
          <t>N/A</t>
        </is>
      </c>
      <c r="BN186" s="63" t="inlineStr">
        <is>
          <t>N/A</t>
        </is>
      </c>
      <c r="BO186" s="63" t="inlineStr">
        <is>
          <t>N/A</t>
        </is>
      </c>
      <c r="BP186" s="63" t="inlineStr">
        <is>
          <t>N/A</t>
        </is>
      </c>
      <c r="BQ186" s="63" t="inlineStr">
        <is>
          <t>N/A</t>
        </is>
      </c>
      <c r="BR186" s="76" t="n"/>
      <c r="BS186" s="63" t="inlineStr">
        <is>
          <t>China International Capital Corporation Hong Kong Securities Limited; Morgan Stanley Asia Limited</t>
        </is>
      </c>
      <c r="BT186" s="63" t="inlineStr">
        <is>
          <t>China International Capital Corporation Hong Kong Securities Limited; Futu Securities International (Hong Kong) Limited; Morgan Stanley Asia Limited; Silverbricks Securities Company Limited; Tiger Brokers (HK) Global Limited</t>
        </is>
      </c>
      <c r="BU186" s="63" t="inlineStr">
        <is>
          <t>China International Capital Corporation Hong Kong Securities Limited; Futu Securities International (Hong Kong) Limited; Morgan Stanley Asia Limited; Silverbricks Securities Company Limited; Tiger Brokers (HK) Global Limited</t>
        </is>
      </c>
      <c r="BV186" s="78">
        <f>HYPERLINK("https://www1.hkexnews.hk/listedco/listconews/sehk/2023/0330/2023033000324.htm","prospectus")</f>
        <v/>
      </c>
      <c r="BW186" s="78">
        <f>HYPERLINK("https://www1.hkexnews.hk/listedco/listconews/sehk/2023/0412/2023041200010.htm","allotment")</f>
        <v/>
      </c>
      <c r="BX186" s="78">
        <f>HYPERLINK("https://www1.hkexnews.hk/listedco/listconews/sehk/2023/0504/2023050401929.pdf","stabilisation")</f>
        <v/>
      </c>
      <c r="BY186" s="76" t="n"/>
      <c r="BZ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72" t="n"/>
      <c r="AC187" s="66" t="n"/>
      <c r="AD187" s="72" t="n"/>
      <c r="AE187" s="63" t="n"/>
      <c r="AF187" s="63" t="inlineStr">
        <is>
          <t>lapsed</t>
        </is>
      </c>
      <c r="AG187" s="63" t="inlineStr">
        <is>
          <t>2023-05-20</t>
        </is>
      </c>
      <c r="AH187" s="63" t="inlineStr">
        <is>
          <t>Goldman Sachs</t>
        </is>
      </c>
      <c r="AI187" s="63" t="inlineStr">
        <is>
          <t>Goldman Sachs</t>
        </is>
      </c>
      <c r="AJ187" s="73" t="n">
        <v>-17.93</v>
      </c>
      <c r="AK187" s="72" t="n">
        <v>-16.82</v>
      </c>
      <c r="AL187" s="72" t="n">
        <v>-1.33</v>
      </c>
      <c r="AM187" s="72" t="n">
        <v>-15.9</v>
      </c>
      <c r="AN187" s="72" t="n">
        <v>-34.1</v>
      </c>
      <c r="AO187" s="72" t="n">
        <v>-12.38</v>
      </c>
      <c r="AP187" s="72" t="n">
        <v>2.47</v>
      </c>
      <c r="AQ187" s="72" t="n">
        <v>-19.7</v>
      </c>
      <c r="AR187" s="72" t="n">
        <v>6.76</v>
      </c>
      <c r="AS187" s="72" t="n">
        <v>-16.15</v>
      </c>
      <c r="AT187" s="72" t="n">
        <v>-26.77</v>
      </c>
      <c r="AU187" s="72" t="n">
        <v>-16.74</v>
      </c>
      <c r="AV187" s="72" t="n">
        <v>-12.63</v>
      </c>
      <c r="AW187" s="72" t="n">
        <v>-7.33</v>
      </c>
      <c r="AX187" s="72" t="n">
        <v>-7.07</v>
      </c>
      <c r="AY187" s="63" t="inlineStr">
        <is>
          <t>Hang Seng Commerce &amp; Industry sub-index</t>
        </is>
      </c>
      <c r="AZ187" s="72" t="n">
        <v>-27.08</v>
      </c>
      <c r="BA187" s="64" t="inlineStr">
        <is>
          <t>2026-08-28</t>
        </is>
      </c>
      <c r="BB187" s="65" t="n">
        <v>6441.5</v>
      </c>
      <c r="BC187" s="68" t="n"/>
      <c r="BD187" s="63" t="n"/>
      <c r="BE187" s="74" t="n">
        <v>17.5</v>
      </c>
      <c r="BF187" s="74" t="n">
        <v>17.5</v>
      </c>
      <c r="BG187" s="74" t="n">
        <v>42.9</v>
      </c>
      <c r="BH187" s="74" t="n">
        <v>6</v>
      </c>
      <c r="BI187" s="75">
        <f>IF('BBG Verify'!S187="","not filed — run on terminal",'BBG Verify'!S187)</f>
        <v/>
      </c>
      <c r="BJ187" s="76" t="inlineStr">
        <is>
          <t>N</t>
        </is>
      </c>
      <c r="BK187" s="77">
        <f>IF('BBG Verify'!K187="","not filed — run on terminal",'BBG Verify'!K187)</f>
        <v/>
      </c>
      <c r="BL187" s="63" t="inlineStr">
        <is>
          <t>N/A</t>
        </is>
      </c>
      <c r="BM187" s="63" t="inlineStr">
        <is>
          <t>N/A</t>
        </is>
      </c>
      <c r="BN187" s="63" t="inlineStr">
        <is>
          <t>N/A</t>
        </is>
      </c>
      <c r="BO187" s="63" t="inlineStr">
        <is>
          <t>N/A</t>
        </is>
      </c>
      <c r="BP187" s="63" t="inlineStr">
        <is>
          <t>N/A</t>
        </is>
      </c>
      <c r="BQ187" s="63" t="inlineStr">
        <is>
          <t>N/A</t>
        </is>
      </c>
      <c r="BR187" s="76" t="n"/>
      <c r="BS187" s="63" t="inlineStr">
        <is>
          <t>Goldman Sachs (Asia) L.L.C.; China Securities (International) Corporate Finance Company Limited</t>
        </is>
      </c>
      <c r="BT187" s="63" t="inlineStr">
        <is>
          <t>China International Capital Corporation Hong Kong Securities Limited; China Securities (International) Corporate Finance Company Limited; Goldman Sachs (Asia) L.L.C.</t>
        </is>
      </c>
      <c r="BU187" s="63" t="inlineStr">
        <is>
          <t>China International Capital Corporation Hong Kong Securities Limited; China Securities (International) Corporate Finance Company Limited; Goldman Sachs (Asia) L.L.C.</t>
        </is>
      </c>
      <c r="BV187" s="78">
        <f>HYPERLINK("https://www1.hkexnews.hk/listedco/listconews/sehk/2023/0417/2023041700044.htm","prospectus")</f>
        <v/>
      </c>
      <c r="BW187" s="78">
        <f>HYPERLINK("https://www1.hkexnews.hk/listedco/listconews/sehk/2023/0426/2023042600060.htm","allotment")</f>
        <v/>
      </c>
      <c r="BX187" s="78">
        <f>HYPERLINK("https://www1.hkexnews.hk/listedco/listconews/sehk/2023/0525/2023052500386.pdf","stabilisation")</f>
        <v/>
      </c>
      <c r="BY187" s="76" t="n"/>
      <c r="BZ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no grey-market headline on file for this deal — AAStocks publishes one per listing but keeps only recent items on the stock's news page, and no public archive of past evening sessions exists; captured from this run onward</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72" t="n"/>
      <c r="AC188" s="66" t="n"/>
      <c r="AD188" s="72" t="n"/>
      <c r="AE188" s="63" t="n"/>
      <c r="AF188" s="63" t="n"/>
      <c r="AG188" s="63" t="inlineStr">
        <is>
          <t>2023-05-20</t>
        </is>
      </c>
      <c r="AH188" s="63" t="inlineStr">
        <is>
          <t>Chin a International Capital Corporation Hong Kong Securities Limited</t>
        </is>
      </c>
      <c r="AI188" s="63" t="inlineStr">
        <is>
          <t>Chin a</t>
        </is>
      </c>
      <c r="AJ188" s="73" t="n">
        <v>1.1</v>
      </c>
      <c r="AK188" s="72" t="n">
        <v>-2.75</v>
      </c>
      <c r="AL188" s="72" t="n">
        <v>3.96</v>
      </c>
      <c r="AM188" s="72" t="n">
        <v>-5.49</v>
      </c>
      <c r="AN188" s="72" t="n">
        <v>2.64</v>
      </c>
      <c r="AO188" s="72" t="n">
        <v>-15.16</v>
      </c>
      <c r="AP188" s="72" t="n">
        <v>-6.52</v>
      </c>
      <c r="AQ188" s="72" t="n">
        <v>1.52</v>
      </c>
      <c r="AR188" s="72" t="n">
        <v>-16.08</v>
      </c>
      <c r="AS188" s="72" t="n">
        <v>-5.78</v>
      </c>
      <c r="AT188" s="72" t="n">
        <v>8.73</v>
      </c>
      <c r="AU188" s="72" t="n">
        <v>-8.449999999999999</v>
      </c>
      <c r="AV188" s="72" t="n">
        <v>8.359999999999999</v>
      </c>
      <c r="AW188" s="72" t="n">
        <v>-6.09</v>
      </c>
      <c r="AX188" s="72" t="n">
        <v>-6.84</v>
      </c>
      <c r="AY188" s="63" t="inlineStr">
        <is>
          <t>China Biotech ETF (HS biotech proxy)</t>
        </is>
      </c>
      <c r="AZ188" s="72" t="n">
        <v>-91.43000000000001</v>
      </c>
      <c r="BA188" s="64" t="inlineStr">
        <is>
          <t>2026-08-28</t>
        </is>
      </c>
      <c r="BB188" s="65" t="n">
        <v>383.8</v>
      </c>
      <c r="BC188" s="68" t="n">
        <v>-109.9</v>
      </c>
      <c r="BD188" s="63" t="inlineStr">
        <is>
          <t>N</t>
        </is>
      </c>
      <c r="BE188" s="63" t="inlineStr">
        <is>
          <t>n/m</t>
        </is>
      </c>
      <c r="BF188" s="74" t="n"/>
      <c r="BG188" s="74" t="n">
        <v>19.5</v>
      </c>
      <c r="BH188" s="74" t="n">
        <v>15.9</v>
      </c>
      <c r="BI188" s="75">
        <f>IF('BBG Verify'!S188="","not filed — run on terminal",'BBG Verify'!S188)</f>
        <v/>
      </c>
      <c r="BJ188" s="76" t="inlineStr">
        <is>
          <t>N</t>
        </is>
      </c>
      <c r="BK188" s="77">
        <f>IF('BBG Verify'!K188="","not filed — run on terminal",'BBG Verify'!K188)</f>
        <v/>
      </c>
      <c r="BL188" s="63" t="inlineStr">
        <is>
          <t>N/A</t>
        </is>
      </c>
      <c r="BM188" s="63" t="inlineStr">
        <is>
          <t>N/A</t>
        </is>
      </c>
      <c r="BN188" s="63" t="inlineStr">
        <is>
          <t>N/A</t>
        </is>
      </c>
      <c r="BO188" s="63" t="inlineStr">
        <is>
          <t>N/A</t>
        </is>
      </c>
      <c r="BP188" s="63" t="inlineStr">
        <is>
          <t>N/A</t>
        </is>
      </c>
      <c r="BQ188" s="63" t="inlineStr">
        <is>
          <t>N/A</t>
        </is>
      </c>
      <c r="BR188" s="76" t="inlineStr">
        <is>
          <t>China International Capital Corporation Hong Kong Securities Limited; Macquarie Capital Limited</t>
        </is>
      </c>
      <c r="BS188" s="63" t="inlineStr">
        <is>
          <t>China International Capital Corporation Hong Kong Securities Limited; Macquarie Capital Limited</t>
        </is>
      </c>
      <c r="BT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U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V188" s="78">
        <f>HYPERLINK("https://www1.hkexnews.hk/listedco/listconews/sehk/2023/0417/2023041700009.pdf","prospectus")</f>
        <v/>
      </c>
      <c r="BW188" s="78">
        <f>HYPERLINK("https://www1.hkexnews.hk/listedco/listconews/sehk/2023/0426/2023042600046.htm","allotment")</f>
        <v/>
      </c>
      <c r="BX188" s="63" t="n"/>
      <c r="BY188" s="76" t="n"/>
      <c r="BZ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no grey-market headline on file for this deal — AAStocks publishes one per listing but keeps only recent items on the stock's news page, and no public archive of past evening sessions exists; captured from this run onward</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72" t="n"/>
      <c r="AC189" s="66" t="n"/>
      <c r="AD189" s="72" t="n"/>
      <c r="AE189" s="63" t="n"/>
      <c r="AF189" s="63" t="inlineStr">
        <is>
          <t>lapsed</t>
        </is>
      </c>
      <c r="AG189" s="63" t="inlineStr">
        <is>
          <t>2023-05-28</t>
        </is>
      </c>
      <c r="AH189" s="63" t="inlineStr">
        <is>
          <t>China International Capital Corporation Hong Kong Securities Limited</t>
        </is>
      </c>
      <c r="AI189" s="63" t="inlineStr">
        <is>
          <t>China International</t>
        </is>
      </c>
      <c r="AJ189" s="73" t="n">
        <v>-32.93</v>
      </c>
      <c r="AK189" s="72" t="n">
        <v>-3.96</v>
      </c>
      <c r="AL189" s="72" t="n">
        <v>-30.16</v>
      </c>
      <c r="AM189" s="72" t="n">
        <v>-30.95</v>
      </c>
      <c r="AN189" s="72" t="n">
        <v>1.98</v>
      </c>
      <c r="AO189" s="72" t="n">
        <v>-3.51</v>
      </c>
      <c r="AP189" s="72" t="n">
        <v>2.95</v>
      </c>
      <c r="AQ189" s="72" t="n">
        <v>52.05</v>
      </c>
      <c r="AR189" s="72" t="n">
        <v>43.86</v>
      </c>
      <c r="AS189" s="72" t="n">
        <v>-29.01</v>
      </c>
      <c r="AT189" s="72" t="n">
        <v>10.5</v>
      </c>
      <c r="AU189" s="72" t="n">
        <v>9.609999999999999</v>
      </c>
      <c r="AV189" s="72" t="n">
        <v>60.28</v>
      </c>
      <c r="AW189" s="72" t="n">
        <v>-8.52</v>
      </c>
      <c r="AX189" s="72" t="n">
        <v>-8.23</v>
      </c>
      <c r="AY189" s="63" t="inlineStr">
        <is>
          <t>China Biotech ETF (HS biotech proxy)</t>
        </is>
      </c>
      <c r="AZ189" s="72" t="n">
        <v>-58.54</v>
      </c>
      <c r="BA189" s="64" t="inlineStr">
        <is>
          <t>2026-08-28</t>
        </is>
      </c>
      <c r="BB189" s="65" t="n">
        <v>0</v>
      </c>
      <c r="BC189" s="68" t="n">
        <v>-797.7</v>
      </c>
      <c r="BD189" s="63" t="inlineStr">
        <is>
          <t>N</t>
        </is>
      </c>
      <c r="BE189" s="63" t="inlineStr">
        <is>
          <t>n/m</t>
        </is>
      </c>
      <c r="BF189" s="74" t="n"/>
      <c r="BG189" s="74" t="n"/>
      <c r="BH189" s="63" t="inlineStr">
        <is>
          <t>pre-rev</t>
        </is>
      </c>
      <c r="BI189" s="75">
        <f>IF('BBG Verify'!S189="","not filed — run on terminal",'BBG Verify'!S189)</f>
        <v/>
      </c>
      <c r="BJ189" s="76" t="inlineStr">
        <is>
          <t>N</t>
        </is>
      </c>
      <c r="BK189" s="77">
        <f>IF('BBG Verify'!K189="","not filed — run on terminal",'BBG Verify'!K189)</f>
        <v/>
      </c>
      <c r="BL189" s="63" t="inlineStr">
        <is>
          <t>N/A</t>
        </is>
      </c>
      <c r="BM189" s="63" t="inlineStr">
        <is>
          <t>N/A</t>
        </is>
      </c>
      <c r="BN189" s="63" t="inlineStr">
        <is>
          <t>N/A</t>
        </is>
      </c>
      <c r="BO189" s="63" t="inlineStr">
        <is>
          <t>N/A</t>
        </is>
      </c>
      <c r="BP189" s="63" t="inlineStr">
        <is>
          <t>N/A</t>
        </is>
      </c>
      <c r="BQ189" s="63" t="inlineStr">
        <is>
          <t>N/A</t>
        </is>
      </c>
      <c r="BR189" s="76" t="inlineStr">
        <is>
          <t>China International Capital Corporation Hong Kong Securities Limited</t>
        </is>
      </c>
      <c r="BS189" s="63" t="inlineStr">
        <is>
          <t>China International Capital Corporation Hong Kong Securities Limited</t>
        </is>
      </c>
      <c r="BT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U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V189" s="78">
        <f>HYPERLINK("https://www1.hkexnews.hk/listedco/listconews/sehk/2023/0425/2023042500039.pdf","prospectus")</f>
        <v/>
      </c>
      <c r="BW189" s="78">
        <f>HYPERLINK("https://www1.hkexnews.hk/listedco/listconews/sehk/2023/0505/2023050500008.htm","allotment")</f>
        <v/>
      </c>
      <c r="BX189" s="78">
        <f>HYPERLINK("https://www1.hkexnews.hk/listedco/listconews/sehk/2023/0528/2023052800097.pdf","stabilisation")</f>
        <v/>
      </c>
      <c r="BY189" s="76" t="n"/>
      <c r="BZ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no grey-market headline on file for this deal — AAStocks publishes one per listing but keeps only recent items on the stock's news page, and no public archive of past evening sessions exists; captured from this run onward</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72" t="n"/>
      <c r="AC190" s="66" t="n"/>
      <c r="AD190" s="72" t="n"/>
      <c r="AE190" s="63" t="n"/>
      <c r="AF190" s="63" t="inlineStr">
        <is>
          <t>lapsed (no over-allocation)</t>
        </is>
      </c>
      <c r="AG190" s="63" t="n"/>
      <c r="AH190" s="63" t="inlineStr">
        <is>
          <t>Head &amp; Shoulders Securities Limited</t>
        </is>
      </c>
      <c r="AI190" s="63" t="inlineStr">
        <is>
          <t>Head &amp;</t>
        </is>
      </c>
      <c r="AJ190" s="73" t="n">
        <v>-23.44</v>
      </c>
      <c r="AK190" s="72" t="n">
        <v>-32.03</v>
      </c>
      <c r="AL190" s="72" t="n">
        <v>12.64</v>
      </c>
      <c r="AM190" s="72" t="n">
        <v>20.31</v>
      </c>
      <c r="AN190" s="72" t="n">
        <v>26.56</v>
      </c>
      <c r="AO190" s="72" t="n">
        <v>-21.09</v>
      </c>
      <c r="AP190" s="72" t="n">
        <v>57.14</v>
      </c>
      <c r="AQ190" s="72" t="n">
        <v>65.31</v>
      </c>
      <c r="AR190" s="72" t="n">
        <v>3.07</v>
      </c>
      <c r="AS190" s="72" t="n">
        <v>20.66</v>
      </c>
      <c r="AT190" s="72" t="n">
        <v>30.9</v>
      </c>
      <c r="AU190" s="72" t="n">
        <v>-21.01</v>
      </c>
      <c r="AV190" s="72" t="n">
        <v>67.06</v>
      </c>
      <c r="AW190" s="72" t="n">
        <v>-4.34</v>
      </c>
      <c r="AX190" s="72" t="n">
        <v>-1.75</v>
      </c>
      <c r="AY190" s="63" t="inlineStr">
        <is>
          <t>Hang Seng Commerce &amp; Industry sub-index</t>
        </is>
      </c>
      <c r="AZ190" s="72" t="n">
        <v>8360.940000000001</v>
      </c>
      <c r="BA190" s="64" t="inlineStr">
        <is>
          <t>2026-08-28</t>
        </is>
      </c>
      <c r="BB190" s="65" t="n">
        <v>240.5</v>
      </c>
      <c r="BC190" s="68" t="n">
        <v>28.8</v>
      </c>
      <c r="BD190" s="63" t="inlineStr">
        <is>
          <t>Y</t>
        </is>
      </c>
      <c r="BE190" s="74" t="n">
        <v>19.4</v>
      </c>
      <c r="BF190" s="74" t="n"/>
      <c r="BG190" s="74" t="n"/>
      <c r="BH190" s="74" t="n">
        <v>2.3</v>
      </c>
      <c r="BI190" s="75">
        <f>IF('BBG Verify'!S190="","not filed — run on terminal",'BBG Verify'!S190)</f>
        <v/>
      </c>
      <c r="BJ190" s="76" t="inlineStr">
        <is>
          <t>N</t>
        </is>
      </c>
      <c r="BK190" s="77">
        <f>IF('BBG Verify'!K190="","not filed — run on terminal",'BBG Verify'!K190)</f>
        <v/>
      </c>
      <c r="BL190" s="63" t="inlineStr">
        <is>
          <t>N/A</t>
        </is>
      </c>
      <c r="BM190" s="63" t="inlineStr">
        <is>
          <t>N/A</t>
        </is>
      </c>
      <c r="BN190" s="63" t="inlineStr">
        <is>
          <t>N/A</t>
        </is>
      </c>
      <c r="BO190" s="63" t="inlineStr">
        <is>
          <t>N/A</t>
        </is>
      </c>
      <c r="BP190" s="63" t="inlineStr">
        <is>
          <t>N/A</t>
        </is>
      </c>
      <c r="BQ190" s="63" t="inlineStr">
        <is>
          <t>N/A</t>
        </is>
      </c>
      <c r="BR190" s="76" t="n"/>
      <c r="BS190" s="63" t="inlineStr">
        <is>
          <t>Grande Capital Limited</t>
        </is>
      </c>
      <c r="BT190" s="63" t="inlineStr">
        <is>
          <t>Astrum Capital Management Limited; Beta International Securities Limited; CMBC Securities Company Limited; Eddid Securities and Futures Limited; Grande Capital Limited; Head &amp; Shoulders Securities Limited</t>
        </is>
      </c>
      <c r="BU190" s="63" t="inlineStr">
        <is>
          <t>Astrum Capital Management Limited; Beta International Securities Limited; CMBC Securities Company Limited; Eddid Securities and Futures Limited; Grande Capital Limited; Head &amp; Shoulders Securities Limited; Maxa Capital Limited</t>
        </is>
      </c>
      <c r="BV190" s="78">
        <f>HYPERLINK("https://www1.hkexnews.hk/listedco/listconews/sehk/2023/0425/2023042500029.pdf","prospectus")</f>
        <v/>
      </c>
      <c r="BW190" s="78">
        <f>HYPERLINK("https://www1.hkexnews.hk/listedco/listconews/sehk/2023/0508/2023050800004.htm","allotment")</f>
        <v/>
      </c>
      <c r="BX190" s="78">
        <f>HYPERLINK("https://www1.hkexnews.hk/listedco/listconews/sehk/2023/0529/2023052900093.pdf","stabilisation")</f>
        <v/>
      </c>
      <c r="BY190" s="76" t="n"/>
      <c r="BZ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72" t="n"/>
      <c r="AC191" s="66" t="n"/>
      <c r="AD191" s="72" t="n"/>
      <c r="AE191" s="63" t="n"/>
      <c r="AF191" s="63" t="inlineStr">
        <is>
          <t>lapsed</t>
        </is>
      </c>
      <c r="AG191" s="63" t="inlineStr">
        <is>
          <t>2023-06-03</t>
        </is>
      </c>
      <c r="AH191" s="63" t="inlineStr">
        <is>
          <t>Jefferies Hong Kong Limited</t>
        </is>
      </c>
      <c r="AI191" s="63" t="inlineStr">
        <is>
          <t>Jefferies</t>
        </is>
      </c>
      <c r="AJ191" s="73" t="n">
        <v>-24.62</v>
      </c>
      <c r="AK191" s="72" t="n">
        <v>-1.89</v>
      </c>
      <c r="AL191" s="72" t="n">
        <v>-23.17</v>
      </c>
      <c r="AM191" s="72" t="n">
        <v>-29.25</v>
      </c>
      <c r="AN191" s="72" t="n">
        <v>-43.68</v>
      </c>
      <c r="AO191" s="72" t="n">
        <v>-50</v>
      </c>
      <c r="AP191" s="72" t="n">
        <v>-6.14</v>
      </c>
      <c r="AQ191" s="72" t="n">
        <v>-25.29</v>
      </c>
      <c r="AR191" s="72" t="n">
        <v>-33.67</v>
      </c>
      <c r="AS191" s="72" t="n">
        <v>-29.07</v>
      </c>
      <c r="AT191" s="72" t="n">
        <v>-41.87</v>
      </c>
      <c r="AU191" s="72" t="n">
        <v>-46.52</v>
      </c>
      <c r="AV191" s="72" t="n">
        <v>-23.57</v>
      </c>
      <c r="AW191" s="72" t="n">
        <v>-1.81</v>
      </c>
      <c r="AX191" s="72" t="n">
        <v>-1.72</v>
      </c>
      <c r="AY191" s="63" t="inlineStr">
        <is>
          <t>Hang Seng Index</t>
        </is>
      </c>
      <c r="AZ191" s="72" t="n">
        <v>-60.14</v>
      </c>
      <c r="BA191" s="64" t="inlineStr">
        <is>
          <t>2026-08-28</t>
        </is>
      </c>
      <c r="BB191" s="65" t="n">
        <v>679.9</v>
      </c>
      <c r="BC191" s="68" t="n">
        <v>58</v>
      </c>
      <c r="BD191" s="63" t="inlineStr">
        <is>
          <t>Y</t>
        </is>
      </c>
      <c r="BE191" s="74" t="n">
        <v>20.6</v>
      </c>
      <c r="BF191" s="74" t="n"/>
      <c r="BG191" s="74" t="n">
        <v>19.6</v>
      </c>
      <c r="BH191" s="74" t="n">
        <v>1.8</v>
      </c>
      <c r="BI191" s="75">
        <f>IF('BBG Verify'!S191="","not filed — run on terminal",'BBG Verify'!S191)</f>
        <v/>
      </c>
      <c r="BJ191" s="76" t="inlineStr">
        <is>
          <t>N</t>
        </is>
      </c>
      <c r="BK191" s="77">
        <f>IF('BBG Verify'!K191="","not filed — run on terminal",'BBG Verify'!K191)</f>
        <v/>
      </c>
      <c r="BL191" s="63" t="inlineStr">
        <is>
          <t>N/A</t>
        </is>
      </c>
      <c r="BM191" s="63" t="inlineStr">
        <is>
          <t>N/A</t>
        </is>
      </c>
      <c r="BN191" s="63" t="inlineStr">
        <is>
          <t>N/A</t>
        </is>
      </c>
      <c r="BO191" s="63" t="inlineStr">
        <is>
          <t>N/A</t>
        </is>
      </c>
      <c r="BP191" s="63" t="inlineStr">
        <is>
          <t>N/A</t>
        </is>
      </c>
      <c r="BQ191" s="63" t="inlineStr">
        <is>
          <t>N/A</t>
        </is>
      </c>
      <c r="BR191" s="76" t="inlineStr">
        <is>
          <t>Jefferies Hong Kong Limited; Guotai Junan Capital Limited</t>
        </is>
      </c>
      <c r="BS191" s="63" t="inlineStr">
        <is>
          <t>Jefferies Hong Kong Limited; Guotai Junan Capital Limited</t>
        </is>
      </c>
      <c r="BT191" s="63" t="inlineStr">
        <is>
          <t>Jefferies Hong Kong Limited; Guotai Junan Securities (Hong Kong) Limited; CCB International Capital Limited; CMB Int ernational Capital Limited; ABCI Capital Limited; SPDB International Capital Limited</t>
        </is>
      </c>
      <c r="BU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V191" s="78">
        <f>HYPERLINK("https://www1.hkexnews.hk/listedco/listconews/sehk/2023/0428/2023042800147.pdf","prospectus")</f>
        <v/>
      </c>
      <c r="BW191" s="78">
        <f>HYPERLINK("https://www1.hkexnews.hk/listedco/listconews/sehk/2023/0510/2023051000024.htm","allotment")</f>
        <v/>
      </c>
      <c r="BX191" s="78">
        <f>HYPERLINK("https://www1.hkexnews.hk/listedco/listconews/sehk/2023/0604/2023060400005.pdf","stabilisation")</f>
        <v/>
      </c>
      <c r="BY191" s="76" t="n"/>
      <c r="BZ191" s="63" t="inlineStr">
        <is>
          <t>A/H: no A-share listing · market cap: prospectus states HK$1,327m at HK$11.80; rescaled to the struck HK$10.60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72" t="n"/>
      <c r="AC192" s="66" t="n"/>
      <c r="AD192" s="72" t="n"/>
      <c r="AE192" s="63" t="n"/>
      <c r="AF192" s="63" t="inlineStr">
        <is>
          <t>lapsed (no over-allocation)</t>
        </is>
      </c>
      <c r="AG192" s="63" t="n"/>
      <c r="AH192" s="63" t="inlineStr">
        <is>
          <t>Huatai Financial Holdings</t>
        </is>
      </c>
      <c r="AI192" s="63" t="inlineStr">
        <is>
          <t>Huatai</t>
        </is>
      </c>
      <c r="AJ192" s="73" t="n">
        <v>-28.98</v>
      </c>
      <c r="AK192" s="72" t="n">
        <v>-27.88</v>
      </c>
      <c r="AL192" s="72" t="n">
        <v>-1.53</v>
      </c>
      <c r="AM192" s="72" t="n">
        <v>-41.37</v>
      </c>
      <c r="AN192" s="72" t="n">
        <v>-44.69</v>
      </c>
      <c r="AO192" s="72" t="n">
        <v>-36.95</v>
      </c>
      <c r="AP192" s="72" t="n">
        <v>-17.45</v>
      </c>
      <c r="AQ192" s="72" t="n">
        <v>-22.12</v>
      </c>
      <c r="AR192" s="72" t="n">
        <v>-11.22</v>
      </c>
      <c r="AS192" s="72" t="n">
        <v>-40.72</v>
      </c>
      <c r="AT192" s="72" t="n">
        <v>-45.27</v>
      </c>
      <c r="AU192" s="72" t="n">
        <v>-35.49</v>
      </c>
      <c r="AV192" s="72" t="n">
        <v>-25.1</v>
      </c>
      <c r="AW192" s="72" t="n">
        <v>0.58</v>
      </c>
      <c r="AX192" s="72" t="n">
        <v>2.98</v>
      </c>
      <c r="AY192" s="63" t="inlineStr">
        <is>
          <t>Hang Seng Commerce &amp; Industry sub-index</t>
        </is>
      </c>
      <c r="AZ192" s="72" t="n">
        <v>-83.95999999999999</v>
      </c>
      <c r="BA192" s="64" t="inlineStr">
        <is>
          <t>2026-08-28</t>
        </is>
      </c>
      <c r="BB192" s="65" t="n">
        <v>8665.4</v>
      </c>
      <c r="BC192" s="68" t="n">
        <v>733.2</v>
      </c>
      <c r="BD192" s="63" t="inlineStr">
        <is>
          <t>Y</t>
        </is>
      </c>
      <c r="BE192" s="74" t="n">
        <v>17.4</v>
      </c>
      <c r="BF192" s="74" t="n">
        <v>12.4</v>
      </c>
      <c r="BG192" s="74" t="n">
        <v>14.7</v>
      </c>
      <c r="BH192" s="74" t="n">
        <v>1.5</v>
      </c>
      <c r="BI192" s="75">
        <f>IF('BBG Verify'!S192="","not filed — run on terminal",'BBG Verify'!S192)</f>
        <v/>
      </c>
      <c r="BJ192" s="76" t="inlineStr">
        <is>
          <t>N</t>
        </is>
      </c>
      <c r="BK192" s="77">
        <f>IF('BBG Verify'!K192="","not filed — run on terminal",'BBG Verify'!K192)</f>
        <v/>
      </c>
      <c r="BL192" s="63" t="inlineStr">
        <is>
          <t>N/A</t>
        </is>
      </c>
      <c r="BM192" s="63" t="inlineStr">
        <is>
          <t>N/A</t>
        </is>
      </c>
      <c r="BN192" s="63" t="inlineStr">
        <is>
          <t>N/A</t>
        </is>
      </c>
      <c r="BO192" s="63" t="inlineStr">
        <is>
          <t>N/A</t>
        </is>
      </c>
      <c r="BP192" s="63" t="inlineStr">
        <is>
          <t>N/A</t>
        </is>
      </c>
      <c r="BQ192" s="63" t="inlineStr">
        <is>
          <t>N/A</t>
        </is>
      </c>
      <c r="BR192" s="76" t="inlineStr">
        <is>
          <t>and Sponsor-OCs Huatai Financial Holdings (Hong Kong) Limited; Citigroup Global Markets Asia Limited; CMB International Capital Limited; DBS Asia Capital Limited</t>
        </is>
      </c>
      <c r="BS192" s="63" t="inlineStr">
        <is>
          <t>Huatai Financial Holdings (Hong Kong) Limited; CMB International Capital Limited; Citigroup Global Markets Asia Limited; DBS Asia Capital Limited</t>
        </is>
      </c>
      <c r="BT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U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V192" s="78">
        <f>HYPERLINK("https://www1.hkexnews.hk/listedco/listconews/sehk/2023/0512/2023051200007.pdf","prospectus")</f>
        <v/>
      </c>
      <c r="BW192" s="78">
        <f>HYPERLINK("https://www1.hkexnews.hk/listedco/listconews/sehk/2023/0524/2023052400046.htm","allotment")</f>
        <v/>
      </c>
      <c r="BX192" s="78">
        <f>HYPERLINK("https://www1.hkexnews.hk/listedco/listconews/sehk/2023/0619/2023061900189.pdf","stabilisation")</f>
        <v/>
      </c>
      <c r="BY192" s="76" t="n"/>
      <c r="BZ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72" t="n"/>
      <c r="AC193" s="66" t="n"/>
      <c r="AD193" s="72" t="n"/>
      <c r="AE193" s="63" t="n"/>
      <c r="AF193" s="63" t="inlineStr">
        <is>
          <t>lapsed (no over-allocation)</t>
        </is>
      </c>
      <c r="AG193" s="63" t="inlineStr">
        <is>
          <t>2023-06-17</t>
        </is>
      </c>
      <c r="AH193" s="63" t="inlineStr">
        <is>
          <t>China International Capital Corporation Hong Kong Securities Limited</t>
        </is>
      </c>
      <c r="AI193" s="63" t="inlineStr">
        <is>
          <t>China International</t>
        </is>
      </c>
      <c r="AJ193" s="73" t="n">
        <v>-3.04</v>
      </c>
      <c r="AK193" s="72" t="n">
        <v>-7.16</v>
      </c>
      <c r="AL193" s="72" t="n">
        <v>4.44</v>
      </c>
      <c r="AM193" s="72" t="n">
        <v>7.95</v>
      </c>
      <c r="AN193" s="72" t="n">
        <v>2.65</v>
      </c>
      <c r="AO193" s="72" t="n">
        <v>-36.11</v>
      </c>
      <c r="AP193" s="72" t="n">
        <v>11.33</v>
      </c>
      <c r="AQ193" s="72" t="n">
        <v>5.87</v>
      </c>
      <c r="AR193" s="72" t="n">
        <v>-34.11</v>
      </c>
      <c r="AS193" s="72" t="n">
        <v>6.38</v>
      </c>
      <c r="AT193" s="72" t="n">
        <v>-2.7</v>
      </c>
      <c r="AU193" s="72" t="n">
        <v>-44.05</v>
      </c>
      <c r="AV193" s="72" t="n">
        <v>-1.39</v>
      </c>
      <c r="AW193" s="72" t="n">
        <v>5.35</v>
      </c>
      <c r="AX193" s="72" t="n">
        <v>7.26</v>
      </c>
      <c r="AY193" s="63" t="inlineStr">
        <is>
          <t>HSTECH (Hang Seng TECH ETF)</t>
        </is>
      </c>
      <c r="AZ193" s="72" t="n">
        <v>-63.2</v>
      </c>
      <c r="BA193" s="64" t="inlineStr">
        <is>
          <t>2026-08-28</t>
        </is>
      </c>
      <c r="BB193" s="65" t="n">
        <v>1509.1</v>
      </c>
      <c r="BC193" s="68" t="n">
        <v>-672.8</v>
      </c>
      <c r="BD193" s="63" t="inlineStr">
        <is>
          <t>N</t>
        </is>
      </c>
      <c r="BE193" s="63" t="inlineStr">
        <is>
          <t>n/m</t>
        </is>
      </c>
      <c r="BF193" s="74" t="n"/>
      <c r="BG193" s="74" t="n">
        <v>12.7</v>
      </c>
      <c r="BH193" s="74" t="n">
        <v>4.5</v>
      </c>
      <c r="BI193" s="75">
        <f>IF('BBG Verify'!S193="","not filed — run on terminal",'BBG Verify'!S193)</f>
        <v/>
      </c>
      <c r="BJ193" s="76" t="inlineStr">
        <is>
          <t>N</t>
        </is>
      </c>
      <c r="BK193" s="77">
        <f>IF('BBG Verify'!K193="","not filed — run on terminal",'BBG Verify'!K193)</f>
        <v/>
      </c>
      <c r="BL193" s="63" t="inlineStr">
        <is>
          <t>N/A</t>
        </is>
      </c>
      <c r="BM193" s="63" t="inlineStr">
        <is>
          <t>N/A</t>
        </is>
      </c>
      <c r="BN193" s="63" t="inlineStr">
        <is>
          <t>N/A</t>
        </is>
      </c>
      <c r="BO193" s="63" t="inlineStr">
        <is>
          <t>N/A</t>
        </is>
      </c>
      <c r="BP193" s="63" t="inlineStr">
        <is>
          <t>N/A</t>
        </is>
      </c>
      <c r="BQ193" s="63" t="inlineStr">
        <is>
          <t>N/A</t>
        </is>
      </c>
      <c r="BR193" s="76" t="n"/>
      <c r="BS193" s="63" t="inlineStr">
        <is>
          <t>China International Capital Corporation Hong Kong Securities Limited</t>
        </is>
      </c>
      <c r="BT193" s="63" t="inlineStr">
        <is>
          <t>China International Capital Corporation Hong Kong Securities Limited; Credit Suisse (Hong Kong) Limited; CLSA Limited</t>
        </is>
      </c>
      <c r="BU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V193" s="78">
        <f>HYPERLINK("https://www1.hkexnews.hk/listedco/listconews/sehk/2023/0515/2023051500005.pdf","prospectus")</f>
        <v/>
      </c>
      <c r="BW193" s="78">
        <f>HYPERLINK("https://www1.hkexnews.hk/listedco/listconews/sehk/2023/0524/2023052400060.htm","allotment")</f>
        <v/>
      </c>
      <c r="BX193" s="78">
        <f>HYPERLINK("https://www1.hkexnews.hk/listedco/listconews/sehk/2023/0618/2023061800019.pdf","stabilisation")</f>
        <v/>
      </c>
      <c r="BY193" s="76" t="n"/>
      <c r="BZ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72" t="n"/>
      <c r="AC194" s="66" t="n"/>
      <c r="AD194" s="72" t="n"/>
      <c r="AE194" s="63" t="n"/>
      <c r="AF194" s="63" t="inlineStr">
        <is>
          <t>lapsed</t>
        </is>
      </c>
      <c r="AG194" s="63" t="inlineStr">
        <is>
          <t>2023-07-05</t>
        </is>
      </c>
      <c r="AH194" s="63" t="inlineStr">
        <is>
          <t>China International Capital Corporation Hong Kong Securities Limited</t>
        </is>
      </c>
      <c r="AI194" s="63" t="inlineStr">
        <is>
          <t>China International</t>
        </is>
      </c>
      <c r="AJ194" s="73" t="n">
        <v>0.46</v>
      </c>
      <c r="AK194" s="72" t="n">
        <v>-0.23</v>
      </c>
      <c r="AL194" s="72" t="n">
        <v>0.6899999999999999</v>
      </c>
      <c r="AM194" s="72" t="n">
        <v>38.67</v>
      </c>
      <c r="AN194" s="72" t="n">
        <v>-1.6</v>
      </c>
      <c r="AO194" s="72" t="n">
        <v>1.37</v>
      </c>
      <c r="AP194" s="72" t="n">
        <v>38.04</v>
      </c>
      <c r="AQ194" s="72" t="n">
        <v>-2.05</v>
      </c>
      <c r="AR194" s="72" t="n">
        <v>0.91</v>
      </c>
      <c r="AS194" s="72" t="n">
        <v>36.95</v>
      </c>
      <c r="AT194" s="72" t="n">
        <v>2.24</v>
      </c>
      <c r="AU194" s="72" t="n">
        <v>7.31</v>
      </c>
      <c r="AV194" s="72" t="n">
        <v>0.76</v>
      </c>
      <c r="AW194" s="72" t="n">
        <v>-3.84</v>
      </c>
      <c r="AX194" s="72" t="n">
        <v>-2.81</v>
      </c>
      <c r="AY194" s="63" t="inlineStr">
        <is>
          <t>China Biotech ETF (HS biotech proxy)</t>
        </is>
      </c>
      <c r="AZ194" s="72" t="n">
        <v>-91.05</v>
      </c>
      <c r="BA194" s="64" t="inlineStr">
        <is>
          <t>2026-08-28</t>
        </is>
      </c>
      <c r="BB194" s="65" t="n">
        <v>12.5</v>
      </c>
      <c r="BC194" s="68" t="n">
        <v>-611.4</v>
      </c>
      <c r="BD194" s="63" t="inlineStr">
        <is>
          <t>N</t>
        </is>
      </c>
      <c r="BE194" s="63" t="inlineStr">
        <is>
          <t>n/m</t>
        </is>
      </c>
      <c r="BF194" s="74" t="n"/>
      <c r="BG194" s="74" t="n"/>
      <c r="BH194" s="74" t="n">
        <v>502.2</v>
      </c>
      <c r="BI194" s="75">
        <f>IF('BBG Verify'!S194="","not filed — run on terminal",'BBG Verify'!S194)</f>
        <v/>
      </c>
      <c r="BJ194" s="76" t="inlineStr">
        <is>
          <t>N</t>
        </is>
      </c>
      <c r="BK194" s="77">
        <f>IF('BBG Verify'!K194="","not filed — run on terminal",'BBG Verify'!K194)</f>
        <v/>
      </c>
      <c r="BL194" s="63" t="inlineStr">
        <is>
          <t>N/A</t>
        </is>
      </c>
      <c r="BM194" s="63" t="inlineStr">
        <is>
          <t>N/A</t>
        </is>
      </c>
      <c r="BN194" s="63" t="inlineStr">
        <is>
          <t>N/A</t>
        </is>
      </c>
      <c r="BO194" s="63" t="inlineStr">
        <is>
          <t>N/A</t>
        </is>
      </c>
      <c r="BP194" s="63" t="inlineStr">
        <is>
          <t>N/A</t>
        </is>
      </c>
      <c r="BQ194" s="63" t="inlineStr">
        <is>
          <t>N/A</t>
        </is>
      </c>
      <c r="BR194" s="76" t="n"/>
      <c r="BS194" s="63" t="inlineStr">
        <is>
          <t>China International Capital Corporation Hong Kong Securities Limited</t>
        </is>
      </c>
      <c r="BT194" s="63" t="inlineStr">
        <is>
          <t>BOCI Asia Limited; China International Capital Corporation Hong Kong Securities Limited; CLSA Limited; CMB International Capital Limited; Deutsche Bank AG, Hong Kong Branch; Futu Securities International (Hong Kong) Limited</t>
        </is>
      </c>
      <c r="BU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V194" s="78">
        <f>HYPERLINK("https://www1.hkexnews.hk/listedco/listconews/sehk/2023/0531/2023053100174.htm","prospectus")</f>
        <v/>
      </c>
      <c r="BW194" s="78">
        <f>HYPERLINK("https://www1.hkexnews.hk/listedco/listconews/sehk/2023/0609/2023060900016.htm","allotment")</f>
        <v/>
      </c>
      <c r="BX194" s="78">
        <f>HYPERLINK("https://www1.hkexnews.hk/listedco/listconews/sehk/2023/0705/2023070500577.pdf","stabilisation")</f>
        <v/>
      </c>
      <c r="BY194" s="76" t="n"/>
      <c r="BZ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no grey-market headline on file for this deal — AAStocks publishes one per listing but keeps only recent items on the stock's news page, and no public archive of past evening sessions exists; captured from this run onward</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72" t="n"/>
      <c r="AC195" s="66" t="n"/>
      <c r="AD195" s="72" t="n"/>
      <c r="AE195" s="63" t="n"/>
      <c r="AF195" s="63" t="inlineStr">
        <is>
          <t>partial</t>
        </is>
      </c>
      <c r="AG195" s="63" t="inlineStr">
        <is>
          <t>2023-07-20</t>
        </is>
      </c>
      <c r="AH195" s="63" t="inlineStr">
        <is>
          <t>China International Capital Corporation Hong Kong Securities Limited</t>
        </is>
      </c>
      <c r="AI195" s="63" t="inlineStr">
        <is>
          <t>China International</t>
        </is>
      </c>
      <c r="AJ195" s="73" t="n">
        <v>5.5</v>
      </c>
      <c r="AK195" s="72" t="n">
        <v>15.25</v>
      </c>
      <c r="AL195" s="72" t="n">
        <v>-8.460000000000001</v>
      </c>
      <c r="AM195" s="72" t="n">
        <v>22.5</v>
      </c>
      <c r="AN195" s="72" t="n">
        <v>147.5</v>
      </c>
      <c r="AO195" s="72" t="n">
        <v>154.5</v>
      </c>
      <c r="AP195" s="72" t="n">
        <v>16.11</v>
      </c>
      <c r="AQ195" s="72" t="n">
        <v>134.6</v>
      </c>
      <c r="AR195" s="72" t="n">
        <v>141.23</v>
      </c>
      <c r="AS195" s="72" t="n">
        <v>19.59</v>
      </c>
      <c r="AT195" s="72" t="n">
        <v>140.71</v>
      </c>
      <c r="AU195" s="72" t="n">
        <v>151.87</v>
      </c>
      <c r="AV195" s="72" t="n">
        <v>127.14</v>
      </c>
      <c r="AW195" s="72" t="n">
        <v>6.79</v>
      </c>
      <c r="AX195" s="72" t="n">
        <v>7.46</v>
      </c>
      <c r="AY195" s="63" t="inlineStr">
        <is>
          <t>China Biotech ETF (HS biotech proxy)</t>
        </is>
      </c>
      <c r="AZ195" s="72" t="n">
        <v>-82.08</v>
      </c>
      <c r="BA195" s="64" t="inlineStr">
        <is>
          <t>2026-08-28</t>
        </is>
      </c>
      <c r="BB195" s="65" t="n">
        <v>15702.3</v>
      </c>
      <c r="BC195" s="68" t="n">
        <v>-1650</v>
      </c>
      <c r="BD195" s="63" t="inlineStr">
        <is>
          <t>N</t>
        </is>
      </c>
      <c r="BE195" s="63" t="inlineStr">
        <is>
          <t>n/m</t>
        </is>
      </c>
      <c r="BF195" s="74" t="n"/>
      <c r="BG195" s="74" t="n">
        <v>13.5</v>
      </c>
      <c r="BH195" s="74" t="n">
        <v>0.8</v>
      </c>
      <c r="BI195" s="75">
        <f>IF('BBG Verify'!S195="","not filed — run on terminal",'BBG Verify'!S195)</f>
        <v/>
      </c>
      <c r="BJ195" s="76" t="inlineStr">
        <is>
          <t>N</t>
        </is>
      </c>
      <c r="BK195" s="77">
        <f>IF('BBG Verify'!K195="","not filed — run on terminal",'BBG Verify'!K195)</f>
        <v/>
      </c>
      <c r="BL195" s="63" t="inlineStr">
        <is>
          <t>N/A</t>
        </is>
      </c>
      <c r="BM195" s="63" t="inlineStr">
        <is>
          <t>N/A</t>
        </is>
      </c>
      <c r="BN195" s="63" t="inlineStr">
        <is>
          <t>N/A</t>
        </is>
      </c>
      <c r="BO195" s="63" t="inlineStr">
        <is>
          <t>N/A</t>
        </is>
      </c>
      <c r="BP195" s="63" t="inlineStr">
        <is>
          <t>N/A</t>
        </is>
      </c>
      <c r="BQ195" s="63" t="inlineStr">
        <is>
          <t>N/A</t>
        </is>
      </c>
      <c r="BR195" s="76" t="n"/>
      <c r="BS195" s="63" t="inlineStr">
        <is>
          <t>China International Capital Corporation Hong Kong Securities Limited</t>
        </is>
      </c>
      <c r="BT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V195" s="78">
        <f>HYPERLINK("https://www1.hkexnews.hk/listedco/listconews/sehk/2023/0615/2023061500046.htm","prospectus")</f>
        <v/>
      </c>
      <c r="BW195" s="78">
        <f>HYPERLINK("https://www1.hkexnews.hk/listedco/listconews/sehk/2023/0627/2023062700054.htm","allotment")</f>
        <v/>
      </c>
      <c r="BX195" s="78">
        <f>HYPERLINK("https://www1.hkexnews.hk/listedco/listconews/sehk/2023/0720/2023072001211.pdf","stabilisation")</f>
        <v/>
      </c>
      <c r="BY195" s="76" t="n"/>
      <c r="BZ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72" t="n"/>
      <c r="AC196" s="66" t="n"/>
      <c r="AD196" s="72" t="n"/>
      <c r="AE196" s="63" t="n"/>
      <c r="AF196" s="63" t="n"/>
      <c r="AG196" s="63" t="n"/>
      <c r="AH196" s="63" t="n"/>
      <c r="AI196" s="63" t="n"/>
      <c r="AJ196" s="73" t="n">
        <v>20.87</v>
      </c>
      <c r="AK196" s="72" t="n">
        <v>0.24</v>
      </c>
      <c r="AL196" s="72" t="n">
        <v>20.58</v>
      </c>
      <c r="AM196" s="72" t="n">
        <v>22.32</v>
      </c>
      <c r="AN196" s="72" t="n">
        <v>16.52</v>
      </c>
      <c r="AO196" s="72" t="n">
        <v>10.39</v>
      </c>
      <c r="AP196" s="72" t="n">
        <v>1.2</v>
      </c>
      <c r="AQ196" s="72" t="n">
        <v>-3.6</v>
      </c>
      <c r="AR196" s="72" t="n">
        <v>-8.67</v>
      </c>
      <c r="AS196" s="72" t="n">
        <v>20.87</v>
      </c>
      <c r="AT196" s="72" t="n">
        <v>11.37</v>
      </c>
      <c r="AU196" s="72" t="n">
        <v>7.29</v>
      </c>
      <c r="AV196" s="72" t="n">
        <v>-9.16</v>
      </c>
      <c r="AW196" s="72" t="n">
        <v>5.15</v>
      </c>
      <c r="AX196" s="72" t="n">
        <v>5.56</v>
      </c>
      <c r="AY196" s="63" t="inlineStr">
        <is>
          <t>China Biotech ETF (HS biotech proxy)</t>
        </is>
      </c>
      <c r="AZ196" s="72" t="n">
        <v>-51.57</v>
      </c>
      <c r="BA196" s="64" t="inlineStr">
        <is>
          <t>2026-08-28</t>
        </is>
      </c>
      <c r="BB196" s="65" t="n">
        <v>0</v>
      </c>
      <c r="BC196" s="68" t="n">
        <v>-859.8</v>
      </c>
      <c r="BD196" s="63" t="inlineStr">
        <is>
          <t>N</t>
        </is>
      </c>
      <c r="BE196" s="63" t="inlineStr">
        <is>
          <t>n/m</t>
        </is>
      </c>
      <c r="BF196" s="74" t="n"/>
      <c r="BG196" s="74" t="n"/>
      <c r="BH196" s="63" t="inlineStr">
        <is>
          <t>pre-rev</t>
        </is>
      </c>
      <c r="BI196" s="75">
        <f>IF('BBG Verify'!S196="","not filed — run on terminal",'BBG Verify'!S196)</f>
        <v/>
      </c>
      <c r="BJ196" s="76" t="inlineStr">
        <is>
          <t>N</t>
        </is>
      </c>
      <c r="BK196" s="77">
        <f>IF('BBG Verify'!K196="","not filed — run on terminal",'BBG Verify'!K196)</f>
        <v/>
      </c>
      <c r="BL196" s="63" t="inlineStr">
        <is>
          <t>N/A</t>
        </is>
      </c>
      <c r="BM196" s="63" t="inlineStr">
        <is>
          <t>N/A</t>
        </is>
      </c>
      <c r="BN196" s="63" t="inlineStr">
        <is>
          <t>N/A</t>
        </is>
      </c>
      <c r="BO196" s="63" t="inlineStr">
        <is>
          <t>N/A</t>
        </is>
      </c>
      <c r="BP196" s="63" t="inlineStr">
        <is>
          <t>N/A</t>
        </is>
      </c>
      <c r="BQ196" s="63" t="inlineStr">
        <is>
          <t>N/A</t>
        </is>
      </c>
      <c r="BR196" s="76" t="inlineStr">
        <is>
          <t>China International Capital Corporation Hong Kong Securities Limited</t>
        </is>
      </c>
      <c r="BS196" s="63" t="inlineStr">
        <is>
          <t>China International Capital Corporation Hong Kong Securities Limited</t>
        </is>
      </c>
      <c r="BT196" s="63" t="inlineStr">
        <is>
          <t>China International Capital Corporation Hong Kong Securities Limited; Haitong International Securities Company Limited; ICBC International Securities Limited; ABCI Capital Limited</t>
        </is>
      </c>
      <c r="BU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V196" s="78">
        <f>HYPERLINK("https://www1.hkexnews.hk/listedco/listconews/sehk/2023/0616/2023061600013.pdf","prospectus")</f>
        <v/>
      </c>
      <c r="BW196" s="78">
        <f>HYPERLINK("https://www1.hkexnews.hk/listedco/listconews/sehk/2023/0628/2023062800052.htm","allotment")</f>
        <v/>
      </c>
      <c r="BX196" s="63" t="n"/>
      <c r="BY196" s="76" t="n"/>
      <c r="BZ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72" t="n"/>
      <c r="AC197" s="66" t="n"/>
      <c r="AD197" s="72" t="n"/>
      <c r="AE197" s="63" t="n"/>
      <c r="AF197" s="63" t="inlineStr">
        <is>
          <t>partial</t>
        </is>
      </c>
      <c r="AG197" s="63" t="inlineStr">
        <is>
          <t>2023-07-23</t>
        </is>
      </c>
      <c r="AH197" s="63" t="inlineStr">
        <is>
          <t>Morgan Stanley Asia Limited</t>
        </is>
      </c>
      <c r="AI197" s="63" t="inlineStr">
        <is>
          <t>Morgan Stanley</t>
        </is>
      </c>
      <c r="AJ197" s="73" t="n">
        <v>12.01</v>
      </c>
      <c r="AK197" s="72" t="n">
        <v>0</v>
      </c>
      <c r="AL197" s="72" t="n">
        <v>12.01</v>
      </c>
      <c r="AM197" s="72" t="n">
        <v>1.62</v>
      </c>
      <c r="AN197" s="72" t="n">
        <v>0.65</v>
      </c>
      <c r="AO197" s="72" t="n">
        <v>19.97</v>
      </c>
      <c r="AP197" s="72" t="n">
        <v>-9.279999999999999</v>
      </c>
      <c r="AQ197" s="72" t="n">
        <v>-10.14</v>
      </c>
      <c r="AR197" s="72" t="n">
        <v>7.11</v>
      </c>
      <c r="AS197" s="72" t="n">
        <v>0.34</v>
      </c>
      <c r="AT197" s="72" t="n">
        <v>-5.38</v>
      </c>
      <c r="AU197" s="72" t="n">
        <v>17.55</v>
      </c>
      <c r="AV197" s="72" t="n">
        <v>-14.42</v>
      </c>
      <c r="AW197" s="72" t="n">
        <v>6.03</v>
      </c>
      <c r="AX197" s="72" t="n">
        <v>4.28</v>
      </c>
      <c r="AY197" s="63" t="inlineStr">
        <is>
          <t>China Biotech ETF (HS biotech proxy)</t>
        </is>
      </c>
      <c r="AZ197" s="72" t="n">
        <v>-68.59</v>
      </c>
      <c r="BA197" s="64" t="inlineStr">
        <is>
          <t>2026-08-28</t>
        </is>
      </c>
      <c r="BB197" s="65" t="n">
        <v>5346.7</v>
      </c>
      <c r="BC197" s="68" t="n">
        <v>753.4</v>
      </c>
      <c r="BD197" s="63" t="inlineStr">
        <is>
          <t>Y</t>
        </is>
      </c>
      <c r="BE197" s="74" t="n">
        <v>11.8</v>
      </c>
      <c r="BF197" s="74" t="n"/>
      <c r="BG197" s="74" t="n">
        <v>108.8</v>
      </c>
      <c r="BH197" s="74" t="n">
        <v>1.7</v>
      </c>
      <c r="BI197" s="75">
        <f>IF('BBG Verify'!S197="","not filed — run on terminal",'BBG Verify'!S197)</f>
        <v/>
      </c>
      <c r="BJ197" s="76" t="inlineStr">
        <is>
          <t>N</t>
        </is>
      </c>
      <c r="BK197" s="77">
        <f>IF('BBG Verify'!K197="","not filed — run on terminal",'BBG Verify'!K197)</f>
        <v/>
      </c>
      <c r="BL197" s="63" t="inlineStr">
        <is>
          <t>N/A</t>
        </is>
      </c>
      <c r="BM197" s="63" t="inlineStr">
        <is>
          <t>N/A</t>
        </is>
      </c>
      <c r="BN197" s="63" t="inlineStr">
        <is>
          <t>N/A</t>
        </is>
      </c>
      <c r="BO197" s="63" t="inlineStr">
        <is>
          <t>N/A</t>
        </is>
      </c>
      <c r="BP197" s="63" t="inlineStr">
        <is>
          <t>N/A</t>
        </is>
      </c>
      <c r="BQ197" s="63" t="inlineStr">
        <is>
          <t>N/A</t>
        </is>
      </c>
      <c r="BR197" s="76" t="inlineStr">
        <is>
          <t>and Sponsor-OCs Morgan Stanley Asia Limited; Jefferies Hong Kong Limited</t>
        </is>
      </c>
      <c r="BS197" s="63" t="inlineStr">
        <is>
          <t>Jefferies Hong Kong Limited; Morgan Stanley Asia Limited</t>
        </is>
      </c>
      <c r="BT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U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V197" s="78">
        <f>HYPERLINK("https://www1.hkexnews.hk/listedco/listconews/sehk/2023/0619/2023061900005.pdf","prospectus")</f>
        <v/>
      </c>
      <c r="BW197" s="78">
        <f>HYPERLINK("https://www1.hkexnews.hk/listedco/listconews/sehk/2023/0629/2023062900124.htm","allotment")</f>
        <v/>
      </c>
      <c r="BX197" s="78">
        <f>HYPERLINK("https://www1.hkexnews.hk/listedco/listconews/sehk/2023/0723/2023072300027.pdf","stabilisation")</f>
        <v/>
      </c>
      <c r="BY197" s="76" t="n"/>
      <c r="BZ197"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72" t="n"/>
      <c r="AC198" s="66" t="n"/>
      <c r="AD198" s="72" t="n"/>
      <c r="AE198" s="63" t="n"/>
      <c r="AF198" s="63" t="inlineStr">
        <is>
          <t>lapsed (no over-allocation)</t>
        </is>
      </c>
      <c r="AG198" s="63" t="n"/>
      <c r="AH198" s="63" t="inlineStr">
        <is>
          <t>Guotai Junan Securities</t>
        </is>
      </c>
      <c r="AI198" s="63" t="inlineStr">
        <is>
          <t>Guotai Junan</t>
        </is>
      </c>
      <c r="AJ198" s="73" t="n">
        <v>0</v>
      </c>
      <c r="AK198" s="72" t="n">
        <v>0</v>
      </c>
      <c r="AL198" s="72" t="n">
        <v>0</v>
      </c>
      <c r="AM198" s="72" t="n">
        <v>-19.72</v>
      </c>
      <c r="AN198" s="72" t="n">
        <v>-22.22</v>
      </c>
      <c r="AO198" s="72" t="n">
        <v>-26.94</v>
      </c>
      <c r="AP198" s="72" t="n">
        <v>-19.72</v>
      </c>
      <c r="AQ198" s="72" t="n">
        <v>-22.22</v>
      </c>
      <c r="AR198" s="72" t="n">
        <v>-26.94</v>
      </c>
      <c r="AS198" s="72" t="n">
        <v>-24.4</v>
      </c>
      <c r="AT198" s="72" t="n">
        <v>-29.55</v>
      </c>
      <c r="AU198" s="72" t="n">
        <v>-25.35</v>
      </c>
      <c r="AV198" s="72" t="n">
        <v>-28.46</v>
      </c>
      <c r="AW198" s="72" t="n">
        <v>7.33</v>
      </c>
      <c r="AX198" s="72" t="n">
        <v>6.24</v>
      </c>
      <c r="AY198" s="63" t="inlineStr">
        <is>
          <t>Hang Seng Commerce &amp; Industry sub-index</t>
        </is>
      </c>
      <c r="AZ198" s="72" t="n">
        <v>-28.47</v>
      </c>
      <c r="BA198" s="64" t="inlineStr">
        <is>
          <t>2026-08-28</t>
        </is>
      </c>
      <c r="BB198" s="65" t="n">
        <v>1588.1</v>
      </c>
      <c r="BC198" s="68" t="n">
        <v>154.4</v>
      </c>
      <c r="BD198" s="63" t="inlineStr">
        <is>
          <t>Y</t>
        </is>
      </c>
      <c r="BE198" s="74" t="n">
        <v>6.3</v>
      </c>
      <c r="BF198" s="74" t="n"/>
      <c r="BG198" s="74" t="n">
        <v>4</v>
      </c>
      <c r="BH198" s="74" t="n">
        <v>0.6</v>
      </c>
      <c r="BI198" s="75">
        <f>IF('BBG Verify'!S198="","not filed — run on terminal",'BBG Verify'!S198)</f>
        <v/>
      </c>
      <c r="BJ198" s="76" t="inlineStr">
        <is>
          <t>N</t>
        </is>
      </c>
      <c r="BK198" s="77">
        <f>IF('BBG Verify'!K198="","not filed — run on terminal",'BBG Verify'!K198)</f>
        <v/>
      </c>
      <c r="BL198" s="63" t="inlineStr">
        <is>
          <t>N/A</t>
        </is>
      </c>
      <c r="BM198" s="63" t="inlineStr">
        <is>
          <t>N/A</t>
        </is>
      </c>
      <c r="BN198" s="63" t="inlineStr">
        <is>
          <t>N/A</t>
        </is>
      </c>
      <c r="BO198" s="63" t="inlineStr">
        <is>
          <t>N/A</t>
        </is>
      </c>
      <c r="BP198" s="63" t="inlineStr">
        <is>
          <t>N/A</t>
        </is>
      </c>
      <c r="BQ198" s="63" t="inlineStr">
        <is>
          <t>N/A</t>
        </is>
      </c>
      <c r="BR198" s="76" t="inlineStr">
        <is>
          <t>Guotai Junan Capital Limited</t>
        </is>
      </c>
      <c r="BS198" s="63" t="inlineStr">
        <is>
          <t>Guotai Junan Capital Limited</t>
        </is>
      </c>
      <c r="BT198" s="63" t="inlineStr">
        <is>
          <t>Guotai Junan Securities (Hong Kong) Limited; Orient Securities (Hong Kong) Limited; ABCI Capital Limited; China Galaxy International Securities (Hong Kong) Co., Limited</t>
        </is>
      </c>
      <c r="BU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V198" s="78">
        <f>HYPERLINK("https://www1.hkexnews.hk/listedco/listconews/sehk/2023/0628/2023062800029.pdf","prospectus")</f>
        <v/>
      </c>
      <c r="BW198" s="78">
        <f>HYPERLINK("https://www1.hkexnews.hk/listedco/listconews/sehk/2023/0707/2023070700062.htm","allotment")</f>
        <v/>
      </c>
      <c r="BX198" s="78">
        <f>HYPERLINK("https://www1.hkexnews.hk/listedco/listconews/sehk/2023/0802/2023080201548.pdf","stabilisation")</f>
        <v/>
      </c>
      <c r="BY198" s="76" t="n"/>
      <c r="BZ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no grey-market headline on file for this deal — AAStocks publishes one per listing but keeps only recent items on the stock's news page, and no public archive of past evening sessions exists; captured from this run onward</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72" t="n"/>
      <c r="AC199" s="66" t="n"/>
      <c r="AD199" s="72" t="n"/>
      <c r="AE199" s="63" t="n"/>
      <c r="AF199" s="63" t="inlineStr">
        <is>
          <t>full</t>
        </is>
      </c>
      <c r="AG199" s="63" t="inlineStr">
        <is>
          <t>2023-08-03</t>
        </is>
      </c>
      <c r="AH199" s="63" t="inlineStr">
        <is>
          <t>Goldman Sachs</t>
        </is>
      </c>
      <c r="AI199" s="63" t="inlineStr">
        <is>
          <t>Goldman Sachs</t>
        </is>
      </c>
      <c r="AJ199" s="73" t="n">
        <v>3.14</v>
      </c>
      <c r="AK199" s="72" t="n">
        <v>0</v>
      </c>
      <c r="AL199" s="72" t="n">
        <v>3.14</v>
      </c>
      <c r="AM199" s="72" t="n">
        <v>8.91</v>
      </c>
      <c r="AN199" s="72" t="n">
        <v>19.64</v>
      </c>
      <c r="AO199" s="72" t="n">
        <v>33.66</v>
      </c>
      <c r="AP199" s="72" t="n">
        <v>5.59</v>
      </c>
      <c r="AQ199" s="72" t="n">
        <v>16</v>
      </c>
      <c r="AR199" s="72" t="n">
        <v>29.59</v>
      </c>
      <c r="AS199" s="72" t="n">
        <v>8.56</v>
      </c>
      <c r="AT199" s="72" t="n">
        <v>19.74</v>
      </c>
      <c r="AU199" s="72" t="n">
        <v>27.77</v>
      </c>
      <c r="AV199" s="72" t="n">
        <v>16.9</v>
      </c>
      <c r="AW199" s="72" t="n">
        <v>-0.1</v>
      </c>
      <c r="AX199" s="72" t="n">
        <v>-0.9</v>
      </c>
      <c r="AY199" s="63" t="inlineStr">
        <is>
          <t>China Biotech ETF (HS biotech proxy)</t>
        </is>
      </c>
      <c r="AZ199" s="72" t="n">
        <v>749.01</v>
      </c>
      <c r="BA199" s="64" t="inlineStr">
        <is>
          <t>2026-08-28</t>
        </is>
      </c>
      <c r="BB199" s="65" t="n">
        <v>884.3</v>
      </c>
      <c r="BC199" s="68" t="n">
        <v>-677.7</v>
      </c>
      <c r="BD199" s="63" t="inlineStr">
        <is>
          <t>N</t>
        </is>
      </c>
      <c r="BE199" s="63" t="inlineStr">
        <is>
          <t>n/m</t>
        </is>
      </c>
      <c r="BF199" s="74" t="n"/>
      <c r="BG199" s="74" t="n">
        <v>692.3</v>
      </c>
      <c r="BH199" s="74" t="n">
        <v>14.8</v>
      </c>
      <c r="BI199" s="75">
        <f>IF('BBG Verify'!S199="","not filed — run on terminal",'BBG Verify'!S199)</f>
        <v/>
      </c>
      <c r="BJ199" s="76" t="inlineStr">
        <is>
          <t>N</t>
        </is>
      </c>
      <c r="BK199" s="77">
        <f>IF('BBG Verify'!K199="","not filed — run on terminal",'BBG Verify'!K199)</f>
        <v/>
      </c>
      <c r="BL199" s="63" t="inlineStr">
        <is>
          <t>N/A</t>
        </is>
      </c>
      <c r="BM199" s="63" t="inlineStr">
        <is>
          <t>N/A</t>
        </is>
      </c>
      <c r="BN199" s="63" t="inlineStr">
        <is>
          <t>N/A</t>
        </is>
      </c>
      <c r="BO199" s="63" t="inlineStr">
        <is>
          <t>N/A</t>
        </is>
      </c>
      <c r="BP199" s="63" t="inlineStr">
        <is>
          <t>N/A</t>
        </is>
      </c>
      <c r="BQ199" s="63" t="inlineStr">
        <is>
          <t>N/A</t>
        </is>
      </c>
      <c r="BR199" s="76" t="inlineStr">
        <is>
          <t>Goldman Sachs (Asia) L.L.C; CITIC Securities (Hong Kong) Limited</t>
        </is>
      </c>
      <c r="BS199" s="63" t="inlineStr">
        <is>
          <t>Goldman Sachs (Asia) L.L.C.; CITIC Securities (Hong Kong) Limited</t>
        </is>
      </c>
      <c r="BT199" s="63" t="inlineStr">
        <is>
          <t>Goldman Sachs (Asia) L.L.C; CLSA Limited; Citigroup Global Markets Asia Limited; Citigroup Global Markets Limited; 144 – ICBC International Securities Limited; BOCOM International Securities Limited</t>
        </is>
      </c>
      <c r="BU199" s="63" t="inlineStr">
        <is>
          <t>Beta International Securities Limited; Citigroup Global Markets Asia Limited; CLSA Limited; Goldman Sachs (Asia) L.L.C.; ICBC International Securities Limited</t>
        </is>
      </c>
      <c r="BV199" s="78">
        <f>HYPERLINK("https://www1.hkexnews.hk/listedco/listconews/sehk/2023/0629/2023062900043.pdf","prospectus")</f>
        <v/>
      </c>
      <c r="BW199" s="78">
        <f>HYPERLINK("https://www1.hkexnews.hk/listedco/listconews/sehk/2023/0710/2023071000008.htm","allotment")</f>
        <v/>
      </c>
      <c r="BX199" s="78">
        <f>HYPERLINK("https://www1.hkexnews.hk/listedco/listconews/sehk/2023/0803/2023080302096.pdf","stabilisation")</f>
        <v/>
      </c>
      <c r="BY199" s="76" t="n"/>
      <c r="BZ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no grey-market headline on file for this deal — AAStocks publishes one per listing but keeps only recent items on the stock's news page, and no public archive of past evening sessions exists; captured from this run onward</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72" t="n"/>
      <c r="AC200" s="66" t="n"/>
      <c r="AD200" s="72" t="n"/>
      <c r="AE200" s="63" t="n"/>
      <c r="AF200" s="63" t="inlineStr">
        <is>
          <t>lapsed</t>
        </is>
      </c>
      <c r="AG200" s="63" t="inlineStr">
        <is>
          <t>2023-08-04</t>
        </is>
      </c>
      <c r="AH200" s="63" t="inlineStr">
        <is>
          <t>China International Capital Corporation Hong Kong Securities Limited</t>
        </is>
      </c>
      <c r="AI200" s="63" t="inlineStr">
        <is>
          <t>China International</t>
        </is>
      </c>
      <c r="AJ200" s="73" t="n">
        <v>0.28</v>
      </c>
      <c r="AK200" s="72" t="n">
        <v>4.77</v>
      </c>
      <c r="AL200" s="72" t="n">
        <v>-4.29</v>
      </c>
      <c r="AM200" s="72" t="n">
        <v>-0.24</v>
      </c>
      <c r="AN200" s="72" t="n">
        <v>9.27</v>
      </c>
      <c r="AO200" s="72" t="n">
        <v>0.62</v>
      </c>
      <c r="AP200" s="72" t="n">
        <v>-0.52</v>
      </c>
      <c r="AQ200" s="72" t="n">
        <v>8.960000000000001</v>
      </c>
      <c r="AR200" s="72" t="n">
        <v>0.34</v>
      </c>
      <c r="AS200" s="72" t="n">
        <v>-1.92</v>
      </c>
      <c r="AT200" s="72" t="n">
        <v>2.04</v>
      </c>
      <c r="AU200" s="72" t="n">
        <v>3.63</v>
      </c>
      <c r="AV200" s="72" t="n">
        <v>3.87</v>
      </c>
      <c r="AW200" s="72" t="n">
        <v>7.23</v>
      </c>
      <c r="AX200" s="72" t="n">
        <v>5.09</v>
      </c>
      <c r="AY200" s="63" t="inlineStr">
        <is>
          <t>HSTECH (Hang Seng TECH ETF)</t>
        </is>
      </c>
      <c r="AZ200" s="72" t="n">
        <v>-94.09</v>
      </c>
      <c r="BA200" s="64" t="inlineStr">
        <is>
          <t>2026-08-28</t>
        </is>
      </c>
      <c r="BB200" s="65" t="n">
        <v>959.7</v>
      </c>
      <c r="BC200" s="68" t="n">
        <v>-115</v>
      </c>
      <c r="BD200" s="63" t="inlineStr">
        <is>
          <t>N</t>
        </is>
      </c>
      <c r="BE200" s="63" t="inlineStr">
        <is>
          <t>n/m</t>
        </is>
      </c>
      <c r="BF200" s="74" t="n"/>
      <c r="BG200" s="74" t="n"/>
      <c r="BH200" s="74" t="n">
        <v>24.8</v>
      </c>
      <c r="BI200" s="75">
        <f>IF('BBG Verify'!S200="","not filed — run on terminal",'BBG Verify'!S200)</f>
        <v/>
      </c>
      <c r="BJ200" s="76" t="inlineStr">
        <is>
          <t>N</t>
        </is>
      </c>
      <c r="BK200" s="77">
        <f>IF('BBG Verify'!K200="","not filed — run on terminal",'BBG Verify'!K200)</f>
        <v/>
      </c>
      <c r="BL200" s="63" t="inlineStr">
        <is>
          <t>N/A</t>
        </is>
      </c>
      <c r="BM200" s="63" t="inlineStr">
        <is>
          <t>N/A</t>
        </is>
      </c>
      <c r="BN200" s="63" t="inlineStr">
        <is>
          <t>N/A</t>
        </is>
      </c>
      <c r="BO200" s="63" t="inlineStr">
        <is>
          <t>N/A</t>
        </is>
      </c>
      <c r="BP200" s="63" t="inlineStr">
        <is>
          <t>N/A</t>
        </is>
      </c>
      <c r="BQ200" s="63" t="inlineStr">
        <is>
          <t>N/A</t>
        </is>
      </c>
      <c r="BR200" s="76" t="n"/>
      <c r="BS200" s="63" t="inlineStr">
        <is>
          <t>China International Capital Corporation Hong Kong Securities Limited</t>
        </is>
      </c>
      <c r="BT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78">
        <f>HYPERLINK("https://www1.hkexnews.hk/listedco/listconews/sehk/2023/0630/2023063000230.htm","prospectus")</f>
        <v/>
      </c>
      <c r="BW200" s="78">
        <f>HYPERLINK("https://www1.hkexnews.hk/listedco/listconews/sehk/2023/0711/2023071100048.htm","allotment")</f>
        <v/>
      </c>
      <c r="BX200" s="78">
        <f>HYPERLINK("https://www1.hkexnews.hk/listedco/listconews/sehk/2023/0804/2023080401672.pdf","stabilisation")</f>
        <v/>
      </c>
      <c r="BY200" s="76" t="n"/>
      <c r="BZ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72" t="n"/>
      <c r="AC201" s="66" t="n"/>
      <c r="AD201" s="72" t="n"/>
      <c r="AE201" s="63" t="n"/>
      <c r="AF201" s="63" t="inlineStr">
        <is>
          <t>partial</t>
        </is>
      </c>
      <c r="AG201" s="63" t="inlineStr">
        <is>
          <t>2023-08-04</t>
        </is>
      </c>
      <c r="AH201" s="63" t="inlineStr">
        <is>
          <t>Bradbury Securities Limited</t>
        </is>
      </c>
      <c r="AI201" s="63" t="inlineStr">
        <is>
          <t>Bradbury</t>
        </is>
      </c>
      <c r="AJ201" s="73" t="n">
        <v>23.76</v>
      </c>
      <c r="AK201" s="72" t="n">
        <v>35.29</v>
      </c>
      <c r="AL201" s="72" t="n">
        <v>-8.52</v>
      </c>
      <c r="AM201" s="72" t="n">
        <v>67.06</v>
      </c>
      <c r="AN201" s="72" t="n">
        <v>34.35</v>
      </c>
      <c r="AO201" s="72" t="n">
        <v>102.35</v>
      </c>
      <c r="AP201" s="72" t="n">
        <v>34.99</v>
      </c>
      <c r="AQ201" s="72" t="n">
        <v>8.56</v>
      </c>
      <c r="AR201" s="72" t="n">
        <v>63.5</v>
      </c>
      <c r="AS201" s="72" t="n">
        <v>65.92</v>
      </c>
      <c r="AT201" s="72" t="n">
        <v>34.81</v>
      </c>
      <c r="AU201" s="72" t="n">
        <v>108.82</v>
      </c>
      <c r="AV201" s="72" t="n">
        <v>11.54</v>
      </c>
      <c r="AW201" s="72" t="n">
        <v>-0.46</v>
      </c>
      <c r="AX201" s="72" t="n">
        <v>-2.98</v>
      </c>
      <c r="AY201" s="63" t="inlineStr">
        <is>
          <t>Hang Seng Index</t>
        </is>
      </c>
      <c r="AZ201" s="72" t="n">
        <v>-4.59</v>
      </c>
      <c r="BA201" s="64" t="inlineStr">
        <is>
          <t>2026-08-28</t>
        </is>
      </c>
      <c r="BB201" s="65" t="n">
        <v>401.9</v>
      </c>
      <c r="BC201" s="68" t="n">
        <v>47.2</v>
      </c>
      <c r="BD201" s="63" t="inlineStr">
        <is>
          <t>Y</t>
        </is>
      </c>
      <c r="BE201" s="74" t="n">
        <v>225.9</v>
      </c>
      <c r="BF201" s="74" t="n"/>
      <c r="BG201" s="74" t="n"/>
      <c r="BH201" s="74" t="n">
        <v>26.5</v>
      </c>
      <c r="BI201" s="75">
        <f>IF('BBG Verify'!S201="","not filed — run on terminal",'BBG Verify'!S201)</f>
        <v/>
      </c>
      <c r="BJ201" s="76" t="inlineStr">
        <is>
          <t>N</t>
        </is>
      </c>
      <c r="BK201" s="77">
        <f>IF('BBG Verify'!K201="","not filed — run on terminal",'BBG Verify'!K201)</f>
        <v/>
      </c>
      <c r="BL201" s="63" t="inlineStr">
        <is>
          <t>N/A</t>
        </is>
      </c>
      <c r="BM201" s="63" t="inlineStr">
        <is>
          <t>N/A</t>
        </is>
      </c>
      <c r="BN201" s="63" t="inlineStr">
        <is>
          <t>N/A</t>
        </is>
      </c>
      <c r="BO201" s="63" t="inlineStr">
        <is>
          <t>N/A</t>
        </is>
      </c>
      <c r="BP201" s="63" t="inlineStr">
        <is>
          <t>N/A</t>
        </is>
      </c>
      <c r="BQ201" s="63" t="inlineStr">
        <is>
          <t>N/A</t>
        </is>
      </c>
      <c r="BR201" s="76" t="inlineStr">
        <is>
          <t>CMBC International Capital Limited</t>
        </is>
      </c>
      <c r="BS201" s="63" t="inlineStr">
        <is>
          <t>CMBC International Capital Limited</t>
        </is>
      </c>
      <c r="BT201" s="63" t="inlineStr">
        <is>
          <t>ABCI Capital Limited</t>
        </is>
      </c>
      <c r="BU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V201" s="78">
        <f>HYPERLINK("https://www1.hkexnews.hk/listedco/listconews/sehk/2023/0630/2023063000037.pdf","prospectus")</f>
        <v/>
      </c>
      <c r="BW201" s="78">
        <f>HYPERLINK("https://www1.hkexnews.hk/listedco/listconews/sehk/2023/0712/2023071200010.htm","allotment")</f>
        <v/>
      </c>
      <c r="BX201" s="78">
        <f>HYPERLINK("https://www1.hkexnews.hk/listedco/listconews/sehk/2023/0804/2023080401278.pdf","stabilisation")</f>
        <v/>
      </c>
      <c r="BY201" s="76" t="n"/>
      <c r="BZ201" s="63" t="inlineStr">
        <is>
          <t>range low: cap-only pricing — the filing publishes a Maximum Offer Price and no indicative floor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72" t="n"/>
      <c r="AC202" s="66" t="n"/>
      <c r="AD202" s="72" t="n"/>
      <c r="AE202" s="63" t="n"/>
      <c r="AF202" s="63" t="n"/>
      <c r="AG202" s="63" t="n"/>
      <c r="AH202" s="63" t="n"/>
      <c r="AI202" s="63" t="n"/>
      <c r="AJ202" s="73" t="n">
        <v>1.09</v>
      </c>
      <c r="AK202" s="72" t="n">
        <v>-4.35</v>
      </c>
      <c r="AL202" s="72" t="n">
        <v>5.69</v>
      </c>
      <c r="AM202" s="72" t="n">
        <v>1.09</v>
      </c>
      <c r="AN202" s="72" t="n">
        <v>-38.04</v>
      </c>
      <c r="AO202" s="72" t="n">
        <v>-53.26</v>
      </c>
      <c r="AP202" s="72" t="n">
        <v>0</v>
      </c>
      <c r="AQ202" s="72" t="n">
        <v>-38.71</v>
      </c>
      <c r="AR202" s="72" t="n">
        <v>-53.76</v>
      </c>
      <c r="AS202" s="72" t="n">
        <v>0.98</v>
      </c>
      <c r="AT202" s="72" t="n">
        <v>-32.45</v>
      </c>
      <c r="AU202" s="72" t="n">
        <v>-44.6</v>
      </c>
      <c r="AV202" s="72" t="n">
        <v>-35.1</v>
      </c>
      <c r="AW202" s="72" t="n">
        <v>-5.59</v>
      </c>
      <c r="AX202" s="72" t="n">
        <v>-3.61</v>
      </c>
      <c r="AY202" s="63" t="inlineStr">
        <is>
          <t>Hang Seng Index</t>
        </is>
      </c>
      <c r="AZ202" s="72" t="n">
        <v>-50</v>
      </c>
      <c r="BA202" s="64" t="inlineStr">
        <is>
          <t>2026-08-28</t>
        </is>
      </c>
      <c r="BB202" s="65" t="n">
        <v>240.7</v>
      </c>
      <c r="BC202" s="68" t="n">
        <v>39.4</v>
      </c>
      <c r="BD202" s="63" t="inlineStr">
        <is>
          <t>Y</t>
        </is>
      </c>
      <c r="BE202" s="74" t="n">
        <v>14</v>
      </c>
      <c r="BF202" s="74" t="n"/>
      <c r="BG202" s="74" t="n">
        <v>22.9</v>
      </c>
      <c r="BH202" s="74" t="n">
        <v>2.3</v>
      </c>
      <c r="BI202" s="75">
        <f>IF('BBG Verify'!S202="","not filed — run on terminal",'BBG Verify'!S202)</f>
        <v/>
      </c>
      <c r="BJ202" s="76" t="inlineStr">
        <is>
          <t>N</t>
        </is>
      </c>
      <c r="BK202" s="77">
        <f>IF('BBG Verify'!K202="","not filed — run on terminal",'BBG Verify'!K202)</f>
        <v/>
      </c>
      <c r="BL202" s="63" t="inlineStr">
        <is>
          <t>N/A</t>
        </is>
      </c>
      <c r="BM202" s="63" t="inlineStr">
        <is>
          <t>N/A</t>
        </is>
      </c>
      <c r="BN202" s="63" t="inlineStr">
        <is>
          <t>N/A</t>
        </is>
      </c>
      <c r="BO202" s="63" t="inlineStr">
        <is>
          <t>N/A</t>
        </is>
      </c>
      <c r="BP202" s="63" t="inlineStr">
        <is>
          <t>N/A</t>
        </is>
      </c>
      <c r="BQ202" s="63" t="inlineStr">
        <is>
          <t>N/A</t>
        </is>
      </c>
      <c r="BR202" s="76" t="inlineStr">
        <is>
          <t>Emperor Corporate Finance Limited; Lego Corporate Finance Limited</t>
        </is>
      </c>
      <c r="BS202" s="63" t="inlineStr">
        <is>
          <t>Emperor Corporate Finance Limited; Lego Corporate Finance Limited</t>
        </is>
      </c>
      <c r="BT202" s="63" t="inlineStr">
        <is>
          <t>China Galaxy International Securities (Hong Kong) Company Limited; Emperor Securities Limited; Guotai Junan Securities (Hong Kong) Limited; Lego Securities Limited</t>
        </is>
      </c>
      <c r="BU202" s="63" t="inlineStr">
        <is>
          <t>China Galaxy International Securities (Hong Kong) Company Limited; Emperor Securities Limited; Guotai Junan Securities (Hong Kong) Limited; Lego Securities Limited</t>
        </is>
      </c>
      <c r="BV202" s="78">
        <f>HYPERLINK("https://www1.hkexnews.hk/listedco/listconews/sehk/2023/0630/2023063000045.pdf","prospectus")</f>
        <v/>
      </c>
      <c r="BW202" s="78">
        <f>HYPERLINK("https://www1.hkexnews.hk/listedco/listconews/sehk/2023/0714/2023071400016.htm","allotment")</f>
        <v/>
      </c>
      <c r="BX202" s="63" t="n"/>
      <c r="BY202" s="76" t="n"/>
      <c r="BZ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72" t="n"/>
      <c r="AC203" s="66" t="n"/>
      <c r="AD203" s="72" t="n"/>
      <c r="AE203" s="63" t="n"/>
      <c r="AF203" s="63" t="inlineStr">
        <is>
          <t>partial</t>
        </is>
      </c>
      <c r="AG203" s="63" t="inlineStr">
        <is>
          <t>2023-08-10</t>
        </is>
      </c>
      <c r="AH203" s="63" t="inlineStr">
        <is>
          <t>Huatai Financial Holdings</t>
        </is>
      </c>
      <c r="AI203" s="63" t="inlineStr">
        <is>
          <t>Huatai</t>
        </is>
      </c>
      <c r="AJ203" s="73" t="n">
        <v>2.54</v>
      </c>
      <c r="AK203" s="72" t="n">
        <v>3.39</v>
      </c>
      <c r="AL203" s="72" t="n">
        <v>-0.82</v>
      </c>
      <c r="AM203" s="72" t="n">
        <v>-10.17</v>
      </c>
      <c r="AN203" s="72" t="n">
        <v>-27.12</v>
      </c>
      <c r="AO203" s="72" t="n">
        <v>-43.22</v>
      </c>
      <c r="AP203" s="72" t="n">
        <v>-12.4</v>
      </c>
      <c r="AQ203" s="72" t="n">
        <v>-28.93</v>
      </c>
      <c r="AR203" s="72" t="n">
        <v>-44.63</v>
      </c>
      <c r="AS203" s="72" t="n">
        <v>-11.75</v>
      </c>
      <c r="AT203" s="72" t="n">
        <v>-19.42</v>
      </c>
      <c r="AU203" s="72" t="n">
        <v>-27.99</v>
      </c>
      <c r="AV203" s="72" t="n">
        <v>-23.57</v>
      </c>
      <c r="AW203" s="72" t="n">
        <v>-7.7</v>
      </c>
      <c r="AX203" s="72" t="n">
        <v>-5.36</v>
      </c>
      <c r="AY203" s="63" t="inlineStr">
        <is>
          <t>Hang Seng Properties sub-index</t>
        </is>
      </c>
      <c r="AZ203" s="72" t="n">
        <v>144.92</v>
      </c>
      <c r="BA203" s="64" t="inlineStr">
        <is>
          <t>2026-08-28</t>
        </is>
      </c>
      <c r="BB203" s="65" t="n">
        <v>351.7</v>
      </c>
      <c r="BC203" s="68" t="n">
        <v>56</v>
      </c>
      <c r="BD203" s="63" t="inlineStr">
        <is>
          <t>Y</t>
        </is>
      </c>
      <c r="BE203" s="74" t="n">
        <v>10.7</v>
      </c>
      <c r="BF203" s="74" t="n"/>
      <c r="BG203" s="74" t="n">
        <v>42</v>
      </c>
      <c r="BH203" s="74" t="n">
        <v>1.7</v>
      </c>
      <c r="BI203" s="75">
        <f>IF('BBG Verify'!S203="","not filed — run on terminal",'BBG Verify'!S203)</f>
        <v/>
      </c>
      <c r="BJ203" s="76" t="inlineStr">
        <is>
          <t>N</t>
        </is>
      </c>
      <c r="BK203" s="77">
        <f>IF('BBG Verify'!K203="","not filed — run on terminal",'BBG Verify'!K203)</f>
        <v/>
      </c>
      <c r="BL203" s="63" t="inlineStr">
        <is>
          <t>N/A</t>
        </is>
      </c>
      <c r="BM203" s="63" t="inlineStr">
        <is>
          <t>N/A</t>
        </is>
      </c>
      <c r="BN203" s="63" t="inlineStr">
        <is>
          <t>N/A</t>
        </is>
      </c>
      <c r="BO203" s="63" t="inlineStr">
        <is>
          <t>N/A</t>
        </is>
      </c>
      <c r="BP203" s="63" t="inlineStr">
        <is>
          <t>N/A</t>
        </is>
      </c>
      <c r="BQ203" s="63" t="inlineStr">
        <is>
          <t>N/A</t>
        </is>
      </c>
      <c r="BR203" s="76" t="inlineStr">
        <is>
          <t>China Merchants Securities (HK) Co., Limited; Huatai Financial Holdings (Hong Kong) Limited</t>
        </is>
      </c>
      <c r="BS203" s="63" t="inlineStr">
        <is>
          <t>Huatai Financial Holdings (Hong Kong) Limited; China Merchants Securities (HK) Company Limited</t>
        </is>
      </c>
      <c r="BT203" s="63" t="inlineStr">
        <is>
          <t>Guotai Junan Securities (Hong Kong) Limited; CCB International Capital Limited; Victory Securities Company Limited</t>
        </is>
      </c>
      <c r="BU203" s="63" t="inlineStr">
        <is>
          <t>CCB International Capital Limited; China Merchants Securities (HK) Company Limited; Guotai Junan Securities (Hong Kong) Limited; Huatai Financial Holdings (Hong Kong) Limited; Victory Securities Company Limited</t>
        </is>
      </c>
      <c r="BV203" s="78">
        <f>HYPERLINK("https://www1.hkexnews.hk/listedco/listconews/sehk/2023/0630/2023063000209.pdf","prospectus")</f>
        <v/>
      </c>
      <c r="BW203" s="78">
        <f>HYPERLINK("https://www1.hkexnews.hk/listedco/listconews/sehk/2023/0717/2023071700006.htm","allotment")</f>
        <v/>
      </c>
      <c r="BX203" s="78">
        <f>HYPERLINK("https://www1.hkexnews.hk/listedco/listconews/sehk/2023/0810/2023081001406.pdf","stabilisation")</f>
        <v/>
      </c>
      <c r="BY203" s="76" t="n"/>
      <c r="BZ20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72" t="n"/>
      <c r="AC204" s="66" t="n"/>
      <c r="AD204" s="72" t="n"/>
      <c r="AE204" s="63" t="n"/>
      <c r="AF204" s="63" t="inlineStr">
        <is>
          <t>partial</t>
        </is>
      </c>
      <c r="AG204" s="63" t="inlineStr">
        <is>
          <t>2023-09-28</t>
        </is>
      </c>
      <c r="AH204" s="63" t="inlineStr">
        <is>
          <t>Morgan Stanley Asia Limited</t>
        </is>
      </c>
      <c r="AI204" s="63" t="inlineStr">
        <is>
          <t>Morgan Stanley</t>
        </is>
      </c>
      <c r="AJ204" s="73" t="n">
        <v>4.95</v>
      </c>
      <c r="AK204" s="72" t="n">
        <v>13.98</v>
      </c>
      <c r="AL204" s="72" t="n">
        <v>-7.92</v>
      </c>
      <c r="AM204" s="72" t="n">
        <v>34.41</v>
      </c>
      <c r="AN204" s="72" t="n">
        <v>38.17</v>
      </c>
      <c r="AO204" s="72" t="n">
        <v>52.96</v>
      </c>
      <c r="AP204" s="72" t="n">
        <v>28.07</v>
      </c>
      <c r="AQ204" s="72" t="n">
        <v>31.65</v>
      </c>
      <c r="AR204" s="72" t="n">
        <v>45.75</v>
      </c>
      <c r="AS204" s="72" t="n">
        <v>35.61</v>
      </c>
      <c r="AT204" s="72" t="n">
        <v>35.54</v>
      </c>
      <c r="AU204" s="72" t="n">
        <v>47.82</v>
      </c>
      <c r="AV204" s="72" t="n">
        <v>28.82</v>
      </c>
      <c r="AW204" s="72" t="n">
        <v>2.63</v>
      </c>
      <c r="AX204" s="72" t="n">
        <v>2.83</v>
      </c>
      <c r="AY204" s="63" t="inlineStr">
        <is>
          <t>China Biotech ETF (HS biotech proxy)</t>
        </is>
      </c>
      <c r="AZ204" s="72" t="n">
        <v>-80.05</v>
      </c>
      <c r="BA204" s="64" t="inlineStr">
        <is>
          <t>2026-08-28</t>
        </is>
      </c>
      <c r="BB204" s="65" t="n">
        <v>0.3</v>
      </c>
      <c r="BC204" s="68" t="n">
        <v>-164</v>
      </c>
      <c r="BD204" s="63" t="inlineStr">
        <is>
          <t>N</t>
        </is>
      </c>
      <c r="BE204" s="63" t="inlineStr">
        <is>
          <t>n/m</t>
        </is>
      </c>
      <c r="BF204" s="74" t="n"/>
      <c r="BG204" s="74" t="n"/>
      <c r="BH204" s="74" t="n">
        <v>20442.3</v>
      </c>
      <c r="BI204" s="75">
        <f>IF('BBG Verify'!S204="","not filed — run on terminal",'BBG Verify'!S204)</f>
        <v/>
      </c>
      <c r="BJ204" s="76" t="inlineStr">
        <is>
          <t>N</t>
        </is>
      </c>
      <c r="BK204" s="77">
        <f>IF('BBG Verify'!K204="","not filed — run on terminal",'BBG Verify'!K204)</f>
        <v/>
      </c>
      <c r="BL204" s="63" t="inlineStr">
        <is>
          <t>N/A</t>
        </is>
      </c>
      <c r="BM204" s="63" t="inlineStr">
        <is>
          <t>N/A</t>
        </is>
      </c>
      <c r="BN204" s="63" t="inlineStr">
        <is>
          <t>N/A</t>
        </is>
      </c>
      <c r="BO204" s="63" t="inlineStr">
        <is>
          <t>N/A</t>
        </is>
      </c>
      <c r="BP204" s="63" t="inlineStr">
        <is>
          <t>N/A</t>
        </is>
      </c>
      <c r="BQ204" s="63" t="inlineStr">
        <is>
          <t>N/A</t>
        </is>
      </c>
      <c r="BR204" s="76" t="inlineStr">
        <is>
          <t>Morgan Stanley Asia Limited; China International Capital Corporation Hong Kong Securities Limited</t>
        </is>
      </c>
      <c r="BS204" s="63" t="inlineStr">
        <is>
          <t>China International Capital Corporation Hong Kong Securities Limited; Morgan Stanley Asia Limited</t>
        </is>
      </c>
      <c r="BT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U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V204" s="78">
        <f>HYPERLINK("https://www1.hkexnews.hk/listedco/listconews/sehk/2023/0824/2023082400037.pdf","prospectus")</f>
        <v/>
      </c>
      <c r="BW204" s="78">
        <f>HYPERLINK("https://www1.hkexnews.hk/listedco/listconews/sehk/2023/0904/2023090400006.htm","allotment")</f>
        <v/>
      </c>
      <c r="BX204" s="78">
        <f>HYPERLINK("https://www1.hkexnews.hk/listedco/listconews/sehk/2023/0928/2023092802361.pdf","stabilisation")</f>
        <v/>
      </c>
      <c r="BY204" s="76" t="n"/>
      <c r="BZ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72" t="n"/>
      <c r="AC205" s="66" t="n"/>
      <c r="AD205" s="72" t="n"/>
      <c r="AE205" s="63" t="n"/>
      <c r="AF205" s="63" t="inlineStr">
        <is>
          <t>partial</t>
        </is>
      </c>
      <c r="AG205" s="63" t="inlineStr">
        <is>
          <t>2023-10-18</t>
        </is>
      </c>
      <c r="AH205" s="63" t="inlineStr">
        <is>
          <t>China Securities</t>
        </is>
      </c>
      <c r="AI205" s="63" t="inlineStr">
        <is>
          <t>China Securities</t>
        </is>
      </c>
      <c r="AJ205" s="73" t="n">
        <v>0</v>
      </c>
      <c r="AK205" s="72" t="n">
        <v>2.5</v>
      </c>
      <c r="AL205" s="72" t="n">
        <v>-2.44</v>
      </c>
      <c r="AM205" s="72" t="n">
        <v>-6.25</v>
      </c>
      <c r="AN205" s="72" t="n">
        <v>-40.38</v>
      </c>
      <c r="AO205" s="72" t="n">
        <v>-45.19</v>
      </c>
      <c r="AP205" s="72" t="n">
        <v>-6.25</v>
      </c>
      <c r="AQ205" s="72" t="n">
        <v>-40.38</v>
      </c>
      <c r="AR205" s="72" t="n">
        <v>-45.19</v>
      </c>
      <c r="AS205" s="72" t="n">
        <v>-7.02</v>
      </c>
      <c r="AT205" s="72" t="n">
        <v>-45.61</v>
      </c>
      <c r="AU205" s="72" t="n">
        <v>-44.92</v>
      </c>
      <c r="AV205" s="72" t="n">
        <v>-44.99</v>
      </c>
      <c r="AW205" s="72" t="n">
        <v>5.23</v>
      </c>
      <c r="AX205" s="72" t="n">
        <v>4.61</v>
      </c>
      <c r="AY205" s="63" t="inlineStr">
        <is>
          <t>China Biotech ETF (HS biotech proxy)</t>
        </is>
      </c>
      <c r="AZ205" s="72" t="n">
        <v>-79.38</v>
      </c>
      <c r="BA205" s="64" t="inlineStr">
        <is>
          <t>2026-08-28</t>
        </is>
      </c>
      <c r="BB205" s="65" t="n">
        <v>2.2</v>
      </c>
      <c r="BC205" s="68" t="n">
        <v>-207.8</v>
      </c>
      <c r="BD205" s="63" t="inlineStr">
        <is>
          <t>N</t>
        </is>
      </c>
      <c r="BE205" s="63" t="inlineStr">
        <is>
          <t>n/m</t>
        </is>
      </c>
      <c r="BF205" s="74" t="n"/>
      <c r="BG205" s="74" t="n"/>
      <c r="BH205" s="74" t="n">
        <v>1403.5</v>
      </c>
      <c r="BI205" s="75">
        <f>IF('BBG Verify'!S205="","not filed — run on terminal",'BBG Verify'!S205)</f>
        <v/>
      </c>
      <c r="BJ205" s="76" t="inlineStr">
        <is>
          <t>N</t>
        </is>
      </c>
      <c r="BK205" s="77">
        <f>IF('BBG Verify'!K205="","not filed — run on terminal",'BBG Verify'!K205)</f>
        <v/>
      </c>
      <c r="BL205" s="63" t="inlineStr">
        <is>
          <t>N/A</t>
        </is>
      </c>
      <c r="BM205" s="63" t="inlineStr">
        <is>
          <t>N/A</t>
        </is>
      </c>
      <c r="BN205" s="63" t="inlineStr">
        <is>
          <t>N/A</t>
        </is>
      </c>
      <c r="BO205" s="63" t="inlineStr">
        <is>
          <t>N/A</t>
        </is>
      </c>
      <c r="BP205" s="63" t="inlineStr">
        <is>
          <t>N/A</t>
        </is>
      </c>
      <c r="BQ205" s="63" t="inlineStr">
        <is>
          <t>N/A</t>
        </is>
      </c>
      <c r="BR205" s="76" t="n"/>
      <c r="BS205" s="63" t="inlineStr">
        <is>
          <t>China Securities (International) Corporate Finance Company Limited</t>
        </is>
      </c>
      <c r="BT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U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V205" s="78">
        <f>HYPERLINK("https://www1.hkexnews.hk/listedco/listconews/sehk/2023/0913/2023091300013.pdf","prospectus")</f>
        <v/>
      </c>
      <c r="BW205" s="78">
        <f>HYPERLINK("https://www1.hkexnews.hk/listedco/listconews/sehk/2023/0922/2023092200024.htm","allotment")</f>
        <v/>
      </c>
      <c r="BX205" s="78">
        <f>HYPERLINK("https://www1.hkexnews.hk/listedco/listconews/sehk/2023/1019/2023101900003.pdf","stabilisation")</f>
        <v/>
      </c>
      <c r="BY205" s="76" t="n"/>
      <c r="BZ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72" t="n"/>
      <c r="AC206" s="66" t="n"/>
      <c r="AD206" s="72" t="n"/>
      <c r="AE206" s="63" t="n"/>
      <c r="AF206" s="63" t="inlineStr">
        <is>
          <t>partial</t>
        </is>
      </c>
      <c r="AG206" s="63" t="inlineStr">
        <is>
          <t>2023-10-18</t>
        </is>
      </c>
      <c r="AH206" s="63" t="n"/>
      <c r="AI206" s="63" t="n"/>
      <c r="AJ206" s="73" t="n">
        <v>-0.58</v>
      </c>
      <c r="AK206" s="72" t="n">
        <v>0</v>
      </c>
      <c r="AL206" s="72" t="n">
        <v>-0.58</v>
      </c>
      <c r="AM206" s="72" t="n">
        <v>3.7</v>
      </c>
      <c r="AN206" s="72" t="n">
        <v>-7.8</v>
      </c>
      <c r="AO206" s="72" t="n">
        <v>-0.19</v>
      </c>
      <c r="AP206" s="72" t="n">
        <v>4.3</v>
      </c>
      <c r="AQ206" s="72" t="n">
        <v>-7.26</v>
      </c>
      <c r="AR206" s="72" t="n">
        <v>0.39</v>
      </c>
      <c r="AS206" s="72" t="n">
        <v>8.210000000000001</v>
      </c>
      <c r="AT206" s="72" t="n">
        <v>-1.18</v>
      </c>
      <c r="AU206" s="72" t="n">
        <v>10.99</v>
      </c>
      <c r="AV206" s="72" t="n">
        <v>-2.58</v>
      </c>
      <c r="AW206" s="72" t="n">
        <v>-6.62</v>
      </c>
      <c r="AX206" s="72" t="n">
        <v>-4.68</v>
      </c>
      <c r="AY206" s="63" t="inlineStr">
        <is>
          <t>Hang Seng Commerce &amp; Industry sub-index</t>
        </is>
      </c>
      <c r="AZ206" s="72" t="n">
        <v>86.16</v>
      </c>
      <c r="BA206" s="64" t="inlineStr">
        <is>
          <t>2026-08-31</t>
        </is>
      </c>
      <c r="BB206" s="65" t="n">
        <v>5068.7</v>
      </c>
      <c r="BC206" s="68" t="n">
        <v>424.9</v>
      </c>
      <c r="BD206" s="63" t="inlineStr">
        <is>
          <t>Y</t>
        </is>
      </c>
      <c r="BE206" s="74" t="n">
        <v>3.7</v>
      </c>
      <c r="BF206" s="74" t="n"/>
      <c r="BG206" s="74" t="n">
        <v>18</v>
      </c>
      <c r="BH206" s="74" t="n">
        <v>0.3</v>
      </c>
      <c r="BI206" s="75">
        <f>IF('BBG Verify'!S206="","not filed — run on terminal",'BBG Verify'!S206)</f>
        <v/>
      </c>
      <c r="BJ206" s="76" t="inlineStr">
        <is>
          <t>N</t>
        </is>
      </c>
      <c r="BK206" s="77">
        <f>IF('BBG Verify'!K206="","not filed — run on terminal",'BBG Verify'!K206)</f>
        <v/>
      </c>
      <c r="BL206" s="63" t="inlineStr">
        <is>
          <t>N/A</t>
        </is>
      </c>
      <c r="BM206" s="63" t="inlineStr">
        <is>
          <t>N/A</t>
        </is>
      </c>
      <c r="BN206" s="63" t="inlineStr">
        <is>
          <t>N/A</t>
        </is>
      </c>
      <c r="BO206" s="63" t="inlineStr">
        <is>
          <t>N/A</t>
        </is>
      </c>
      <c r="BP206" s="63" t="inlineStr">
        <is>
          <t>N/A</t>
        </is>
      </c>
      <c r="BQ206" s="63" t="inlineStr">
        <is>
          <t>N/A</t>
        </is>
      </c>
      <c r="BR206" s="76" t="inlineStr">
        <is>
          <t>CITIC Securities (Hong Kong) Limited; ABCI Capital Limited</t>
        </is>
      </c>
      <c r="BS206" s="63" t="inlineStr">
        <is>
          <t>CITIC Securities (Hong Kong) Limited; ABCI Capital Limited</t>
        </is>
      </c>
      <c r="BT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U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V206" s="78">
        <f>HYPERLINK("https://www1.hkexnews.hk/listedco/listconews/sehk/2023/0913/2023091300017.pdf","prospectus")</f>
        <v/>
      </c>
      <c r="BW206" s="78">
        <f>HYPERLINK("https://www1.hkexnews.hk/listedco/listconews/sehk/2023/0922/2023092200056.htm","allotment")</f>
        <v/>
      </c>
      <c r="BX206" s="78">
        <f>HYPERLINK("https://www1.hkexnews.hk/listedco/listconews/sehk/2023/1018/2023101800796.pdf","stabilisation")</f>
        <v/>
      </c>
      <c r="BY206" s="76" t="n"/>
      <c r="BZ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no grey-market headline on file for this deal — AAStocks publishes one per listing but keeps only recent items on the stock's news page, and no public archive of past evening sessions exists; captured from this run onward</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72" t="n"/>
      <c r="AC207" s="66" t="n"/>
      <c r="AD207" s="72" t="n"/>
      <c r="AE207" s="63" t="n"/>
      <c r="AF207" s="63" t="inlineStr">
        <is>
          <t>partial</t>
        </is>
      </c>
      <c r="AG207" s="63" t="inlineStr">
        <is>
          <t>2023-10-19</t>
        </is>
      </c>
      <c r="AH207" s="63" t="inlineStr">
        <is>
          <t>Goldman Sachs</t>
        </is>
      </c>
      <c r="AI207" s="63" t="inlineStr">
        <is>
          <t>Goldman Sachs</t>
        </is>
      </c>
      <c r="AJ207" s="73" t="n">
        <v>5.36</v>
      </c>
      <c r="AK207" s="72" t="n">
        <v>0</v>
      </c>
      <c r="AL207" s="72" t="n">
        <v>5.36</v>
      </c>
      <c r="AM207" s="72" t="n">
        <v>2.5</v>
      </c>
      <c r="AN207" s="72" t="n">
        <v>25.71</v>
      </c>
      <c r="AO207" s="72" t="n">
        <v>6.96</v>
      </c>
      <c r="AP207" s="72" t="n">
        <v>-2.71</v>
      </c>
      <c r="AQ207" s="72" t="n">
        <v>19.31</v>
      </c>
      <c r="AR207" s="72" t="n">
        <v>1.52</v>
      </c>
      <c r="AS207" s="72" t="n">
        <v>6.06</v>
      </c>
      <c r="AT207" s="72" t="n">
        <v>27.86</v>
      </c>
      <c r="AU207" s="72" t="n">
        <v>10.31</v>
      </c>
      <c r="AV207" s="72" t="n">
        <v>19.69</v>
      </c>
      <c r="AW207" s="72" t="n">
        <v>-2.15</v>
      </c>
      <c r="AX207" s="72" t="n">
        <v>-0.38</v>
      </c>
      <c r="AY207" s="63" t="inlineStr">
        <is>
          <t>HSTECH (Hang Seng TECH ETF)</t>
        </is>
      </c>
      <c r="AZ207" s="72" t="n">
        <v>-55.54</v>
      </c>
      <c r="BA207" s="64" t="inlineStr">
        <is>
          <t>2026-08-28</t>
        </is>
      </c>
      <c r="BB207" s="65" t="n">
        <v>12896.7</v>
      </c>
      <c r="BC207" s="68" t="n">
        <v>-6429.3</v>
      </c>
      <c r="BD207" s="63" t="inlineStr">
        <is>
          <t>N</t>
        </is>
      </c>
      <c r="BE207" s="63" t="inlineStr">
        <is>
          <t>n/m</t>
        </is>
      </c>
      <c r="BF207" s="74" t="n"/>
      <c r="BG207" s="74" t="n">
        <v>18.7</v>
      </c>
      <c r="BH207" s="74" t="n">
        <v>1.9</v>
      </c>
      <c r="BI207" s="75">
        <f>IF('BBG Verify'!S207="","not filed — run on terminal",'BBG Verify'!S207)</f>
        <v/>
      </c>
      <c r="BJ207" s="76" t="inlineStr">
        <is>
          <t>N</t>
        </is>
      </c>
      <c r="BK207" s="77">
        <f>IF('BBG Verify'!K207="","not filed — run on terminal",'BBG Verify'!K207)</f>
        <v/>
      </c>
      <c r="BL207" s="63" t="inlineStr">
        <is>
          <t>N/A</t>
        </is>
      </c>
      <c r="BM207" s="63" t="inlineStr">
        <is>
          <t>N/A</t>
        </is>
      </c>
      <c r="BN207" s="63" t="inlineStr">
        <is>
          <t>N/A</t>
        </is>
      </c>
      <c r="BO207" s="63" t="inlineStr">
        <is>
          <t>N/A</t>
        </is>
      </c>
      <c r="BP207" s="63" t="inlineStr">
        <is>
          <t>N/A</t>
        </is>
      </c>
      <c r="BQ207" s="63" t="inlineStr">
        <is>
          <t>N/A</t>
        </is>
      </c>
      <c r="BR207" s="76" t="n"/>
      <c r="BS207" s="63" t="inlineStr">
        <is>
          <t>China International Capital Corporation Hong Kong Securities Limited; UBS Securities Hong Kong Limited; Merrill Lynch (Asia Pacific) Limited; Goldman Sachs (Asia) L.L.C.</t>
        </is>
      </c>
      <c r="BT207" s="63" t="inlineStr">
        <is>
          <t>ABCI Securities Company Limited; Beta International Securities Limited; China International Capital Corporation Hong Kong Securities Limited; CMB International Capital Limited; Futu Securities International (Hong Kong)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V207" s="78">
        <f>HYPERLINK("https://www1.hkexnews.hk/listedco/listconews/sehk/2023/0914/2023091400024.htm","prospectus")</f>
        <v/>
      </c>
      <c r="BW207" s="78">
        <f>HYPERLINK("https://www1.hkexnews.hk/listedco/listconews/sehk/2023/0925/2023092500012.htm","allotment")</f>
        <v/>
      </c>
      <c r="BX207" s="78">
        <f>HYPERLINK("https://www1.hkexnews.hk/listedco/listconews/sehk/2023/1019/2023101901082.pdf","stabilisation")</f>
        <v/>
      </c>
      <c r="BY207" s="76" t="n"/>
      <c r="BZ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no grey-market headline on file for this deal — AAStocks publishes one per listing but keeps only recent items on the stock's news page, and no public archive of past evening sessions exists; captured from this run onward</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72" t="n"/>
      <c r="AC208" s="66" t="n"/>
      <c r="AD208" s="72" t="n"/>
      <c r="AE208" s="63" t="n"/>
      <c r="AF208" s="63" t="n"/>
      <c r="AG208" s="63" t="n"/>
      <c r="AH208" s="63" t="n"/>
      <c r="AI208" s="63" t="n"/>
      <c r="AJ208" s="73" t="n">
        <v>-42.86</v>
      </c>
      <c r="AK208" s="72" t="n">
        <v>-22.48</v>
      </c>
      <c r="AL208" s="72" t="n">
        <v>-26.29</v>
      </c>
      <c r="AM208" s="72" t="n">
        <v>-51.26</v>
      </c>
      <c r="AN208" s="72" t="n">
        <v>-66.39</v>
      </c>
      <c r="AO208" s="72" t="n">
        <v>-70.17</v>
      </c>
      <c r="AP208" s="72" t="n">
        <v>-14.7</v>
      </c>
      <c r="AQ208" s="72" t="n">
        <v>-41.18</v>
      </c>
      <c r="AR208" s="72" t="n">
        <v>-47.79</v>
      </c>
      <c r="AS208" s="72" t="n">
        <v>-49.28</v>
      </c>
      <c r="AT208" s="72" t="n">
        <v>-71.06</v>
      </c>
      <c r="AU208" s="72" t="n">
        <v>-65.91</v>
      </c>
      <c r="AV208" s="72" t="n">
        <v>-47.15</v>
      </c>
      <c r="AW208" s="72" t="n">
        <v>4.67</v>
      </c>
      <c r="AX208" s="72" t="n">
        <v>5.97</v>
      </c>
      <c r="AY208" s="63" t="inlineStr">
        <is>
          <t>China Biotech ETF (HS biotech proxy)</t>
        </is>
      </c>
      <c r="AZ208" s="72" t="n">
        <v>-80.45999999999999</v>
      </c>
      <c r="BA208" s="64" t="inlineStr">
        <is>
          <t>2026-08-28</t>
        </is>
      </c>
      <c r="BB208" s="65" t="n">
        <v>756.2</v>
      </c>
      <c r="BC208" s="68" t="n">
        <v>-267.6</v>
      </c>
      <c r="BD208" s="63" t="inlineStr">
        <is>
          <t>N</t>
        </is>
      </c>
      <c r="BE208" s="63" t="inlineStr">
        <is>
          <t>n/m</t>
        </is>
      </c>
      <c r="BF208" s="74" t="n"/>
      <c r="BG208" s="74" t="n"/>
      <c r="BH208" s="74" t="n">
        <v>6.3</v>
      </c>
      <c r="BI208" s="75">
        <f>IF('BBG Verify'!S208="","not filed — run on terminal",'BBG Verify'!S208)</f>
        <v/>
      </c>
      <c r="BJ208" s="76" t="inlineStr">
        <is>
          <t>N</t>
        </is>
      </c>
      <c r="BK208" s="77">
        <f>IF('BBG Verify'!K208="","not filed — run on terminal",'BBG Verify'!K208)</f>
        <v/>
      </c>
      <c r="BL208" s="63" t="inlineStr">
        <is>
          <t>N/A</t>
        </is>
      </c>
      <c r="BM208" s="63" t="inlineStr">
        <is>
          <t>N/A</t>
        </is>
      </c>
      <c r="BN208" s="63" t="inlineStr">
        <is>
          <t>N/A</t>
        </is>
      </c>
      <c r="BO208" s="63" t="inlineStr">
        <is>
          <t>N/A</t>
        </is>
      </c>
      <c r="BP208" s="63" t="inlineStr">
        <is>
          <t>N/A</t>
        </is>
      </c>
      <c r="BQ208" s="63" t="inlineStr">
        <is>
          <t>N/A</t>
        </is>
      </c>
      <c r="BR208" s="76" t="n"/>
      <c r="BS208" s="63" t="inlineStr">
        <is>
          <t>China International Capital Corporation Hong Kong Securities Limited</t>
        </is>
      </c>
      <c r="BT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U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V208" s="78">
        <f>HYPERLINK("https://www1.hkexnews.hk/listedco/listconews/sehk/2023/0918/2023091800017.pdf","prospectus")</f>
        <v/>
      </c>
      <c r="BW208" s="78">
        <f>HYPERLINK("https://www1.hkexnews.hk/listedco/listconews/sehk/2023/0927/2023092700030.htm","allotment")</f>
        <v/>
      </c>
      <c r="BX208" s="63" t="n"/>
      <c r="BY208" s="76" t="n"/>
      <c r="BZ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no grey-market headline on file for this deal — AAStocks publishes one per listing but keeps only recent items on the stock's news page, and no public archive of past evening sessions exists; captured from this run onward</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72" t="n"/>
      <c r="AC209" s="66" t="n"/>
      <c r="AD209" s="72" t="n"/>
      <c r="AE209" s="63" t="n"/>
      <c r="AF209" s="63" t="inlineStr">
        <is>
          <t>lapsed</t>
        </is>
      </c>
      <c r="AG209" s="63" t="inlineStr">
        <is>
          <t>2023-10-21</t>
        </is>
      </c>
      <c r="AH209" s="63" t="inlineStr">
        <is>
          <t>China International Capital Corporation Hong Kong Securities Limited</t>
        </is>
      </c>
      <c r="AI209" s="63" t="inlineStr">
        <is>
          <t>China International</t>
        </is>
      </c>
      <c r="AJ209" s="73" t="n">
        <v>0</v>
      </c>
      <c r="AK209" s="72" t="n">
        <v>-1.57</v>
      </c>
      <c r="AL209" s="72" t="n">
        <v>1.6</v>
      </c>
      <c r="AM209" s="72" t="n">
        <v>-3.86</v>
      </c>
      <c r="AN209" s="72" t="n">
        <v>-14.29</v>
      </c>
      <c r="AO209" s="72" t="n">
        <v>240.36</v>
      </c>
      <c r="AP209" s="72" t="n">
        <v>-3.86</v>
      </c>
      <c r="AQ209" s="72" t="n">
        <v>-14.29</v>
      </c>
      <c r="AR209" s="72" t="n">
        <v>240.36</v>
      </c>
      <c r="AS209" s="72" t="n">
        <v>-3.15</v>
      </c>
      <c r="AT209" s="72" t="n">
        <v>-11.45</v>
      </c>
      <c r="AU209" s="72" t="n">
        <v>245.03</v>
      </c>
      <c r="AV209" s="72" t="n">
        <v>-12.79</v>
      </c>
      <c r="AW209" s="72" t="n">
        <v>-2.84</v>
      </c>
      <c r="AX209" s="72" t="n">
        <v>-1.5</v>
      </c>
      <c r="AY209" s="63" t="inlineStr">
        <is>
          <t>Hang Seng Index</t>
        </is>
      </c>
      <c r="AZ209" s="72" t="n">
        <v>-24.64</v>
      </c>
      <c r="BA209" s="64" t="inlineStr">
        <is>
          <t>2026-08-28</t>
        </is>
      </c>
      <c r="BB209" s="65" t="n">
        <v>9698.9</v>
      </c>
      <c r="BC209" s="68" t="n">
        <v>661.7</v>
      </c>
      <c r="BD209" s="63" t="inlineStr">
        <is>
          <t>Y</t>
        </is>
      </c>
      <c r="BE209" s="74" t="n">
        <v>11.3</v>
      </c>
      <c r="BF209" s="74" t="n"/>
      <c r="BG209" s="74" t="n">
        <v>3</v>
      </c>
      <c r="BH209" s="74" t="n">
        <v>0.8</v>
      </c>
      <c r="BI209" s="75">
        <f>IF('BBG Verify'!S209="","not filed — run on terminal",'BBG Verify'!S209)</f>
        <v/>
      </c>
      <c r="BJ209" s="76" t="inlineStr">
        <is>
          <t>N</t>
        </is>
      </c>
      <c r="BK209" s="77">
        <f>IF('BBG Verify'!K209="","not filed — run on terminal",'BBG Verify'!K209)</f>
        <v/>
      </c>
      <c r="BL209" s="63" t="inlineStr">
        <is>
          <t>N/A</t>
        </is>
      </c>
      <c r="BM209" s="63" t="inlineStr">
        <is>
          <t>N/A</t>
        </is>
      </c>
      <c r="BN209" s="63" t="inlineStr">
        <is>
          <t>N/A</t>
        </is>
      </c>
      <c r="BO209" s="63" t="inlineStr">
        <is>
          <t>N/A</t>
        </is>
      </c>
      <c r="BP209" s="63" t="inlineStr">
        <is>
          <t>N/A</t>
        </is>
      </c>
      <c r="BQ209" s="63" t="inlineStr">
        <is>
          <t>N/A</t>
        </is>
      </c>
      <c r="BR209" s="76" t="n"/>
      <c r="BS209" s="63" t="inlineStr">
        <is>
          <t>China International Capital Corporation Hong Kong Securities Limited; China Securities (International) Corporate Finance Company Limited</t>
        </is>
      </c>
      <c r="BT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U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V209" s="78">
        <f>HYPERLINK("https://www1.hkexnews.hk/listedco/listconews/sehk/2023/0918/2023091800015.pdf","prospectus")</f>
        <v/>
      </c>
      <c r="BW209" s="78">
        <f>HYPERLINK("https://www1.hkexnews.hk/listedco/listconews/sehk/2023/0927/2023092700046.htm","allotment")</f>
        <v/>
      </c>
      <c r="BX209" s="78">
        <f>HYPERLINK("https://www1.hkexnews.hk/listedco/listconews/sehk/2023/1023/2023102300009.pdf","stabilisation")</f>
        <v/>
      </c>
      <c r="BY209" s="76" t="n"/>
      <c r="BZ209" s="63" t="inlineStr">
        <is>
          <t>A/H: no A-share listing · sponsor: English name not in the filing text; AAStocks 保薦人 shown · deal size: stated gross HK$29.5m rejected — below the deal's own net proceeds HK$138.1m, which cannot happen · grey market: no grey-market headline on file for this deal — AAStocks publishes one per listing but keeps only recent items on the stock's news page, and no public archive of past evening sessions exists; captured from this run onward</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72" t="n"/>
      <c r="AC210" s="66" t="n"/>
      <c r="AD210" s="72" t="n"/>
      <c r="AE210" s="63" t="n"/>
      <c r="AF210" s="63" t="inlineStr">
        <is>
          <t>partial</t>
        </is>
      </c>
      <c r="AG210" s="63" t="n"/>
      <c r="AH210" s="63" t="inlineStr">
        <is>
          <t>China International Capital Corporation Hong Kong Securities Limited</t>
        </is>
      </c>
      <c r="AI210" s="63" t="inlineStr">
        <is>
          <t>China International</t>
        </is>
      </c>
      <c r="AJ210" s="73" t="n">
        <v>5.22</v>
      </c>
      <c r="AK210" s="72" t="n">
        <v>13.49</v>
      </c>
      <c r="AL210" s="72" t="n">
        <v>-7.29</v>
      </c>
      <c r="AM210" s="72" t="n">
        <v>-2.88</v>
      </c>
      <c r="AN210" s="72" t="n">
        <v>-6.47</v>
      </c>
      <c r="AO210" s="72" t="n">
        <v>-10.79</v>
      </c>
      <c r="AP210" s="72" t="n">
        <v>-7.7</v>
      </c>
      <c r="AQ210" s="72" t="n">
        <v>-11.11</v>
      </c>
      <c r="AR210" s="72" t="n">
        <v>-15.22</v>
      </c>
      <c r="AS210" s="72" t="n">
        <v>-2.51</v>
      </c>
      <c r="AT210" s="72" t="n">
        <v>-4.66</v>
      </c>
      <c r="AU210" s="72" t="n">
        <v>-7.97</v>
      </c>
      <c r="AV210" s="72" t="n">
        <v>-10.67</v>
      </c>
      <c r="AW210" s="72" t="n">
        <v>-1.81</v>
      </c>
      <c r="AX210" s="72" t="n">
        <v>-0.44</v>
      </c>
      <c r="AY210" s="63" t="inlineStr">
        <is>
          <t>HSTECH (Hang Seng TECH ETF)</t>
        </is>
      </c>
      <c r="AZ210" s="72" t="n">
        <v>-50.07</v>
      </c>
      <c r="BA210" s="64" t="inlineStr">
        <is>
          <t>2026-08-28</t>
        </is>
      </c>
      <c r="BB210" s="65" t="n">
        <v>3391.3</v>
      </c>
      <c r="BC210" s="68" t="n">
        <v>-1818.3</v>
      </c>
      <c r="BD210" s="63" t="inlineStr">
        <is>
          <t>N</t>
        </is>
      </c>
      <c r="BE210" s="63" t="inlineStr">
        <is>
          <t>n/m</t>
        </is>
      </c>
      <c r="BF210" s="74" t="n"/>
      <c r="BG210" s="74" t="n"/>
      <c r="BH210" s="74" t="n">
        <v>6.7</v>
      </c>
      <c r="BI210" s="75">
        <f>IF('BBG Verify'!S210="","not filed — run on terminal",'BBG Verify'!S210)</f>
        <v/>
      </c>
      <c r="BJ210" s="76" t="inlineStr">
        <is>
          <t>N</t>
        </is>
      </c>
      <c r="BK210" s="77">
        <f>IF('BBG Verify'!K210="","not filed — run on terminal",'BBG Verify'!K210)</f>
        <v/>
      </c>
      <c r="BL210" s="63" t="inlineStr">
        <is>
          <t>N/A</t>
        </is>
      </c>
      <c r="BM210" s="63" t="inlineStr">
        <is>
          <t>N/A</t>
        </is>
      </c>
      <c r="BN210" s="63" t="inlineStr">
        <is>
          <t>N/A</t>
        </is>
      </c>
      <c r="BO210" s="63" t="inlineStr">
        <is>
          <t>N/A</t>
        </is>
      </c>
      <c r="BP210" s="63" t="inlineStr">
        <is>
          <t>N/A</t>
        </is>
      </c>
      <c r="BQ210" s="63" t="inlineStr">
        <is>
          <t>N/A</t>
        </is>
      </c>
      <c r="BR210" s="76" t="inlineStr">
        <is>
          <t>China International Capital Corporation Hong Kong Securities Limited</t>
        </is>
      </c>
      <c r="BS210" s="63" t="inlineStr">
        <is>
          <t>China International Capital Corporation Hong Kong Securities Limited</t>
        </is>
      </c>
      <c r="BT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U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V210" s="78">
        <f>HYPERLINK("https://www1.hkexnews.hk/listedco/listconews/sehk/2023/0918/2023091800009.pdf","prospectus")</f>
        <v/>
      </c>
      <c r="BW210" s="78">
        <f>HYPERLINK("https://www1.hkexnews.hk/listedco/listconews/sehk/2023/0927/2023092700070.htm","allotment")</f>
        <v/>
      </c>
      <c r="BX210" s="78">
        <f>HYPERLINK("https://www1.hkexnews.hk/listedco/listconews/sehk/2023/1023/2023102300123.pdf","stabilisation")</f>
        <v/>
      </c>
      <c r="BY210" s="76" t="n"/>
      <c r="BZ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72" t="n"/>
      <c r="AC211" s="66" t="n"/>
      <c r="AD211" s="72" t="n"/>
      <c r="AE211" s="63" t="n"/>
      <c r="AF211" s="63" t="inlineStr">
        <is>
          <t>lapsed (no over-allocation)</t>
        </is>
      </c>
      <c r="AG211" s="63" t="inlineStr">
        <is>
          <t>2023-10-28</t>
        </is>
      </c>
      <c r="AH211" s="63" t="inlineStr">
        <is>
          <t>Huatai Financial Holdings</t>
        </is>
      </c>
      <c r="AI211" s="63" t="inlineStr">
        <is>
          <t>Huatai</t>
        </is>
      </c>
      <c r="AJ211" s="73" t="n">
        <v>-24.92</v>
      </c>
      <c r="AK211" s="72" t="n">
        <v>-17.08</v>
      </c>
      <c r="AL211" s="72" t="n">
        <v>-9.449999999999999</v>
      </c>
      <c r="AM211" s="72" t="n">
        <v>-38.46</v>
      </c>
      <c r="AN211" s="72" t="n">
        <v>-13.85</v>
      </c>
      <c r="AO211" s="72" t="n">
        <v>-20.15</v>
      </c>
      <c r="AP211" s="72" t="n">
        <v>-18.03</v>
      </c>
      <c r="AQ211" s="72" t="n">
        <v>14.74</v>
      </c>
      <c r="AR211" s="72" t="n">
        <v>6.35</v>
      </c>
      <c r="AS211" s="72" t="n">
        <v>-42.8</v>
      </c>
      <c r="AT211" s="72" t="n">
        <v>-15.01</v>
      </c>
      <c r="AU211" s="72" t="n">
        <v>-17.37</v>
      </c>
      <c r="AV211" s="72" t="n">
        <v>15.47</v>
      </c>
      <c r="AW211" s="72" t="n">
        <v>1.16</v>
      </c>
      <c r="AX211" s="72" t="n">
        <v>-0.73</v>
      </c>
      <c r="AY211" s="63" t="inlineStr">
        <is>
          <t>Hang Seng Finance sub-index</t>
        </is>
      </c>
      <c r="AZ211" s="72" t="n">
        <v>-69.69</v>
      </c>
      <c r="BA211" s="64" t="inlineStr">
        <is>
          <t>2026-08-28</t>
        </is>
      </c>
      <c r="BB211" s="65" t="n">
        <v>465.5</v>
      </c>
      <c r="BC211" s="68" t="n">
        <v>823.9</v>
      </c>
      <c r="BD211" s="63" t="inlineStr">
        <is>
          <t>Y</t>
        </is>
      </c>
      <c r="BE211" s="74" t="n">
        <v>7.6</v>
      </c>
      <c r="BF211" s="74" t="n"/>
      <c r="BG211" s="74" t="n">
        <v>6</v>
      </c>
      <c r="BH211" s="74" t="n">
        <v>13.4</v>
      </c>
      <c r="BI211" s="75">
        <f>IF('BBG Verify'!S211="","not filed — run on terminal",'BBG Verify'!S211)</f>
        <v/>
      </c>
      <c r="BJ211" s="76" t="inlineStr">
        <is>
          <t>N</t>
        </is>
      </c>
      <c r="BK211" s="77">
        <f>IF('BBG Verify'!K211="","not filed — run on terminal",'BBG Verify'!K211)</f>
        <v/>
      </c>
      <c r="BL211" s="63" t="inlineStr">
        <is>
          <t>N/A</t>
        </is>
      </c>
      <c r="BM211" s="63" t="inlineStr">
        <is>
          <t>N/A</t>
        </is>
      </c>
      <c r="BN211" s="63" t="inlineStr">
        <is>
          <t>N/A</t>
        </is>
      </c>
      <c r="BO211" s="63" t="inlineStr">
        <is>
          <t>N/A</t>
        </is>
      </c>
      <c r="BP211" s="63" t="inlineStr">
        <is>
          <t>N/A</t>
        </is>
      </c>
      <c r="BQ211" s="63" t="inlineStr">
        <is>
          <t>N/A</t>
        </is>
      </c>
      <c r="BR211" s="76" t="inlineStr">
        <is>
          <t>Huatai Financial Holdings (Hong Kong) Limited; BOCI Asia Limited</t>
        </is>
      </c>
      <c r="BS211" s="63" t="inlineStr">
        <is>
          <t>Huatai Financial Holdings (Hong Kong) Limited; BOCI Asia Limited</t>
        </is>
      </c>
      <c r="BT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U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V211" s="78">
        <f>HYPERLINK("https://www1.hkexnews.hk/listedco/listconews/sehk/2023/0925/2023092500007.pdf","prospectus")</f>
        <v/>
      </c>
      <c r="BW211" s="78">
        <f>HYPERLINK("https://www1.hkexnews.hk/listedco/listconews/sehk/2023/1005/2023100500006.htm","allotment")</f>
        <v/>
      </c>
      <c r="BX211" s="78">
        <f>HYPERLINK("https://www1.hkexnews.hk/listedco/listconews/sehk/2023/1101/2023110102578.pdf","stabilisation")</f>
        <v/>
      </c>
      <c r="BY211" s="76" t="n"/>
      <c r="BZ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no grey-market headline on file for this deal — AAStocks publishes one per listing but keeps only recent items on the stock's news page, and no public archive of past evening sessions exists; captured from this run onward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72" t="n"/>
      <c r="AC212" s="66" t="n"/>
      <c r="AD212" s="72" t="n"/>
      <c r="AE212" s="63" t="n"/>
      <c r="AF212" s="63" t="n"/>
      <c r="AG212" s="63" t="n"/>
      <c r="AH212" s="63" t="inlineStr">
        <is>
          <t>Quam Securities Limited</t>
        </is>
      </c>
      <c r="AI212" s="63" t="inlineStr">
        <is>
          <t>Quam</t>
        </is>
      </c>
      <c r="AJ212" s="73" t="n">
        <v>38.14</v>
      </c>
      <c r="AK212" s="72" t="n">
        <v>4.24</v>
      </c>
      <c r="AL212" s="72" t="n">
        <v>32.52</v>
      </c>
      <c r="AM212" s="72" t="n">
        <v>14.41</v>
      </c>
      <c r="AN212" s="72" t="n">
        <v>11.86</v>
      </c>
      <c r="AO212" s="72" t="n">
        <v>-2.54</v>
      </c>
      <c r="AP212" s="72" t="n">
        <v>-17.18</v>
      </c>
      <c r="AQ212" s="72" t="n">
        <v>-19.02</v>
      </c>
      <c r="AR212" s="72" t="n">
        <v>-29.45</v>
      </c>
      <c r="AS212" s="72" t="n">
        <v>16.88</v>
      </c>
      <c r="AT212" s="72" t="n">
        <v>11.6</v>
      </c>
      <c r="AU212" s="72" t="n">
        <v>8.029999999999999</v>
      </c>
      <c r="AV212" s="72" t="n">
        <v>-17.22</v>
      </c>
      <c r="AW212" s="72" t="n">
        <v>0.26</v>
      </c>
      <c r="AX212" s="72" t="n">
        <v>-1.8</v>
      </c>
      <c r="AY212" s="63" t="inlineStr">
        <is>
          <t>HSTECH (Hang Seng TECH ETF)</t>
        </is>
      </c>
      <c r="AZ212" s="72" t="n">
        <v>24.15</v>
      </c>
      <c r="BA212" s="64" t="inlineStr">
        <is>
          <t>2026-08-28</t>
        </is>
      </c>
      <c r="BB212" s="65" t="n">
        <v>267.6</v>
      </c>
      <c r="BC212" s="68" t="n">
        <v>54</v>
      </c>
      <c r="BD212" s="63" t="inlineStr">
        <is>
          <t>Y</t>
        </is>
      </c>
      <c r="BE212" s="74" t="n">
        <v>11.3</v>
      </c>
      <c r="BF212" s="74" t="n"/>
      <c r="BG212" s="74" t="n">
        <v>100.2</v>
      </c>
      <c r="BH212" s="74" t="n">
        <v>2.3</v>
      </c>
      <c r="BI212" s="75">
        <f>IF('BBG Verify'!S212="","not filed — run on terminal",'BBG Verify'!S212)</f>
        <v/>
      </c>
      <c r="BJ212" s="76" t="inlineStr">
        <is>
          <t>N</t>
        </is>
      </c>
      <c r="BK212" s="77">
        <f>IF('BBG Verify'!K212="","not filed — run on terminal",'BBG Verify'!K212)</f>
        <v/>
      </c>
      <c r="BL212" s="63" t="inlineStr">
        <is>
          <t>N/A</t>
        </is>
      </c>
      <c r="BM212" s="63" t="inlineStr">
        <is>
          <t>N/A</t>
        </is>
      </c>
      <c r="BN212" s="63" t="inlineStr">
        <is>
          <t>N/A</t>
        </is>
      </c>
      <c r="BO212" s="63" t="inlineStr">
        <is>
          <t>N/A</t>
        </is>
      </c>
      <c r="BP212" s="63" t="inlineStr">
        <is>
          <t>N/A</t>
        </is>
      </c>
      <c r="BQ212" s="63" t="inlineStr">
        <is>
          <t>N/A</t>
        </is>
      </c>
      <c r="BR212" s="76" t="n"/>
      <c r="BS212" s="63" t="inlineStr">
        <is>
          <t>Quam Capital Limited</t>
        </is>
      </c>
      <c r="BT212" s="63" t="inlineStr">
        <is>
          <t>ABCI Securities Company Limited; Beta International Securities Limited; China Galaxy International Securities (Hong Kong) Company Limited; CMBC Securities Company Limited; CMB International Capital Limited; Eddid Securities and Futures Limited</t>
        </is>
      </c>
      <c r="BU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V212" s="78">
        <f>HYPERLINK("https://www1.hkexnews.hk/listedco/listconews/sehk/2023/0928/2023092800100.htm","prospectus")</f>
        <v/>
      </c>
      <c r="BW212" s="78">
        <f>HYPERLINK("https://www1.hkexnews.hk/listedco/listconews/sehk/2023/1010/2023101000016.htm","allotment")</f>
        <v/>
      </c>
      <c r="BX212" s="63" t="n"/>
      <c r="BY212" s="76" t="n"/>
      <c r="BZ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72" t="n"/>
      <c r="AC213" s="66" t="n"/>
      <c r="AD213" s="72" t="n"/>
      <c r="AE213" s="63" t="n"/>
      <c r="AF213" s="63" t="n"/>
      <c r="AG213" s="63" t="n"/>
      <c r="AH213" s="63" t="n"/>
      <c r="AI213" s="63" t="n"/>
      <c r="AJ213" s="73" t="n">
        <v>22.66</v>
      </c>
      <c r="AK213" s="72" t="n">
        <v>8.07</v>
      </c>
      <c r="AL213" s="72" t="n">
        <v>13.5</v>
      </c>
      <c r="AM213" s="72" t="n">
        <v>60.81</v>
      </c>
      <c r="AN213" s="72" t="n">
        <v>61.46</v>
      </c>
      <c r="AO213" s="72" t="n">
        <v>68.29000000000001</v>
      </c>
      <c r="AP213" s="72" t="n">
        <v>31.1</v>
      </c>
      <c r="AQ213" s="72" t="n">
        <v>31.63</v>
      </c>
      <c r="AR213" s="72" t="n">
        <v>37.2</v>
      </c>
      <c r="AS213" s="72" t="n">
        <v>64.68000000000001</v>
      </c>
      <c r="AT213" s="72" t="n">
        <v>63.15</v>
      </c>
      <c r="AU213" s="72" t="n">
        <v>80.25</v>
      </c>
      <c r="AV213" s="72" t="n">
        <v>34.98</v>
      </c>
      <c r="AW213" s="72" t="n">
        <v>-1.69</v>
      </c>
      <c r="AX213" s="72" t="n">
        <v>-3.35</v>
      </c>
      <c r="AY213" s="63" t="inlineStr">
        <is>
          <t>Hang Seng Commerce &amp; Industry sub-index</t>
        </is>
      </c>
      <c r="AZ213" s="72" t="n">
        <v>-69.23999999999999</v>
      </c>
      <c r="BA213" s="64" t="inlineStr">
        <is>
          <t>2026-08-28</t>
        </is>
      </c>
      <c r="BB213" s="65" t="n">
        <v>4986.2</v>
      </c>
      <c r="BC213" s="68" t="n">
        <v>-413.4</v>
      </c>
      <c r="BD213" s="63" t="inlineStr">
        <is>
          <t>N</t>
        </is>
      </c>
      <c r="BE213" s="63" t="inlineStr">
        <is>
          <t>n/m</t>
        </is>
      </c>
      <c r="BF213" s="74" t="n"/>
      <c r="BG213" s="74" t="n">
        <v>9.199999999999999</v>
      </c>
      <c r="BH213" s="74" t="n">
        <v>3.3</v>
      </c>
      <c r="BI213" s="75">
        <f>IF('BBG Verify'!S213="","not filed — run on terminal",'BBG Verify'!S213)</f>
        <v/>
      </c>
      <c r="BJ213" s="76" t="inlineStr">
        <is>
          <t>N</t>
        </is>
      </c>
      <c r="BK213" s="77">
        <f>IF('BBG Verify'!K213="","not filed — run on terminal",'BBG Verify'!K213)</f>
        <v/>
      </c>
      <c r="BL213" s="63" t="inlineStr">
        <is>
          <t>N/A</t>
        </is>
      </c>
      <c r="BM213" s="63" t="inlineStr">
        <is>
          <t>N/A</t>
        </is>
      </c>
      <c r="BN213" s="63" t="inlineStr">
        <is>
          <t>N/A</t>
        </is>
      </c>
      <c r="BO213" s="63" t="inlineStr">
        <is>
          <t>N/A</t>
        </is>
      </c>
      <c r="BP213" s="63" t="inlineStr">
        <is>
          <t>N/A</t>
        </is>
      </c>
      <c r="BQ213" s="63" t="inlineStr">
        <is>
          <t>N/A</t>
        </is>
      </c>
      <c r="BR213" s="76" t="n"/>
      <c r="BS213" s="63" t="inlineStr">
        <is>
          <t>China International Capital Corporation Hong Kong Securities Limited; Morgan Stanley Asia Limited; China Securities (International) Corporate Finance Company Limited</t>
        </is>
      </c>
      <c r="BT213" s="63" t="inlineStr">
        <is>
          <t>Morgan Stanley Asia Limited; China International Capital Corporation Hong Kong Securities Limited; China Securities (International) Corporate Finance Company Limited</t>
        </is>
      </c>
      <c r="BU213" s="63" t="inlineStr">
        <is>
          <t>China International Capital Corporation Hong Kong Securities Limited; China Securities (International) Corporate Finance Company Limited; Morgan Stanley Asia Limited; Tiger Brokers (HK) Global Limited</t>
        </is>
      </c>
      <c r="BV213" s="78">
        <f>HYPERLINK("https://www1.hkexnews.hk/listedco/listconews/sehk/2023/0928/2023092800446.pdf","prospectus")</f>
        <v/>
      </c>
      <c r="BW213" s="78">
        <f>HYPERLINK("https://www1.hkexnews.hk/listedco/listconews/sehk/2023/1011/2023101100010.htm","allotment")</f>
        <v/>
      </c>
      <c r="BX213" s="63" t="n"/>
      <c r="BY213" s="76" t="n"/>
      <c r="BZ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72" t="n"/>
      <c r="AC214" s="66" t="n"/>
      <c r="AD214" s="72" t="n"/>
      <c r="AE214" s="63" t="n"/>
      <c r="AF214" s="63" t="n"/>
      <c r="AG214" s="63" t="n"/>
      <c r="AH214" s="63" t="n"/>
      <c r="AI214" s="63" t="n"/>
      <c r="AJ214" s="73" t="n">
        <v>0.95</v>
      </c>
      <c r="AK214" s="72" t="n">
        <v>-0.41</v>
      </c>
      <c r="AL214" s="72" t="n">
        <v>1.37</v>
      </c>
      <c r="AM214" s="72" t="n">
        <v>-1.63</v>
      </c>
      <c r="AN214" s="72" t="n">
        <v>0.54</v>
      </c>
      <c r="AO214" s="72" t="n">
        <v>-1.36</v>
      </c>
      <c r="AP214" s="72" t="n">
        <v>-2.56</v>
      </c>
      <c r="AQ214" s="72" t="n">
        <v>-0.41</v>
      </c>
      <c r="AR214" s="72" t="n">
        <v>-2.29</v>
      </c>
      <c r="AS214" s="72" t="n">
        <v>2.24</v>
      </c>
      <c r="AT214" s="72" t="n">
        <v>2.23</v>
      </c>
      <c r="AU214" s="72" t="n">
        <v>10.6</v>
      </c>
      <c r="AV214" s="72" t="n">
        <v>2.94</v>
      </c>
      <c r="AW214" s="72" t="n">
        <v>-1.69</v>
      </c>
      <c r="AX214" s="72" t="n">
        <v>-3.35</v>
      </c>
      <c r="AY214" s="63" t="inlineStr">
        <is>
          <t>Hang Seng Commerce &amp; Industry sub-index</t>
        </is>
      </c>
      <c r="AZ214" s="72" t="n">
        <v>77.48</v>
      </c>
      <c r="BA214" s="64" t="inlineStr">
        <is>
          <t>2026-08-28</t>
        </is>
      </c>
      <c r="BB214" s="65" t="n">
        <v>5261.3</v>
      </c>
      <c r="BC214" s="68" t="n">
        <v>129.8</v>
      </c>
      <c r="BD214" s="63" t="inlineStr">
        <is>
          <t>Y</t>
        </is>
      </c>
      <c r="BE214" s="74" t="n">
        <v>25.8</v>
      </c>
      <c r="BF214" s="74" t="n"/>
      <c r="BG214" s="74" t="n">
        <v>24.3</v>
      </c>
      <c r="BH214" s="74" t="n">
        <v>0.6</v>
      </c>
      <c r="BI214" s="75">
        <f>IF('BBG Verify'!S214="","not filed — run on terminal",'BBG Verify'!S214)</f>
        <v/>
      </c>
      <c r="BJ214" s="76" t="inlineStr">
        <is>
          <t>N</t>
        </is>
      </c>
      <c r="BK214" s="77">
        <f>IF('BBG Verify'!K214="","not filed — run on terminal",'BBG Verify'!K214)</f>
        <v/>
      </c>
      <c r="BL214" s="63" t="inlineStr">
        <is>
          <t>N/A</t>
        </is>
      </c>
      <c r="BM214" s="63" t="inlineStr">
        <is>
          <t>N/A</t>
        </is>
      </c>
      <c r="BN214" s="63" t="inlineStr">
        <is>
          <t>N/A</t>
        </is>
      </c>
      <c r="BO214" s="63" t="inlineStr">
        <is>
          <t>N/A</t>
        </is>
      </c>
      <c r="BP214" s="63" t="inlineStr">
        <is>
          <t>N/A</t>
        </is>
      </c>
      <c r="BQ214" s="63" t="inlineStr">
        <is>
          <t>N/A</t>
        </is>
      </c>
      <c r="BR214" s="76" t="n"/>
      <c r="BS214" s="63" t="inlineStr">
        <is>
          <t>China Securities (International) Corporate Finance Company Limited</t>
        </is>
      </c>
      <c r="BT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U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V214" s="78">
        <f>HYPERLINK("https://www1.hkexnews.hk/listedco/listconews/sehk/2023/0928/2023092800027.pdf","prospectus")</f>
        <v/>
      </c>
      <c r="BW214" s="78">
        <f>HYPERLINK("https://www1.hkexnews.hk/listedco/listconews/sehk/2023/1011/2023101100034.htm","allotment")</f>
        <v/>
      </c>
      <c r="BX214" s="63" t="n"/>
      <c r="BY214" s="76" t="n"/>
      <c r="BZ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no grey-market headline on file for this deal — AAStocks publishes one per listing but keeps only recent items on the stock's news page, and no public archive of past evening sessions exists; captured from this run onward</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72" t="n"/>
      <c r="AC215" s="66" t="n"/>
      <c r="AD215" s="72" t="n"/>
      <c r="AE215" s="63" t="n"/>
      <c r="AF215" s="63" t="inlineStr">
        <is>
          <t>lapsed</t>
        </is>
      </c>
      <c r="AG215" s="63" t="inlineStr">
        <is>
          <t>2023-11-18</t>
        </is>
      </c>
      <c r="AH215" s="63" t="inlineStr">
        <is>
          <t>Morgan Stanley Asia Limited</t>
        </is>
      </c>
      <c r="AI215" s="63" t="inlineStr">
        <is>
          <t>Morgan Stanley</t>
        </is>
      </c>
      <c r="AJ215" s="73" t="n">
        <v>0</v>
      </c>
      <c r="AK215" s="72" t="n">
        <v>0</v>
      </c>
      <c r="AL215" s="72" t="n">
        <v>0</v>
      </c>
      <c r="AM215" s="72" t="n">
        <v>3.33</v>
      </c>
      <c r="AN215" s="72" t="n">
        <v>-1.17</v>
      </c>
      <c r="AO215" s="72" t="n">
        <v>34</v>
      </c>
      <c r="AP215" s="72" t="n">
        <v>3.33</v>
      </c>
      <c r="AQ215" s="72" t="n">
        <v>-1.17</v>
      </c>
      <c r="AR215" s="72" t="n">
        <v>34</v>
      </c>
      <c r="AS215" s="72" t="n">
        <v>-0.78</v>
      </c>
      <c r="AT215" s="72" t="n">
        <v>-4.04</v>
      </c>
      <c r="AU215" s="72" t="n">
        <v>43.21</v>
      </c>
      <c r="AV215" s="72" t="n">
        <v>-1.55</v>
      </c>
      <c r="AW215" s="72" t="n">
        <v>2.87</v>
      </c>
      <c r="AX215" s="72" t="n">
        <v>0.38</v>
      </c>
      <c r="AY215" s="63" t="inlineStr">
        <is>
          <t>Hang Seng Commerce &amp; Industry sub-index</t>
        </is>
      </c>
      <c r="AZ215" s="72" t="n">
        <v>-17.92</v>
      </c>
      <c r="BA215" s="64" t="inlineStr">
        <is>
          <t>2026-08-28</t>
        </is>
      </c>
      <c r="BB215" s="65" t="n">
        <v>56685.9</v>
      </c>
      <c r="BC215" s="68" t="n">
        <v>12918.1</v>
      </c>
      <c r="BD215" s="63" t="inlineStr">
        <is>
          <t>Y</t>
        </is>
      </c>
      <c r="BE215" s="74" t="n">
        <v>8.199999999999999</v>
      </c>
      <c r="BF215" s="74" t="n"/>
      <c r="BG215" s="74" t="n">
        <v>54.9</v>
      </c>
      <c r="BH215" s="74" t="n">
        <v>1.9</v>
      </c>
      <c r="BI215" s="75">
        <f>IF('BBG Verify'!S215="","not filed — run on terminal",'BBG Verify'!S215)</f>
        <v/>
      </c>
      <c r="BJ215" s="76" t="inlineStr">
        <is>
          <t>N</t>
        </is>
      </c>
      <c r="BK215" s="77">
        <f>IF('BBG Verify'!K215="","not filed — run on terminal",'BBG Verify'!K215)</f>
        <v/>
      </c>
      <c r="BL215" s="63" t="inlineStr">
        <is>
          <t>N/A</t>
        </is>
      </c>
      <c r="BM215" s="63" t="inlineStr">
        <is>
          <t>N/A</t>
        </is>
      </c>
      <c r="BN215" s="63" t="inlineStr">
        <is>
          <t>N/A</t>
        </is>
      </c>
      <c r="BO215" s="63" t="inlineStr">
        <is>
          <t>N/A</t>
        </is>
      </c>
      <c r="BP215" s="63" t="inlineStr">
        <is>
          <t>N/A</t>
        </is>
      </c>
      <c r="BQ215" s="63" t="inlineStr">
        <is>
          <t>N/A</t>
        </is>
      </c>
      <c r="BR215" s="76" t="inlineStr">
        <is>
          <t>Morgan Stanley Asia Limited; Merrill Lynch (Asia Pacific) Limited; China International Capital Corporation Hong Kong Securities Limited</t>
        </is>
      </c>
      <c r="BS215" s="63" t="inlineStr">
        <is>
          <t>China International Capital Corporation Hong Kong Securities Limited; Morgan Stanley Asia Limited; Merrill Lynch (Asia Pacific) Limited</t>
        </is>
      </c>
      <c r="BT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U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V215" s="78">
        <f>HYPERLINK("https://www1.hkexnews.hk/listedco/listconews/sehk/2023/1016/2023101600009.pdf","prospectus")</f>
        <v/>
      </c>
      <c r="BW215" s="78">
        <f>HYPERLINK("https://www1.hkexnews.hk/listedco/listconews/sehk/2023/1026/2023102600028.htm","allotment")</f>
        <v/>
      </c>
      <c r="BX215" s="78">
        <f>HYPERLINK("https://www1.hkexnews.hk/listedco/listconews/sehk/2023/1119/2023111900085.pdf","stabilisation")</f>
        <v/>
      </c>
      <c r="BY215" s="76" t="n"/>
      <c r="BZ215"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72" t="n"/>
      <c r="AC216" s="66" t="n"/>
      <c r="AD216" s="72" t="n"/>
      <c r="AE216" s="63" t="n"/>
      <c r="AF216" s="63" t="inlineStr">
        <is>
          <t>partial</t>
        </is>
      </c>
      <c r="AG216" s="63" t="inlineStr">
        <is>
          <t>2023-11-25</t>
        </is>
      </c>
      <c r="AH216" s="63" t="inlineStr">
        <is>
          <t>China International Capital Corporation Hong Kong Securities Limited DEFINITIONS –3 1</t>
        </is>
      </c>
      <c r="AI216" s="63" t="inlineStr">
        <is>
          <t>China International</t>
        </is>
      </c>
      <c r="AJ216" s="73" t="n">
        <v>0</v>
      </c>
      <c r="AK216" s="72" t="n">
        <v>0</v>
      </c>
      <c r="AL216" s="72" t="n">
        <v>0</v>
      </c>
      <c r="AM216" s="72" t="n">
        <v>6.52</v>
      </c>
      <c r="AN216" s="72" t="n">
        <v>22.91</v>
      </c>
      <c r="AO216" s="72" t="n">
        <v>42.14</v>
      </c>
      <c r="AP216" s="72" t="n">
        <v>6.52</v>
      </c>
      <c r="AQ216" s="72" t="n">
        <v>22.91</v>
      </c>
      <c r="AR216" s="72" t="n">
        <v>42.14</v>
      </c>
      <c r="AS216" s="72" t="n">
        <v>3.04</v>
      </c>
      <c r="AT216" s="72" t="n">
        <v>25.35</v>
      </c>
      <c r="AU216" s="72" t="n">
        <v>55.18</v>
      </c>
      <c r="AV216" s="72" t="n">
        <v>25.99</v>
      </c>
      <c r="AW216" s="72" t="n">
        <v>-2.44</v>
      </c>
      <c r="AX216" s="72" t="n">
        <v>-3.08</v>
      </c>
      <c r="AY216" s="63" t="inlineStr">
        <is>
          <t>Hang Seng Commerce &amp; Industry sub-index</t>
        </is>
      </c>
      <c r="AZ216" s="72" t="n">
        <v>-71.15000000000001</v>
      </c>
      <c r="BA216" s="64" t="inlineStr">
        <is>
          <t>2026-08-28</t>
        </is>
      </c>
      <c r="BB216" s="65" t="n">
        <v>7890.8</v>
      </c>
      <c r="BC216" s="68" t="n">
        <v>365.2</v>
      </c>
      <c r="BD216" s="63" t="inlineStr">
        <is>
          <t>Y</t>
        </is>
      </c>
      <c r="BE216" s="74" t="n">
        <v>38.8</v>
      </c>
      <c r="BF216" s="74" t="n"/>
      <c r="BG216" s="74" t="n">
        <v>9.6</v>
      </c>
      <c r="BH216" s="74" t="n">
        <v>1.8</v>
      </c>
      <c r="BI216" s="75">
        <f>IF('BBG Verify'!S216="","not filed — run on terminal",'BBG Verify'!S216)</f>
        <v/>
      </c>
      <c r="BJ216" s="76" t="inlineStr">
        <is>
          <t>N</t>
        </is>
      </c>
      <c r="BK216" s="77">
        <f>IF('BBG Verify'!K216="","not filed — run on terminal",'BBG Verify'!K216)</f>
        <v/>
      </c>
      <c r="BL216" s="63" t="inlineStr">
        <is>
          <t>N/A</t>
        </is>
      </c>
      <c r="BM216" s="63" t="inlineStr">
        <is>
          <t>N/A</t>
        </is>
      </c>
      <c r="BN216" s="63" t="inlineStr">
        <is>
          <t>N/A</t>
        </is>
      </c>
      <c r="BO216" s="63" t="inlineStr">
        <is>
          <t>N/A</t>
        </is>
      </c>
      <c r="BP216" s="63" t="inlineStr">
        <is>
          <t>N/A</t>
        </is>
      </c>
      <c r="BQ216" s="63" t="inlineStr">
        <is>
          <t>N/A</t>
        </is>
      </c>
      <c r="BR216" s="76" t="inlineStr">
        <is>
          <t>Huatai Financial Holdings (Hong Kong) Limited; China International Capital Corporation Hong Kong Securities Limited</t>
        </is>
      </c>
      <c r="BS216" s="63" t="inlineStr">
        <is>
          <t>China International Capital Corporation Hong Kong Securities Limited; Huatai Financial Holdings (Hong Kong) Limited</t>
        </is>
      </c>
      <c r="BT216" s="63" t="inlineStr">
        <is>
          <t>Huatai Financial Holdings (Hong Kong) Limited; China International Capital Corporation Hong Kong Securities Limited; CMB International Capital Limited; Central China International Capital Limited</t>
        </is>
      </c>
      <c r="BU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V216" s="78">
        <f>HYPERLINK("https://www1.hkexnews.hk/listedco/listconews/sehk/2023/1020/2023102000007.pdf","prospectus")</f>
        <v/>
      </c>
      <c r="BW216" s="78">
        <f>HYPERLINK("https://www1.hkexnews.hk/listedco/listconews/sehk/2023/1101/2023110100018.htm","allotment")</f>
        <v/>
      </c>
      <c r="BX216" s="78">
        <f>HYPERLINK("https://www1.hkexnews.hk/listedco/listconews/sehk/2023/1127/2023112700202.pdf","stabilisation")</f>
        <v/>
      </c>
      <c r="BY216" s="76" t="n"/>
      <c r="BZ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no grey-market headline on file for this deal — AAStocks publishes one per listing but keeps only recent items on the stock's news page, and no public archive of past evening sessions exists; captured from this run onward</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72" t="n"/>
      <c r="AC217" s="66" t="n"/>
      <c r="AD217" s="72" t="n"/>
      <c r="AE217" s="63" t="n"/>
      <c r="AF217" s="63" t="n"/>
      <c r="AG217" s="63" t="n"/>
      <c r="AH217" s="63" t="n"/>
      <c r="AI217" s="63" t="n"/>
      <c r="AJ217" s="73" t="n">
        <v>40.87</v>
      </c>
      <c r="AK217" s="72" t="n">
        <v>20.77</v>
      </c>
      <c r="AL217" s="72" t="n">
        <v>16.64</v>
      </c>
      <c r="AM217" s="72" t="n">
        <v>20.77</v>
      </c>
      <c r="AN217" s="72" t="n">
        <v>55.94</v>
      </c>
      <c r="AO217" s="72" t="n">
        <v>79.13</v>
      </c>
      <c r="AP217" s="72" t="n">
        <v>-14.27</v>
      </c>
      <c r="AQ217" s="72" t="n">
        <v>10.7</v>
      </c>
      <c r="AR217" s="72" t="n">
        <v>27.16</v>
      </c>
      <c r="AS217" s="72" t="n">
        <v>20.21</v>
      </c>
      <c r="AT217" s="72" t="n">
        <v>60.49</v>
      </c>
      <c r="AU217" s="72" t="n">
        <v>92.8</v>
      </c>
      <c r="AV217" s="72" t="n">
        <v>17.78</v>
      </c>
      <c r="AW217" s="72" t="n">
        <v>-4.55</v>
      </c>
      <c r="AX217" s="72" t="n">
        <v>-7.08</v>
      </c>
      <c r="AY217" s="63" t="inlineStr">
        <is>
          <t>Hang Seng Commerce &amp; Industry sub-index</t>
        </is>
      </c>
      <c r="AZ217" s="72" t="n">
        <v>-82.8</v>
      </c>
      <c r="BA217" s="64" t="inlineStr">
        <is>
          <t>2026-08-28</t>
        </is>
      </c>
      <c r="BB217" s="65" t="n">
        <v>2943.9</v>
      </c>
      <c r="BC217" s="68" t="n">
        <v>-203.1</v>
      </c>
      <c r="BD217" s="63" t="inlineStr">
        <is>
          <t>N</t>
        </is>
      </c>
      <c r="BE217" s="63" t="inlineStr">
        <is>
          <t>n/m</t>
        </is>
      </c>
      <c r="BF217" s="74" t="n"/>
      <c r="BG217" s="74" t="n"/>
      <c r="BH217" s="74" t="n">
        <v>2.3</v>
      </c>
      <c r="BI217" s="75">
        <f>IF('BBG Verify'!S217="","not filed — run on terminal",'BBG Verify'!S217)</f>
        <v/>
      </c>
      <c r="BJ217" s="76" t="inlineStr">
        <is>
          <t>N</t>
        </is>
      </c>
      <c r="BK217" s="77">
        <f>IF('BBG Verify'!K217="","not filed — run on terminal",'BBG Verify'!K217)</f>
        <v/>
      </c>
      <c r="BL217" s="63" t="inlineStr">
        <is>
          <t>N/A</t>
        </is>
      </c>
      <c r="BM217" s="63" t="inlineStr">
        <is>
          <t>N/A</t>
        </is>
      </c>
      <c r="BN217" s="63" t="inlineStr">
        <is>
          <t>N/A</t>
        </is>
      </c>
      <c r="BO217" s="63" t="inlineStr">
        <is>
          <t>N/A</t>
        </is>
      </c>
      <c r="BP217" s="63" t="inlineStr">
        <is>
          <t>N/A</t>
        </is>
      </c>
      <c r="BQ217" s="63" t="inlineStr">
        <is>
          <t>N/A</t>
        </is>
      </c>
      <c r="BR217" s="76" t="inlineStr">
        <is>
          <t>China Securities (International) Corporate Finance Company Limited; Huatai Financial Holdings (Hong Kong) Limited</t>
        </is>
      </c>
      <c r="BS217" s="63" t="inlineStr">
        <is>
          <t>Huatai Financial Holdings (Hong Kong) Limited; China Securities (International) Corporate Finance Company Limited</t>
        </is>
      </c>
      <c r="BT217" s="63" t="inlineStr">
        <is>
          <t>Huatai Financial Holdings (Hong Kong) Limited; China Securities (International) Corporate Finance Company Limited</t>
        </is>
      </c>
      <c r="BU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V217" s="78">
        <f>HYPERLINK("https://www1.hkexnews.hk/listedco/listconews/sehk/2023/1024/2023102400007.pdf","prospectus")</f>
        <v/>
      </c>
      <c r="BW217" s="78">
        <f>HYPERLINK("https://www1.hkexnews.hk/listedco/listconews/sehk/2023/1102/2023110200032.htm","allotment")</f>
        <v/>
      </c>
      <c r="BX217" s="63" t="n"/>
      <c r="BY217" s="76" t="n"/>
      <c r="BZ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72" t="n"/>
      <c r="AC218" s="66" t="n"/>
      <c r="AD218" s="72" t="n"/>
      <c r="AE218" s="63" t="n"/>
      <c r="AF218" s="63" t="n"/>
      <c r="AG218" s="63" t="n"/>
      <c r="AH218" s="63" t="n"/>
      <c r="AI218" s="63" t="n"/>
      <c r="AJ218" s="73" t="n">
        <v>49.09</v>
      </c>
      <c r="AK218" s="72" t="n">
        <v>98.18000000000001</v>
      </c>
      <c r="AL218" s="72" t="n">
        <v>-24.77</v>
      </c>
      <c r="AM218" s="72" t="n">
        <v>46.36</v>
      </c>
      <c r="AN218" s="72" t="n">
        <v>121.82</v>
      </c>
      <c r="AO218" s="72" t="n">
        <v>166.36</v>
      </c>
      <c r="AP218" s="72" t="n">
        <v>-1.83</v>
      </c>
      <c r="AQ218" s="72" t="n">
        <v>48.78</v>
      </c>
      <c r="AR218" s="72" t="n">
        <v>78.66</v>
      </c>
      <c r="AS218" s="72" t="n">
        <v>45.68</v>
      </c>
      <c r="AT218" s="72" t="n">
        <v>131.01</v>
      </c>
      <c r="AU218" s="72" t="n">
        <v>181.38</v>
      </c>
      <c r="AV218" s="72" t="n">
        <v>57.69</v>
      </c>
      <c r="AW218" s="72" t="n">
        <v>-9.19</v>
      </c>
      <c r="AX218" s="72" t="n">
        <v>-8.91</v>
      </c>
      <c r="AY218" s="63" t="inlineStr">
        <is>
          <t>Hang Seng Commerce &amp; Industry sub-index</t>
        </is>
      </c>
      <c r="AZ218" s="72" t="n">
        <v>24.09</v>
      </c>
      <c r="BA218" s="64" t="inlineStr">
        <is>
          <t>2026-08-31</t>
        </is>
      </c>
      <c r="BB218" s="65" t="n">
        <v>1255.7</v>
      </c>
      <c r="BC218" s="68" t="n">
        <v>84.8</v>
      </c>
      <c r="BD218" s="63" t="inlineStr">
        <is>
          <t>Y</t>
        </is>
      </c>
      <c r="BE218" s="74" t="n">
        <v>7.9</v>
      </c>
      <c r="BF218" s="74" t="n">
        <v>5.1</v>
      </c>
      <c r="BG218" s="74" t="n">
        <v>13.6</v>
      </c>
      <c r="BH218" s="74" t="n">
        <v>0.5</v>
      </c>
      <c r="BI218" s="75">
        <f>IF('BBG Verify'!S218="","not filed — run on terminal",'BBG Verify'!S218)</f>
        <v/>
      </c>
      <c r="BJ218" s="76" t="inlineStr">
        <is>
          <t>N</t>
        </is>
      </c>
      <c r="BK218" s="77">
        <f>IF('BBG Verify'!K218="","not filed — run on terminal",'BBG Verify'!K218)</f>
        <v/>
      </c>
      <c r="BL218" s="63" t="inlineStr">
        <is>
          <t>N/A</t>
        </is>
      </c>
      <c r="BM218" s="63" t="inlineStr">
        <is>
          <t>N/A</t>
        </is>
      </c>
      <c r="BN218" s="63" t="inlineStr">
        <is>
          <t>N/A</t>
        </is>
      </c>
      <c r="BO218" s="63" t="inlineStr">
        <is>
          <t>N/A</t>
        </is>
      </c>
      <c r="BP218" s="63" t="inlineStr">
        <is>
          <t>N/A</t>
        </is>
      </c>
      <c r="BQ218" s="63" t="inlineStr">
        <is>
          <t>N/A</t>
        </is>
      </c>
      <c r="BR218" s="76" t="inlineStr">
        <is>
          <t>Quam Capital Limited</t>
        </is>
      </c>
      <c r="BS218" s="63" t="inlineStr">
        <is>
          <t>Quam Capital Limited</t>
        </is>
      </c>
      <c r="BT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U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V218" s="78">
        <f>HYPERLINK("https://www1.hkexnews.hk/listedco/listconews/sehk/2023/1030/2023103000013.pdf","prospectus")</f>
        <v/>
      </c>
      <c r="BW218" s="78">
        <f>HYPERLINK("https://www1.hkexnews.hk/listedco/listconews/sehk/2023/1108/2023110800016.htm","allotment")</f>
        <v/>
      </c>
      <c r="BX218" s="63" t="n"/>
      <c r="BY218" s="76" t="n"/>
      <c r="BZ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72" t="n"/>
      <c r="AC219" s="66" t="n"/>
      <c r="AD219" s="72" t="n"/>
      <c r="AE219" s="63" t="n"/>
      <c r="AF219" s="63" t="n"/>
      <c r="AG219" s="63" t="n"/>
      <c r="AH219" s="63" t="n"/>
      <c r="AI219" s="63" t="n"/>
      <c r="AJ219" s="73" t="n">
        <v>55.77</v>
      </c>
      <c r="AK219" s="72" t="n">
        <v>58.65</v>
      </c>
      <c r="AL219" s="72" t="n">
        <v>-1.82</v>
      </c>
      <c r="AM219" s="72" t="n">
        <v>84.62</v>
      </c>
      <c r="AN219" s="72" t="n">
        <v>100</v>
      </c>
      <c r="AO219" s="72" t="n">
        <v>-60.1</v>
      </c>
      <c r="AP219" s="72" t="n">
        <v>18.52</v>
      </c>
      <c r="AQ219" s="72" t="n">
        <v>28.39</v>
      </c>
      <c r="AR219" s="72" t="n">
        <v>-74.39</v>
      </c>
      <c r="AS219" s="72" t="n">
        <v>86.56</v>
      </c>
      <c r="AT219" s="72" t="n">
        <v>110.02</v>
      </c>
      <c r="AU219" s="72" t="n">
        <v>-46.49</v>
      </c>
      <c r="AV219" s="72" t="n">
        <v>36.4</v>
      </c>
      <c r="AW219" s="72" t="n">
        <v>-10.02</v>
      </c>
      <c r="AX219" s="72" t="n">
        <v>-8.01</v>
      </c>
      <c r="AY219" s="63" t="inlineStr">
        <is>
          <t>Hang Seng Commerce &amp; Industry sub-index</t>
        </is>
      </c>
      <c r="AZ219" s="72" t="n">
        <v>-76.92</v>
      </c>
      <c r="BA219" s="64" t="inlineStr">
        <is>
          <t>2026-08-28</t>
        </is>
      </c>
      <c r="BB219" s="65" t="n">
        <v>227.9</v>
      </c>
      <c r="BC219" s="68" t="n">
        <v>50.2</v>
      </c>
      <c r="BD219" s="63" t="inlineStr">
        <is>
          <t>Y</t>
        </is>
      </c>
      <c r="BE219" s="74" t="n">
        <v>14.7</v>
      </c>
      <c r="BF219" s="74" t="n"/>
      <c r="BG219" s="74" t="n">
        <v>2.3</v>
      </c>
      <c r="BH219" s="74" t="n">
        <v>3.2</v>
      </c>
      <c r="BI219" s="75">
        <f>IF('BBG Verify'!S219="","not filed — run on terminal",'BBG Verify'!S219)</f>
        <v/>
      </c>
      <c r="BJ219" s="76" t="inlineStr">
        <is>
          <t>N</t>
        </is>
      </c>
      <c r="BK219" s="77">
        <f>IF('BBG Verify'!K219="","not filed — run on terminal",'BBG Verify'!K219)</f>
        <v/>
      </c>
      <c r="BL219" s="63" t="inlineStr">
        <is>
          <t>N/A</t>
        </is>
      </c>
      <c r="BM219" s="63" t="inlineStr">
        <is>
          <t>N/A</t>
        </is>
      </c>
      <c r="BN219" s="63" t="inlineStr">
        <is>
          <t>N/A</t>
        </is>
      </c>
      <c r="BO219" s="63" t="inlineStr">
        <is>
          <t>N/A</t>
        </is>
      </c>
      <c r="BP219" s="63" t="inlineStr">
        <is>
          <t>N/A</t>
        </is>
      </c>
      <c r="BQ219" s="63" t="inlineStr">
        <is>
          <t>N/A</t>
        </is>
      </c>
      <c r="BR219" s="76" t="n"/>
      <c r="BS219" s="63" t="inlineStr">
        <is>
          <t>Rainbow Capital (HK) Limited</t>
        </is>
      </c>
      <c r="BT219" s="63" t="inlineStr">
        <is>
          <t>ABCI Capital Limited; ABCI Securities Company Limited; CCB International Capital Limited; CEB International Capital Corporation Limited; Cinda International Capital Limited; CMB International Capital Limited</t>
        </is>
      </c>
      <c r="BU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V219" s="63" t="n"/>
      <c r="BW219" s="78">
        <f>HYPERLINK("https://www1.hkexnews.hk/listedco/listconews/sehk/2023/1109/2023110900026.htm","allotment")</f>
        <v/>
      </c>
      <c r="BX219" s="63" t="n"/>
      <c r="BY219" s="76" t="n"/>
      <c r="BZ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72" t="n"/>
      <c r="AC220" s="66" t="n"/>
      <c r="AD220" s="72" t="n"/>
      <c r="AE220" s="63" t="n"/>
      <c r="AF220" s="63" t="inlineStr">
        <is>
          <t>lapsed (no over-allocation)</t>
        </is>
      </c>
      <c r="AG220" s="63" t="n"/>
      <c r="AH220" s="63" t="inlineStr">
        <is>
          <t>Haitong International Securities Company Limited</t>
        </is>
      </c>
      <c r="AI220" s="63" t="inlineStr">
        <is>
          <t>Haitong</t>
        </is>
      </c>
      <c r="AJ220" s="73" t="n">
        <v>3.36</v>
      </c>
      <c r="AK220" s="72" t="n">
        <v>8.4</v>
      </c>
      <c r="AL220" s="72" t="n">
        <v>-4.65</v>
      </c>
      <c r="AM220" s="72" t="n">
        <v>3.78</v>
      </c>
      <c r="AN220" s="72" t="n">
        <v>2.66</v>
      </c>
      <c r="AO220" s="72" t="n">
        <v>0.14</v>
      </c>
      <c r="AP220" s="72" t="n">
        <v>0.41</v>
      </c>
      <c r="AQ220" s="72" t="n">
        <v>-0.68</v>
      </c>
      <c r="AR220" s="72" t="n">
        <v>-3.12</v>
      </c>
      <c r="AS220" s="72" t="n">
        <v>5.72</v>
      </c>
      <c r="AT220" s="72" t="n">
        <v>12.68</v>
      </c>
      <c r="AU220" s="72" t="n">
        <v>13.75</v>
      </c>
      <c r="AV220" s="72" t="n">
        <v>7.33</v>
      </c>
      <c r="AW220" s="72" t="n">
        <v>-10.02</v>
      </c>
      <c r="AX220" s="72" t="n">
        <v>-8.01</v>
      </c>
      <c r="AY220" s="63" t="inlineStr">
        <is>
          <t>Hang Seng Commerce &amp; Industry sub-index</t>
        </is>
      </c>
      <c r="AZ220" s="72" t="n">
        <v>-60.08</v>
      </c>
      <c r="BA220" s="64" t="inlineStr">
        <is>
          <t>2026-08-28</t>
        </is>
      </c>
      <c r="BB220" s="65" t="n">
        <v>1313.6</v>
      </c>
      <c r="BC220" s="68" t="n">
        <v>39</v>
      </c>
      <c r="BD220" s="63" t="inlineStr">
        <is>
          <t>Y</t>
        </is>
      </c>
      <c r="BE220" s="74" t="n">
        <v>126.5</v>
      </c>
      <c r="BF220" s="74" t="n"/>
      <c r="BG220" s="74" t="n">
        <v>21.8</v>
      </c>
      <c r="BH220" s="74" t="n">
        <v>3.8</v>
      </c>
      <c r="BI220" s="75">
        <f>IF('BBG Verify'!S220="","not filed — run on terminal",'BBG Verify'!S220)</f>
        <v/>
      </c>
      <c r="BJ220" s="76" t="inlineStr">
        <is>
          <t>N</t>
        </is>
      </c>
      <c r="BK220" s="77">
        <f>IF('BBG Verify'!K220="","not filed — run on terminal",'BBG Verify'!K220)</f>
        <v/>
      </c>
      <c r="BL220" s="63" t="inlineStr">
        <is>
          <t>N/A</t>
        </is>
      </c>
      <c r="BM220" s="63" t="inlineStr">
        <is>
          <t>N/A</t>
        </is>
      </c>
      <c r="BN220" s="63" t="inlineStr">
        <is>
          <t>N/A</t>
        </is>
      </c>
      <c r="BO220" s="63" t="inlineStr">
        <is>
          <t>N/A</t>
        </is>
      </c>
      <c r="BP220" s="63" t="inlineStr">
        <is>
          <t>N/A</t>
        </is>
      </c>
      <c r="BQ220" s="63" t="inlineStr">
        <is>
          <t>N/A</t>
        </is>
      </c>
      <c r="BR220" s="76" t="inlineStr">
        <is>
          <t>Haitong International Capital Limited; Haitong International Securities Company Limited</t>
        </is>
      </c>
      <c r="BS220" s="63" t="inlineStr">
        <is>
          <t>Haitong International Capital Limited</t>
        </is>
      </c>
      <c r="BT220" s="63" t="inlineStr">
        <is>
          <t>Haitong International Securities Company Limited; GF Securities (Hong Kong) Brokerage Limited; Huatai Financial Holdings (Hong Kong) Limited</t>
        </is>
      </c>
      <c r="BU220" s="63" t="inlineStr">
        <is>
          <t>GF Securities (Hong Kong) Brokerage Limited; Huatai Financial Holdings (Hong Kong) Limited; Haitong International Securities Company Limited</t>
        </is>
      </c>
      <c r="BV220" s="78">
        <f>HYPERLINK("https://www1.hkexnews.hk/listedco/listconews/sehk/2023/1031/2023103100017.pdf","prospectus")</f>
        <v/>
      </c>
      <c r="BW220" s="78">
        <f>HYPERLINK("https://www1.hkexnews.hk/listedco/listconews/sehk/2023/1109/2023110900052.htm","allotment")</f>
        <v/>
      </c>
      <c r="BX220" s="78">
        <f>HYPERLINK("https://www1.hkexnews.hk/listedco/listconews/sehk/2023/1204/2023120400033.pdf","stabilisation")</f>
        <v/>
      </c>
      <c r="BY220" s="76" t="n"/>
      <c r="BZ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no grey-market headline on file for this deal — AAStocks publishes one per listing but keeps only recent items on the stock's news page, and no public archive of past evening sessions exists; captured from this run onward</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72" t="n"/>
      <c r="AC221" s="66" t="n"/>
      <c r="AD221" s="72" t="n"/>
      <c r="AE221" s="63" t="n"/>
      <c r="AF221" s="63" t="n"/>
      <c r="AG221" s="63" t="inlineStr">
        <is>
          <t>2023-12-10</t>
        </is>
      </c>
      <c r="AH221" s="63" t="inlineStr">
        <is>
          <t>Morgan Stanley Asia Limited</t>
        </is>
      </c>
      <c r="AI221" s="63" t="inlineStr">
        <is>
          <t>Morgan Stanley</t>
        </is>
      </c>
      <c r="AJ221" s="73" t="n">
        <v>35.92</v>
      </c>
      <c r="AK221" s="72" t="n">
        <v>30.83</v>
      </c>
      <c r="AL221" s="72" t="n">
        <v>3.89</v>
      </c>
      <c r="AM221" s="72" t="n">
        <v>40.78</v>
      </c>
      <c r="AN221" s="72" t="n">
        <v>51.21</v>
      </c>
      <c r="AO221" s="72" t="n">
        <v>-10</v>
      </c>
      <c r="AP221" s="72" t="n">
        <v>3.58</v>
      </c>
      <c r="AQ221" s="72" t="n">
        <v>11.25</v>
      </c>
      <c r="AR221" s="72" t="n">
        <v>-33.78</v>
      </c>
      <c r="AS221" s="72" t="n">
        <v>40.26</v>
      </c>
      <c r="AT221" s="72" t="n">
        <v>58.49</v>
      </c>
      <c r="AU221" s="72" t="n">
        <v>11.86</v>
      </c>
      <c r="AV221" s="72" t="n">
        <v>19.23</v>
      </c>
      <c r="AW221" s="72" t="n">
        <v>-7.28</v>
      </c>
      <c r="AX221" s="72" t="n">
        <v>-7.98</v>
      </c>
      <c r="AY221" s="63" t="inlineStr">
        <is>
          <t>China Biotech ETF (HS biotech proxy)</t>
        </is>
      </c>
      <c r="AZ221" s="72" t="n">
        <v>256.31</v>
      </c>
      <c r="BA221" s="64" t="inlineStr">
        <is>
          <t>2026-08-28</t>
        </is>
      </c>
      <c r="BB221" s="65" t="n">
        <v>1089.5</v>
      </c>
      <c r="BC221" s="68" t="n">
        <v>171.3</v>
      </c>
      <c r="BD221" s="63" t="inlineStr">
        <is>
          <t>Y</t>
        </is>
      </c>
      <c r="BE221" s="74" t="n">
        <v>141.6</v>
      </c>
      <c r="BF221" s="74" t="n"/>
      <c r="BG221" s="74" t="n">
        <v>45.8</v>
      </c>
      <c r="BH221" s="74" t="n">
        <v>22.3</v>
      </c>
      <c r="BI221" s="75">
        <f>IF('BBG Verify'!S221="","not filed — run on terminal",'BBG Verify'!S221)</f>
        <v/>
      </c>
      <c r="BJ221" s="76" t="inlineStr">
        <is>
          <t>N</t>
        </is>
      </c>
      <c r="BK221" s="77">
        <f>IF('BBG Verify'!K221="","not filed — run on terminal",'BBG Verify'!K221)</f>
        <v/>
      </c>
      <c r="BL221" s="63" t="inlineStr">
        <is>
          <t>N/A</t>
        </is>
      </c>
      <c r="BM221" s="63" t="inlineStr">
        <is>
          <t>N/A</t>
        </is>
      </c>
      <c r="BN221" s="63" t="inlineStr">
        <is>
          <t>N/A</t>
        </is>
      </c>
      <c r="BO221" s="63" t="inlineStr">
        <is>
          <t>N/A</t>
        </is>
      </c>
      <c r="BP221" s="63" t="inlineStr">
        <is>
          <t>N/A</t>
        </is>
      </c>
      <c r="BQ221" s="63" t="inlineStr">
        <is>
          <t>N/A</t>
        </is>
      </c>
      <c r="BR221" s="76" t="inlineStr">
        <is>
          <t>Morgan Stanley; Goldman Sachs; J.P. Morgan</t>
        </is>
      </c>
      <c r="BS221" s="63" t="inlineStr">
        <is>
          <t>Morgan Stanley Asia Limited; J.P. Morgan Securities (Far East) Limited; Goldman Sachs (Asia) L.L.C.</t>
        </is>
      </c>
      <c r="BT221" s="63" t="inlineStr">
        <is>
          <t>Citigroup Global Markets Asia Limited; China International Capital Corporation Hong Kong Securities Limited; Goldman Sachs (Asia) L.L.C.; Huatai Financial Holdings (Hong Kong) Limited; J.P. Morgan Securities (Asia Pacific) Limited; Morgan Stanley Asia Limited</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n"/>
      <c r="BW221" s="78">
        <f>HYPERLINK("https://www1.hkexnews.hk/listedco/listconews/sehk/2023/1116/2023111600008.htm","allotment")</f>
        <v/>
      </c>
      <c r="BX221" s="63" t="n"/>
      <c r="BY221" s="76" t="n"/>
      <c r="BZ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72" t="n"/>
      <c r="AC222" s="66" t="n"/>
      <c r="AD222" s="72" t="n"/>
      <c r="AE222" s="63" t="n"/>
      <c r="AF222" s="63" t="inlineStr">
        <is>
          <t>partial</t>
        </is>
      </c>
      <c r="AG222" s="63" t="inlineStr">
        <is>
          <t>2023-12-15</t>
        </is>
      </c>
      <c r="AH222" s="63" t="inlineStr">
        <is>
          <t>Shanxi Securities International Limited</t>
        </is>
      </c>
      <c r="AI222" s="63" t="inlineStr">
        <is>
          <t>Shanxi</t>
        </is>
      </c>
      <c r="AJ222" s="73" t="n">
        <v>0</v>
      </c>
      <c r="AK222" s="72" t="n">
        <v>0</v>
      </c>
      <c r="AL222" s="72" t="n">
        <v>0</v>
      </c>
      <c r="AM222" s="72" t="n">
        <v>-5.5</v>
      </c>
      <c r="AN222" s="72" t="n">
        <v>-17.43</v>
      </c>
      <c r="AO222" s="72" t="n">
        <v>-11.47</v>
      </c>
      <c r="AP222" s="72" t="n">
        <v>-5.5</v>
      </c>
      <c r="AQ222" s="72" t="n">
        <v>-17.43</v>
      </c>
      <c r="AR222" s="72" t="n">
        <v>-11.47</v>
      </c>
      <c r="AS222" s="72" t="n">
        <v>-0.71</v>
      </c>
      <c r="AT222" s="72" t="n">
        <v>-9.460000000000001</v>
      </c>
      <c r="AU222" s="72" t="n">
        <v>-2.85</v>
      </c>
      <c r="AV222" s="72" t="n">
        <v>-9.550000000000001</v>
      </c>
      <c r="AW222" s="72" t="n">
        <v>-7.97</v>
      </c>
      <c r="AX222" s="72" t="n">
        <v>-7.88</v>
      </c>
      <c r="AY222" s="63" t="inlineStr">
        <is>
          <t>Hang Seng Commerce &amp; Industry sub-index</t>
        </is>
      </c>
      <c r="AZ222" s="72" t="n">
        <v>1.15</v>
      </c>
      <c r="BA222" s="64" t="inlineStr">
        <is>
          <t>2026-08-28</t>
        </is>
      </c>
      <c r="BB222" s="65" t="n">
        <v>14129.3</v>
      </c>
      <c r="BC222" s="68" t="n">
        <v>220.5</v>
      </c>
      <c r="BD222" s="63" t="inlineStr">
        <is>
          <t>Y</t>
        </is>
      </c>
      <c r="BE222" s="74" t="n">
        <v>14.6</v>
      </c>
      <c r="BF222" s="74" t="n"/>
      <c r="BG222" s="74" t="n">
        <v>19</v>
      </c>
      <c r="BH222" s="74" t="n">
        <v>0.2</v>
      </c>
      <c r="BI222" s="75">
        <f>IF('BBG Verify'!S222="","not filed — run on terminal",'BBG Verify'!S222)</f>
        <v/>
      </c>
      <c r="BJ222" s="76" t="inlineStr">
        <is>
          <t>N</t>
        </is>
      </c>
      <c r="BK222" s="77">
        <f>IF('BBG Verify'!K222="","not filed — run on terminal",'BBG Verify'!K222)</f>
        <v/>
      </c>
      <c r="BL222" s="63" t="inlineStr">
        <is>
          <t>N/A</t>
        </is>
      </c>
      <c r="BM222" s="63" t="inlineStr">
        <is>
          <t>N/A</t>
        </is>
      </c>
      <c r="BN222" s="63" t="inlineStr">
        <is>
          <t>N/A</t>
        </is>
      </c>
      <c r="BO222" s="63" t="inlineStr">
        <is>
          <t>N/A</t>
        </is>
      </c>
      <c r="BP222" s="63" t="inlineStr">
        <is>
          <t>N/A</t>
        </is>
      </c>
      <c r="BQ222" s="63" t="inlineStr">
        <is>
          <t>N/A</t>
        </is>
      </c>
      <c r="BR222" s="76" t="inlineStr">
        <is>
          <t>Huatai Financial Holdings (Hong Kong) Limited; Shanxi Securities International Capital Limited</t>
        </is>
      </c>
      <c r="BS222" s="63" t="inlineStr">
        <is>
          <t>Huatai Financial Holdings (Hong Kong) Limited; Shanxi Securities International Capital Limited</t>
        </is>
      </c>
      <c r="BT222" s="63" t="inlineStr">
        <is>
          <t>BOCOM International Securities Limited; China Everbright Securities (HK) Limited; CMB International Capital Limited; ICBC International Capital Limited; Zhongtai International Securities Limited</t>
        </is>
      </c>
      <c r="BU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V222" s="78">
        <f>HYPERLINK("https://www1.hkexnews.hk/listedco/listconews/sehk/2023/1110/2023111000017.pdf","prospectus")</f>
        <v/>
      </c>
      <c r="BW222" s="78">
        <f>HYPERLINK("https://www1.hkexnews.hk/listedco/listconews/sehk/2023/1121/2023112100014.htm","allotment")</f>
        <v/>
      </c>
      <c r="BX222" s="78">
        <f>HYPERLINK("https://www1.hkexnews.hk/listedco/listconews/sehk/2023/1215/2023121501152.pdf","stabilisation")</f>
        <v/>
      </c>
      <c r="BY222" s="76" t="n"/>
      <c r="BZ222" s="63" t="inlineStr">
        <is>
          <t>A/H: no A-share listing · market cap: estimate from stated market capitalisation, rescaled to the offer price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72" t="n"/>
      <c r="AC223" s="66" t="n"/>
      <c r="AD223" s="72" t="n"/>
      <c r="AE223" s="63" t="n"/>
      <c r="AF223" s="63" t="n"/>
      <c r="AG223" s="63" t="n"/>
      <c r="AH223" s="63" t="n"/>
      <c r="AI223" s="63" t="n"/>
      <c r="AJ223" s="73" t="n">
        <v>3.12</v>
      </c>
      <c r="AK223" s="72" t="n">
        <v>-6.25</v>
      </c>
      <c r="AL223" s="72" t="n">
        <v>9.99</v>
      </c>
      <c r="AM223" s="72" t="n">
        <v>15.63</v>
      </c>
      <c r="AN223" s="72" t="n">
        <v>10.94</v>
      </c>
      <c r="AO223" s="72" t="n">
        <v>-18.75</v>
      </c>
      <c r="AP223" s="72" t="n">
        <v>12.13</v>
      </c>
      <c r="AQ223" s="72" t="n">
        <v>7.58</v>
      </c>
      <c r="AR223" s="72" t="n">
        <v>-21.21</v>
      </c>
      <c r="AS223" s="72" t="n">
        <v>16.31</v>
      </c>
      <c r="AT223" s="72" t="n">
        <v>11.51</v>
      </c>
      <c r="AU223" s="72" t="n">
        <v>-9.6</v>
      </c>
      <c r="AV223" s="72" t="n">
        <v>6.19</v>
      </c>
      <c r="AW223" s="72" t="n">
        <v>-0.57</v>
      </c>
      <c r="AX223" s="72" t="n">
        <v>1.39</v>
      </c>
      <c r="AY223" s="63" t="inlineStr">
        <is>
          <t>Hang Seng Properties sub-index</t>
        </is>
      </c>
      <c r="AZ223" s="72" t="n">
        <v>203.12</v>
      </c>
      <c r="BA223" s="64" t="inlineStr">
        <is>
          <t>2026-08-28</t>
        </is>
      </c>
      <c r="BB223" s="65" t="n">
        <v>653.6</v>
      </c>
      <c r="BC223" s="68" t="n">
        <v>37.8</v>
      </c>
      <c r="BD223" s="63" t="inlineStr">
        <is>
          <t>Y</t>
        </is>
      </c>
      <c r="BE223" s="74" t="n">
        <v>13.8</v>
      </c>
      <c r="BF223" s="74" t="n"/>
      <c r="BG223" s="74" t="n">
        <v>61.3</v>
      </c>
      <c r="BH223" s="74" t="n">
        <v>0.8</v>
      </c>
      <c r="BI223" s="75">
        <f>IF('BBG Verify'!S223="","not filed — run on terminal",'BBG Verify'!S223)</f>
        <v/>
      </c>
      <c r="BJ223" s="76" t="inlineStr">
        <is>
          <t>N</t>
        </is>
      </c>
      <c r="BK223" s="77">
        <f>IF('BBG Verify'!K223="","not filed — run on terminal",'BBG Verify'!K223)</f>
        <v/>
      </c>
      <c r="BL223" s="63" t="inlineStr">
        <is>
          <t>N/A</t>
        </is>
      </c>
      <c r="BM223" s="63" t="inlineStr">
        <is>
          <t>N/A</t>
        </is>
      </c>
      <c r="BN223" s="63" t="inlineStr">
        <is>
          <t>N/A</t>
        </is>
      </c>
      <c r="BO223" s="63" t="inlineStr">
        <is>
          <t>N/A</t>
        </is>
      </c>
      <c r="BP223" s="63" t="inlineStr">
        <is>
          <t>N/A</t>
        </is>
      </c>
      <c r="BQ223" s="63" t="inlineStr">
        <is>
          <t>N/A</t>
        </is>
      </c>
      <c r="BR223" s="76" t="n"/>
      <c r="BS223" s="63" t="inlineStr">
        <is>
          <t>Cinda International Capital Limited</t>
        </is>
      </c>
      <c r="BT223" s="63" t="inlineStr">
        <is>
          <t>Cinda International Capital Limited; ICBC International Securities Limited; CCB International Capital Limited; Yuen Meta (International) Securities Limited</t>
        </is>
      </c>
      <c r="BU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V223" s="78">
        <f>HYPERLINK("https://www1.hkexnews.hk/listedco/listconews/sehk/2023/1127/2023112700086.pdf","prospectus")</f>
        <v/>
      </c>
      <c r="BW223" s="78">
        <f>HYPERLINK("https://www1.hkexnews.hk/listedco/listconews/sehk/2023/1204/2023120402525.pdf","allotment")</f>
        <v/>
      </c>
      <c r="BX223" s="63" t="n"/>
      <c r="BY223" s="76" t="n"/>
      <c r="BZ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72" t="n"/>
      <c r="AC224" s="66" t="n"/>
      <c r="AD224" s="72" t="n"/>
      <c r="AE224" s="63" t="n"/>
      <c r="AF224" s="63" t="n"/>
      <c r="AG224" s="63" t="n"/>
      <c r="AH224" s="63" t="n"/>
      <c r="AI224" s="63" t="n"/>
      <c r="AJ224" s="73" t="n">
        <v>0.71</v>
      </c>
      <c r="AK224" s="72" t="n">
        <v>-16.07</v>
      </c>
      <c r="AL224" s="72" t="n">
        <v>19.99</v>
      </c>
      <c r="AM224" s="72" t="n">
        <v>-22.38</v>
      </c>
      <c r="AN224" s="72" t="n">
        <v>-19.13</v>
      </c>
      <c r="AO224" s="72" t="n">
        <v>-5.9</v>
      </c>
      <c r="AP224" s="72" t="n">
        <v>-22.93</v>
      </c>
      <c r="AQ224" s="72" t="n">
        <v>-19.7</v>
      </c>
      <c r="AR224" s="72" t="n">
        <v>-6.56</v>
      </c>
      <c r="AS224" s="72" t="n">
        <v>-20.46</v>
      </c>
      <c r="AT224" s="72" t="n">
        <v>-14.97</v>
      </c>
      <c r="AU224" s="72" t="n">
        <v>-3.11</v>
      </c>
      <c r="AV224" s="72" t="n">
        <v>-17.28</v>
      </c>
      <c r="AW224" s="72" t="n">
        <v>-4.16</v>
      </c>
      <c r="AX224" s="72" t="n">
        <v>-2.42</v>
      </c>
      <c r="AY224" s="63" t="inlineStr">
        <is>
          <t>Hang Seng Commerce &amp; Industry sub-index</t>
        </is>
      </c>
      <c r="AZ224" s="72" t="n">
        <v>-87.79000000000001</v>
      </c>
      <c r="BA224" s="64" t="inlineStr">
        <is>
          <t>2026-08-28</t>
        </is>
      </c>
      <c r="BB224" s="65" t="n">
        <v>823.3</v>
      </c>
      <c r="BC224" s="68" t="n">
        <v>-308.2</v>
      </c>
      <c r="BD224" s="63" t="inlineStr">
        <is>
          <t>N</t>
        </is>
      </c>
      <c r="BE224" s="63" t="inlineStr">
        <is>
          <t>n/m</t>
        </is>
      </c>
      <c r="BF224" s="74" t="n"/>
      <c r="BG224" s="74" t="n"/>
      <c r="BH224" s="74" t="n">
        <v>12.4</v>
      </c>
      <c r="BI224" s="75">
        <f>IF('BBG Verify'!S224="","not filed — run on terminal",'BBG Verify'!S224)</f>
        <v/>
      </c>
      <c r="BJ224" s="76" t="inlineStr">
        <is>
          <t>N</t>
        </is>
      </c>
      <c r="BK224" s="77">
        <f>IF('BBG Verify'!K224="","not filed — run on terminal",'BBG Verify'!K224)</f>
        <v/>
      </c>
      <c r="BL224" s="63" t="inlineStr">
        <is>
          <t>N/A</t>
        </is>
      </c>
      <c r="BM224" s="63" t="inlineStr">
        <is>
          <t>N/A</t>
        </is>
      </c>
      <c r="BN224" s="63" t="inlineStr">
        <is>
          <t>N/A</t>
        </is>
      </c>
      <c r="BO224" s="63" t="inlineStr">
        <is>
          <t>N/A</t>
        </is>
      </c>
      <c r="BP224" s="63" t="inlineStr">
        <is>
          <t>N/A</t>
        </is>
      </c>
      <c r="BQ224" s="63" t="inlineStr">
        <is>
          <t>N/A</t>
        </is>
      </c>
      <c r="BR224" s="76" t="inlineStr">
        <is>
          <t>Huatai Financial Holdings (Hong Kong) Limited</t>
        </is>
      </c>
      <c r="BS224" s="63" t="inlineStr">
        <is>
          <t>Huatai Financial Holdings (Hong Kong) Limited</t>
        </is>
      </c>
      <c r="BT224" s="63" t="inlineStr">
        <is>
          <t>Huatai Financial Holdings (Hong Kong) Limited; CMB International Capital Limited; GF Securities (Hong Kong) Brokerage Limited; Haitong International Securities Company Limited; Livermore Holdings Limited</t>
        </is>
      </c>
      <c r="BU224" s="63" t="inlineStr">
        <is>
          <t>CMB International Capital Limited; GF Securities (Hong Kong) Brokerage Limited; Huatai Financial Holdings (Hong Kong) Limited; Haitong International Securities Company Limited; Livermore Holdings Limited</t>
        </is>
      </c>
      <c r="BV224" s="78">
        <f>HYPERLINK("https://www1.hkexnews.hk/listedco/listconews/sehk/2023/1127/2023112700007.pdf","prospectus")</f>
        <v/>
      </c>
      <c r="BW224" s="78">
        <f>HYPERLINK("https://www1.hkexnews.hk/listedco/listconews/sehk/2023/1204/2023120402568.htm","allotment")</f>
        <v/>
      </c>
      <c r="BX224" s="63" t="n"/>
      <c r="BY224" s="76" t="n"/>
      <c r="BZ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72" t="n"/>
      <c r="AC225" s="66" t="n"/>
      <c r="AD225" s="72" t="n"/>
      <c r="AE225" s="63" t="n"/>
      <c r="AF225" s="63" t="inlineStr">
        <is>
          <t>lapsed</t>
        </is>
      </c>
      <c r="AG225" s="63" t="inlineStr">
        <is>
          <t>2023-12-30</t>
        </is>
      </c>
      <c r="AH225" s="63" t="inlineStr">
        <is>
          <t>China PA Securities</t>
        </is>
      </c>
      <c r="AI225" s="63" t="inlineStr">
        <is>
          <t>China PA</t>
        </is>
      </c>
      <c r="AJ225" s="73" t="n">
        <v>-0.5600000000000001</v>
      </c>
      <c r="AK225" s="72" t="n">
        <v>-10.56</v>
      </c>
      <c r="AL225" s="72" t="n">
        <v>11.18</v>
      </c>
      <c r="AM225" s="72" t="n">
        <v>-5</v>
      </c>
      <c r="AN225" s="72" t="n">
        <v>-5</v>
      </c>
      <c r="AO225" s="72" t="n">
        <v>-5</v>
      </c>
      <c r="AP225" s="72" t="n">
        <v>-4.47</v>
      </c>
      <c r="AQ225" s="72" t="n">
        <v>-4.47</v>
      </c>
      <c r="AR225" s="72" t="n">
        <v>-4.47</v>
      </c>
      <c r="AS225" s="72" t="n">
        <v>-3.97</v>
      </c>
      <c r="AT225" s="72" t="n">
        <v>2.68</v>
      </c>
      <c r="AU225" s="72" t="n">
        <v>5.44</v>
      </c>
      <c r="AV225" s="72" t="n">
        <v>1.01</v>
      </c>
      <c r="AW225" s="72" t="n">
        <v>-7.68</v>
      </c>
      <c r="AX225" s="72" t="n">
        <v>-5.48</v>
      </c>
      <c r="AY225" s="63" t="inlineStr">
        <is>
          <t>HSTECH (Hang Seng TECH ETF)</t>
        </is>
      </c>
      <c r="AZ225" s="72" t="n">
        <v>-0.28</v>
      </c>
      <c r="BA225" s="64" t="inlineStr">
        <is>
          <t>2026-08-28</t>
        </is>
      </c>
      <c r="BB225" s="65" t="n">
        <v>2022</v>
      </c>
      <c r="BC225" s="68" t="n">
        <v>67.90000000000001</v>
      </c>
      <c r="BD225" s="63" t="inlineStr">
        <is>
          <t>Y</t>
        </is>
      </c>
      <c r="BE225" s="74" t="n">
        <v>13.3</v>
      </c>
      <c r="BF225" s="74" t="n"/>
      <c r="BG225" s="74" t="n">
        <v>9.699999999999999</v>
      </c>
      <c r="BH225" s="74" t="n">
        <v>0.4</v>
      </c>
      <c r="BI225" s="75">
        <f>IF('BBG Verify'!S225="","not filed — run on terminal",'BBG Verify'!S225)</f>
        <v/>
      </c>
      <c r="BJ225" s="76" t="inlineStr">
        <is>
          <t>N</t>
        </is>
      </c>
      <c r="BK225" s="77">
        <f>IF('BBG Verify'!K225="","not filed — run on terminal",'BBG Verify'!K225)</f>
        <v/>
      </c>
      <c r="BL225" s="63" t="inlineStr">
        <is>
          <t>N/A</t>
        </is>
      </c>
      <c r="BM225" s="63" t="inlineStr">
        <is>
          <t>N/A</t>
        </is>
      </c>
      <c r="BN225" s="63" t="inlineStr">
        <is>
          <t>N/A</t>
        </is>
      </c>
      <c r="BO225" s="63" t="inlineStr">
        <is>
          <t>N/A</t>
        </is>
      </c>
      <c r="BP225" s="63" t="inlineStr">
        <is>
          <t>N/A</t>
        </is>
      </c>
      <c r="BQ225" s="63" t="inlineStr">
        <is>
          <t>N/A</t>
        </is>
      </c>
      <c r="BR225" s="76" t="inlineStr">
        <is>
          <t>DBS Asia Capital Limited; Ping An of China Capital (Hong Kong) Company Limited</t>
        </is>
      </c>
      <c r="BS225" s="63" t="inlineStr">
        <is>
          <t>Ping An of China Capital (Hong Kong) Company Limited; DBS Asia Capital Limited</t>
        </is>
      </c>
      <c r="BT225" s="63" t="inlineStr">
        <is>
          <t>and CMIs CCB International Capital Limited; Elstone Securities Limited; Valuable Capital Limited</t>
        </is>
      </c>
      <c r="BU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V225" s="78">
        <f>HYPERLINK("https://www1.hkexnews.hk/listedco/listconews/sehk/2023/1127/2023112700082.pdf","prospectus")</f>
        <v/>
      </c>
      <c r="BW225" s="78">
        <f>HYPERLINK("https://www1.hkexnews.hk/listedco/listconews/sehk/2023/1204/2023120402869.pdf","allotment")</f>
        <v/>
      </c>
      <c r="BX225" s="78">
        <f>HYPERLINK("https://www1.hkexnews.hk/listedco/listconews/sehk/2024/0102/2024010200039.pdf","stabilisation")</f>
        <v/>
      </c>
      <c r="BY225" s="76" t="n"/>
      <c r="BZ225"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72" t="n"/>
      <c r="AC226" s="66" t="n"/>
      <c r="AD226" s="72" t="n"/>
      <c r="AE226" s="63" t="n"/>
      <c r="AF226" s="63" t="n"/>
      <c r="AG226" s="63" t="n"/>
      <c r="AH226" s="63" t="n"/>
      <c r="AI226" s="63" t="n"/>
      <c r="AJ226" s="73" t="n">
        <v>1.49</v>
      </c>
      <c r="AK226" s="72" t="n">
        <v>0</v>
      </c>
      <c r="AL226" s="72" t="n">
        <v>1.49</v>
      </c>
      <c r="AM226" s="72" t="n">
        <v>2.17</v>
      </c>
      <c r="AN226" s="72" t="n">
        <v>59.68</v>
      </c>
      <c r="AO226" s="72" t="n">
        <v>18.94</v>
      </c>
      <c r="AP226" s="72" t="n">
        <v>0.67</v>
      </c>
      <c r="AQ226" s="72" t="n">
        <v>57.34</v>
      </c>
      <c r="AR226" s="72" t="n">
        <v>17.19</v>
      </c>
      <c r="AS226" s="72" t="n">
        <v>3.43</v>
      </c>
      <c r="AT226" s="72" t="n">
        <v>62.72</v>
      </c>
      <c r="AU226" s="72" t="n">
        <v>17.97</v>
      </c>
      <c r="AV226" s="72" t="n">
        <v>61.35</v>
      </c>
      <c r="AW226" s="72" t="n">
        <v>-3.04</v>
      </c>
      <c r="AX226" s="72" t="n">
        <v>-4.01</v>
      </c>
      <c r="AY226" s="63" t="inlineStr">
        <is>
          <t>Hang Seng Commerce &amp; Industry sub-index</t>
        </is>
      </c>
      <c r="AZ226" s="72" t="n">
        <v>56.02</v>
      </c>
      <c r="BA226" s="64" t="inlineStr">
        <is>
          <t>2026-08-28</t>
        </is>
      </c>
      <c r="BB226" s="65" t="n">
        <v>16540.7</v>
      </c>
      <c r="BC226" s="68" t="n">
        <v>1092.2</v>
      </c>
      <c r="BD226" s="63" t="inlineStr">
        <is>
          <t>Y</t>
        </is>
      </c>
      <c r="BE226" s="74" t="n">
        <v>13.2</v>
      </c>
      <c r="BF226" s="74" t="n"/>
      <c r="BG226" s="74" t="n">
        <v>11.9</v>
      </c>
      <c r="BH226" s="74" t="n">
        <v>0.9</v>
      </c>
      <c r="BI226" s="75">
        <f>IF('BBG Verify'!S226="","not filed — run on terminal",'BBG Verify'!S226)</f>
        <v/>
      </c>
      <c r="BJ226" s="76" t="inlineStr">
        <is>
          <t>N</t>
        </is>
      </c>
      <c r="BK226" s="77">
        <f>IF('BBG Verify'!K226="","not filed — run on terminal",'BBG Verify'!K226)</f>
        <v/>
      </c>
      <c r="BL226" s="63" t="inlineStr">
        <is>
          <t>N/A</t>
        </is>
      </c>
      <c r="BM226" s="63" t="inlineStr">
        <is>
          <t>N/A</t>
        </is>
      </c>
      <c r="BN226" s="63" t="inlineStr">
        <is>
          <t>N/A</t>
        </is>
      </c>
      <c r="BO226" s="63" t="inlineStr">
        <is>
          <t>N/A</t>
        </is>
      </c>
      <c r="BP226" s="63" t="inlineStr">
        <is>
          <t>N/A</t>
        </is>
      </c>
      <c r="BQ226" s="63" t="inlineStr">
        <is>
          <t>N/A</t>
        </is>
      </c>
      <c r="BR226" s="76" t="inlineStr">
        <is>
          <t>China International Capital Corporation Hong Kong Securities Limited; Citigroup Global Markets Asia Limited</t>
        </is>
      </c>
      <c r="BS226" s="63" t="inlineStr">
        <is>
          <t>China International Capital Corporation Hong Kong Securities Limited; Citigroup Global Markets Asia Limited</t>
        </is>
      </c>
      <c r="BT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U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V226" s="78">
        <f>HYPERLINK("https://www1.hkexnews.hk/listedco/listconews/sehk/2023/1127/2023112700009.pdf","prospectus")</f>
        <v/>
      </c>
      <c r="BW226" s="78">
        <f>HYPERLINK("https://www1.hkexnews.hk/listedco/listconews/sehk/2023/1205/2023120502409.pdf","allotment")</f>
        <v/>
      </c>
      <c r="BX226" s="63" t="n"/>
      <c r="BY226" s="76" t="n"/>
      <c r="BZ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72" t="n"/>
      <c r="AC227" s="66" t="n"/>
      <c r="AD227" s="72" t="n"/>
      <c r="AE227" s="63" t="n"/>
      <c r="AF227" s="63" t="inlineStr">
        <is>
          <t>lapsed</t>
        </is>
      </c>
      <c r="AG227" s="63" t="inlineStr">
        <is>
          <t>2024-01-06</t>
        </is>
      </c>
      <c r="AH227" s="63" t="inlineStr">
        <is>
          <t>GF Securities</t>
        </is>
      </c>
      <c r="AI227" s="63" t="inlineStr">
        <is>
          <t>GF</t>
        </is>
      </c>
      <c r="AJ227" s="73" t="n">
        <v>0</v>
      </c>
      <c r="AK227" s="72" t="n">
        <v>8.25</v>
      </c>
      <c r="AL227" s="72" t="n">
        <v>-7.62</v>
      </c>
      <c r="AM227" s="72" t="n">
        <v>-5.15</v>
      </c>
      <c r="AN227" s="72" t="n">
        <v>1.03</v>
      </c>
      <c r="AO227" s="72" t="n">
        <v>3.09</v>
      </c>
      <c r="AP227" s="72" t="n">
        <v>-5.15</v>
      </c>
      <c r="AQ227" s="72" t="n">
        <v>1.03</v>
      </c>
      <c r="AR227" s="72" t="n">
        <v>3.09</v>
      </c>
      <c r="AS227" s="72" t="n">
        <v>-6.71</v>
      </c>
      <c r="AT227" s="72" t="n">
        <v>2.22</v>
      </c>
      <c r="AU227" s="72" t="n">
        <v>-0.7</v>
      </c>
      <c r="AV227" s="72" t="n">
        <v>3.39</v>
      </c>
      <c r="AW227" s="72" t="n">
        <v>-1.19</v>
      </c>
      <c r="AX227" s="72" t="n">
        <v>-2.36</v>
      </c>
      <c r="AY227" s="63" t="inlineStr">
        <is>
          <t>Hang Seng Commerce &amp; Industry sub-index</t>
        </is>
      </c>
      <c r="AZ227" s="72" t="n">
        <v>-32.89</v>
      </c>
      <c r="BA227" s="64" t="inlineStr">
        <is>
          <t>2026-08-28</t>
        </is>
      </c>
      <c r="BB227" s="65" t="n">
        <v>1902.9</v>
      </c>
      <c r="BC227" s="68" t="n">
        <v>226.5</v>
      </c>
      <c r="BD227" s="63" t="inlineStr">
        <is>
          <t>Y</t>
        </is>
      </c>
      <c r="BE227" s="74" t="n">
        <v>19.9</v>
      </c>
      <c r="BF227" s="74" t="n"/>
      <c r="BG227" s="74" t="n">
        <v>9.300000000000001</v>
      </c>
      <c r="BH227" s="74" t="n">
        <v>2.4</v>
      </c>
      <c r="BI227" s="75">
        <f>IF('BBG Verify'!S227="","not filed — run on terminal",'BBG Verify'!S227)</f>
        <v/>
      </c>
      <c r="BJ227" s="76" t="inlineStr">
        <is>
          <t>N</t>
        </is>
      </c>
      <c r="BK227" s="77">
        <f>IF('BBG Verify'!K227="","not filed — run on terminal",'BBG Verify'!K227)</f>
        <v/>
      </c>
      <c r="BL227" s="63" t="inlineStr">
        <is>
          <t>N/A</t>
        </is>
      </c>
      <c r="BM227" s="63" t="inlineStr">
        <is>
          <t>N/A</t>
        </is>
      </c>
      <c r="BN227" s="63" t="inlineStr">
        <is>
          <t>N/A</t>
        </is>
      </c>
      <c r="BO227" s="63" t="inlineStr">
        <is>
          <t>N/A</t>
        </is>
      </c>
      <c r="BP227" s="63" t="inlineStr">
        <is>
          <t>N/A</t>
        </is>
      </c>
      <c r="BQ227" s="63" t="inlineStr">
        <is>
          <t>N/A</t>
        </is>
      </c>
      <c r="BR227" s="76" t="inlineStr">
        <is>
          <t>China International Capital Corporation Hong Kong Securities Limited; GF Capital (Hong Kong) Limited</t>
        </is>
      </c>
      <c r="BS227" s="63" t="inlineStr">
        <is>
          <t>China International Capital Corporation Hong Kong Securities Limited; GF Capital (Hong Kong) Limited</t>
        </is>
      </c>
      <c r="BT227" s="63" t="inlineStr">
        <is>
          <t>China International Capital Corporation Hong Kong Securities Limited; GF Securities (Hong Kong) Brokerage Limited; Citigroup Global Markets Asia Limited; Citigroup Global Markets Limited; London E14 5LB United Kingdom Valuable Capital Limited</t>
        </is>
      </c>
      <c r="BU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V227" s="78">
        <f>HYPERLINK("https://www1.hkexnews.hk/listedco/listconews/sehk/2023/1130/2023113000061.pdf","prospectus")</f>
        <v/>
      </c>
      <c r="BW227" s="78">
        <f>HYPERLINK("https://www1.hkexnews.hk/listedco/listconews/sehk/2023/1211/2023121101204.pdf","allotment")</f>
        <v/>
      </c>
      <c r="BX227" s="78">
        <f>HYPERLINK("https://www1.hkexnews.hk/listedco/listconews/sehk/2024/0108/2024010800315.pdf","stabilisation")</f>
        <v/>
      </c>
      <c r="BY227" s="76" t="n"/>
      <c r="BZ227"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72" t="n"/>
      <c r="AC228" s="66" t="n"/>
      <c r="AD228" s="72" t="n"/>
      <c r="AE228" s="63" t="n"/>
      <c r="AF228" s="63" t="n"/>
      <c r="AG228" s="63" t="n"/>
      <c r="AH228" s="63" t="n"/>
      <c r="AI228" s="63" t="n"/>
      <c r="AJ228" s="73" t="n">
        <v>2.62</v>
      </c>
      <c r="AK228" s="72" t="n">
        <v>1.64</v>
      </c>
      <c r="AL228" s="72" t="n">
        <v>0.96</v>
      </c>
      <c r="AM228" s="72" t="n">
        <v>0.77</v>
      </c>
      <c r="AN228" s="72" t="n">
        <v>3.39</v>
      </c>
      <c r="AO228" s="72" t="n">
        <v>-21.09</v>
      </c>
      <c r="AP228" s="72" t="n">
        <v>-1.8</v>
      </c>
      <c r="AQ228" s="72" t="n">
        <v>0.75</v>
      </c>
      <c r="AR228" s="72" t="n">
        <v>-23.1</v>
      </c>
      <c r="AS228" s="72" t="n">
        <v>2.48</v>
      </c>
      <c r="AT228" s="72" t="n">
        <v>13.42</v>
      </c>
      <c r="AU228" s="72" t="n">
        <v>-23.07</v>
      </c>
      <c r="AV228" s="72" t="n">
        <v>10.01</v>
      </c>
      <c r="AW228" s="72" t="n">
        <v>-10.03</v>
      </c>
      <c r="AX228" s="72" t="n">
        <v>-9.26</v>
      </c>
      <c r="AY228" s="63" t="inlineStr">
        <is>
          <t>Hang Seng Commerce &amp; Industry sub-index</t>
        </is>
      </c>
      <c r="AZ228" s="72" t="n">
        <v>-43.99</v>
      </c>
      <c r="BA228" s="64" t="inlineStr">
        <is>
          <t>2026-08-28</t>
        </is>
      </c>
      <c r="BB228" s="65" t="n">
        <v>16112.6</v>
      </c>
      <c r="BC228" s="68" t="n">
        <v>-389.5</v>
      </c>
      <c r="BD228" s="63" t="inlineStr">
        <is>
          <t>N</t>
        </is>
      </c>
      <c r="BE228" s="63" t="inlineStr">
        <is>
          <t>n/m</t>
        </is>
      </c>
      <c r="BF228" s="74" t="n"/>
      <c r="BG228" s="74" t="n"/>
      <c r="BH228" s="74" t="n">
        <v>2.6</v>
      </c>
      <c r="BI228" s="75">
        <f>IF('BBG Verify'!S228="","not filed — run on terminal",'BBG Verify'!S228)</f>
        <v/>
      </c>
      <c r="BJ228" s="76" t="inlineStr">
        <is>
          <t>N</t>
        </is>
      </c>
      <c r="BK228" s="77">
        <f>IF('BBG Verify'!K228="","not filed — run on terminal",'BBG Verify'!K228)</f>
        <v/>
      </c>
      <c r="BL228" s="63" t="inlineStr">
        <is>
          <t>N/A</t>
        </is>
      </c>
      <c r="BM228" s="63" t="inlineStr">
        <is>
          <t>N/A</t>
        </is>
      </c>
      <c r="BN228" s="63" t="inlineStr">
        <is>
          <t>N/A</t>
        </is>
      </c>
      <c r="BO228" s="63" t="inlineStr">
        <is>
          <t>N/A</t>
        </is>
      </c>
      <c r="BP228" s="63" t="inlineStr">
        <is>
          <t>N/A</t>
        </is>
      </c>
      <c r="BQ228" s="63" t="inlineStr">
        <is>
          <t>N/A</t>
        </is>
      </c>
      <c r="BR228" s="76" t="n"/>
      <c r="BS228" s="63" t="inlineStr">
        <is>
          <t>Morgan Stanley Asia Limited; CITIC Securities (Hong Kong) Limited</t>
        </is>
      </c>
      <c r="BT228" s="63" t="inlineStr">
        <is>
          <t>ABCI Securities Company Limited; BOCI Asia Limited; China Galaxy International Securities (Hong Kong) Company Limited; China International Capital Corporation Hong Kong Securities Limited; CLSA Limited; CMB International Capital Limited</t>
        </is>
      </c>
      <c r="BU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V228" s="63" t="n"/>
      <c r="BW228" s="78">
        <f>HYPERLINK("https://www1.hkexnews.hk/listedco/listconews/sehk/2023/1215/2023121501598.pdf","allotment")</f>
        <v/>
      </c>
      <c r="BX228" s="63" t="n"/>
      <c r="BY228" s="76" t="n"/>
      <c r="BZ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72" t="n"/>
      <c r="AC229" s="66" t="n"/>
      <c r="AD229" s="72" t="n"/>
      <c r="AE229" s="63" t="n"/>
      <c r="AF229" s="63" t="inlineStr">
        <is>
          <t>lapsed</t>
        </is>
      </c>
      <c r="AG229" s="63" t="inlineStr">
        <is>
          <t>2024-01-14</t>
        </is>
      </c>
      <c r="AH229" s="63" t="inlineStr">
        <is>
          <t>Haitong International Securities Company Limited</t>
        </is>
      </c>
      <c r="AI229" s="63" t="inlineStr">
        <is>
          <t>Haitong</t>
        </is>
      </c>
      <c r="AJ229" s="73" t="n">
        <v>-27.5</v>
      </c>
      <c r="AK229" s="72" t="n">
        <v>-11.67</v>
      </c>
      <c r="AL229" s="72" t="n">
        <v>-17.92</v>
      </c>
      <c r="AM229" s="72" t="n">
        <v>-20.83</v>
      </c>
      <c r="AN229" s="72" t="n">
        <v>-28.33</v>
      </c>
      <c r="AO229" s="72" t="n">
        <v>-37.5</v>
      </c>
      <c r="AP229" s="72" t="n">
        <v>9.199999999999999</v>
      </c>
      <c r="AQ229" s="72" t="n">
        <v>-1.14</v>
      </c>
      <c r="AR229" s="72" t="n">
        <v>-13.79</v>
      </c>
      <c r="AS229" s="72" t="n">
        <v>-23.55</v>
      </c>
      <c r="AT229" s="72" t="n">
        <v>-19.91</v>
      </c>
      <c r="AU229" s="72" t="n">
        <v>-38.8</v>
      </c>
      <c r="AV229" s="72" t="n">
        <v>7.92</v>
      </c>
      <c r="AW229" s="72" t="n">
        <v>-8.42</v>
      </c>
      <c r="AX229" s="72" t="n">
        <v>-9.06</v>
      </c>
      <c r="AY229" s="63" t="inlineStr">
        <is>
          <t>Hang Seng Commerce &amp; Industry sub-index</t>
        </is>
      </c>
      <c r="AZ229" s="72" t="n">
        <v>-49.17</v>
      </c>
      <c r="BA229" s="64" t="inlineStr">
        <is>
          <t>2026-08-28</t>
        </is>
      </c>
      <c r="BB229" s="65" t="n">
        <v>2480</v>
      </c>
      <c r="BC229" s="68" t="n">
        <v>213.5</v>
      </c>
      <c r="BD229" s="63" t="inlineStr">
        <is>
          <t>Y</t>
        </is>
      </c>
      <c r="BE229" s="74" t="n">
        <v>5.4</v>
      </c>
      <c r="BF229" s="74" t="n"/>
      <c r="BG229" s="74" t="n"/>
      <c r="BH229" s="74" t="n">
        <v>0.5</v>
      </c>
      <c r="BI229" s="75">
        <f>IF('BBG Verify'!S229="","not filed — run on terminal",'BBG Verify'!S229)</f>
        <v/>
      </c>
      <c r="BJ229" s="76" t="inlineStr">
        <is>
          <t>N</t>
        </is>
      </c>
      <c r="BK229" s="77">
        <f>IF('BBG Verify'!K229="","not filed — run on terminal",'BBG Verify'!K229)</f>
        <v/>
      </c>
      <c r="BL229" s="63" t="inlineStr">
        <is>
          <t>N/A</t>
        </is>
      </c>
      <c r="BM229" s="63" t="inlineStr">
        <is>
          <t>N/A</t>
        </is>
      </c>
      <c r="BN229" s="63" t="inlineStr">
        <is>
          <t>N/A</t>
        </is>
      </c>
      <c r="BO229" s="63" t="inlineStr">
        <is>
          <t>N/A</t>
        </is>
      </c>
      <c r="BP229" s="63" t="inlineStr">
        <is>
          <t>N/A</t>
        </is>
      </c>
      <c r="BQ229" s="63" t="inlineStr">
        <is>
          <t>N/A</t>
        </is>
      </c>
      <c r="BR229" s="76" t="inlineStr">
        <is>
          <t>Haitong International Capital Limited</t>
        </is>
      </c>
      <c r="BS229" s="63" t="inlineStr">
        <is>
          <t>Haitong International Capital Limited</t>
        </is>
      </c>
      <c r="BT229" s="63" t="inlineStr">
        <is>
          <t>ABCI Capital Limited; ABCI Securities Company Limited</t>
        </is>
      </c>
      <c r="BU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V229" s="78">
        <f>HYPERLINK("https://www1.hkexnews.hk/listedco/listconews/sehk/2023/1212/2023121200021.pdf","prospectus")</f>
        <v/>
      </c>
      <c r="BW229" s="78">
        <f>HYPERLINK("https://www1.hkexnews.hk/listedco/listconews/sehk/2023/1219/2023121901110.pdf","allotment")</f>
        <v/>
      </c>
      <c r="BX229" s="78">
        <f>HYPERLINK("https://www1.hkexnews.hk/listedco/listconews/sehk/2024/0115/2024011500035.pdf","stabilisation")</f>
        <v/>
      </c>
      <c r="BY229" s="76" t="n"/>
      <c r="BZ229"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72" t="n"/>
      <c r="AC230" s="66" t="n"/>
      <c r="AD230" s="72" t="n"/>
      <c r="AE230" s="63" t="n"/>
      <c r="AF230" s="63" t="n"/>
      <c r="AG230" s="63" t="n"/>
      <c r="AH230" s="63" t="n"/>
      <c r="AI230" s="63" t="n"/>
      <c r="AJ230" s="73" t="n">
        <v>-12.82</v>
      </c>
      <c r="AK230" s="72" t="n">
        <v>-0.34</v>
      </c>
      <c r="AL230" s="72" t="n">
        <v>-12.52</v>
      </c>
      <c r="AM230" s="72" t="n">
        <v>13.66</v>
      </c>
      <c r="AN230" s="72" t="n">
        <v>59.36</v>
      </c>
      <c r="AO230" s="72" t="n">
        <v>171.5</v>
      </c>
      <c r="AP230" s="72" t="n">
        <v>30.37</v>
      </c>
      <c r="AQ230" s="72" t="n">
        <v>82.79000000000001</v>
      </c>
      <c r="AR230" s="72" t="n">
        <v>211.42</v>
      </c>
      <c r="AS230" s="72" t="n">
        <v>12.12</v>
      </c>
      <c r="AT230" s="72" t="n">
        <v>74.64</v>
      </c>
      <c r="AU230" s="72" t="n">
        <v>178.92</v>
      </c>
      <c r="AV230" s="72" t="n">
        <v>98.39</v>
      </c>
      <c r="AW230" s="72" t="n">
        <v>-15.28</v>
      </c>
      <c r="AX230" s="72" t="n">
        <v>-15.6</v>
      </c>
      <c r="AY230" s="63" t="inlineStr">
        <is>
          <t>HSTECH (Hang Seng TECH ETF)</t>
        </is>
      </c>
      <c r="AZ230" s="72" t="n">
        <v>-90.94</v>
      </c>
      <c r="BA230" s="64" t="inlineStr">
        <is>
          <t>2026-08-28</t>
        </is>
      </c>
      <c r="BB230" s="65" t="n">
        <v>1458.5</v>
      </c>
      <c r="BC230" s="68" t="n">
        <v>-376.6</v>
      </c>
      <c r="BD230" s="63" t="inlineStr">
        <is>
          <t>N</t>
        </is>
      </c>
      <c r="BE230" s="63" t="inlineStr">
        <is>
          <t>n/m</t>
        </is>
      </c>
      <c r="BF230" s="74" t="n"/>
      <c r="BG230" s="74" t="n"/>
      <c r="BH230" s="74" t="n">
        <v>4.6</v>
      </c>
      <c r="BI230" s="75">
        <f>IF('BBG Verify'!S230="","not filed — run on terminal",'BBG Verify'!S230)</f>
        <v/>
      </c>
      <c r="BJ230" s="76" t="inlineStr">
        <is>
          <t>N</t>
        </is>
      </c>
      <c r="BK230" s="77">
        <f>IF('BBG Verify'!K230="","not filed — run on terminal",'BBG Verify'!K230)</f>
        <v/>
      </c>
      <c r="BL230" s="63" t="inlineStr">
        <is>
          <t>N/A</t>
        </is>
      </c>
      <c r="BM230" s="63" t="inlineStr">
        <is>
          <t>N/A</t>
        </is>
      </c>
      <c r="BN230" s="63" t="inlineStr">
        <is>
          <t>N/A</t>
        </is>
      </c>
      <c r="BO230" s="63" t="inlineStr">
        <is>
          <t>N/A</t>
        </is>
      </c>
      <c r="BP230" s="63" t="inlineStr">
        <is>
          <t>N/A</t>
        </is>
      </c>
      <c r="BQ230" s="63" t="inlineStr">
        <is>
          <t>N/A</t>
        </is>
      </c>
      <c r="BR230" s="76" t="inlineStr">
        <is>
          <t>Citigroup Global Markets Asia Limited; Huatai Financial Holdings (Hong Kong) Limited; CCB International Capital Limited</t>
        </is>
      </c>
      <c r="BS230" s="63" t="inlineStr">
        <is>
          <t>CCB International Capital Limited; Huatai Financial Holdings (Hong Kong) Limited; Citigroup Global Markets Asia Limited</t>
        </is>
      </c>
      <c r="BT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U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V230" s="78">
        <f>HYPERLINK("https://www1.hkexnews.hk/listedco/listconews/sehk/2023/1212/2023121200019.pdf","prospectus")</f>
        <v/>
      </c>
      <c r="BW230" s="78">
        <f>HYPERLINK("https://www1.hkexnews.hk/listedco/listconews/sehk/2023/1219/2023121901176.pdf","allotment")</f>
        <v/>
      </c>
      <c r="BX230" s="63" t="n"/>
      <c r="BY230" s="76" t="n"/>
      <c r="BZ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72" t="n"/>
      <c r="AC231" s="66" t="n"/>
      <c r="AD231" s="72" t="n"/>
      <c r="AE231" s="63" t="n"/>
      <c r="AF231" s="63" t="inlineStr">
        <is>
          <t>lapsed (no over-allocation)</t>
        </is>
      </c>
      <c r="AG231" s="63" t="n"/>
      <c r="AH231" s="63" t="inlineStr">
        <is>
          <t>Grand Moore Capital Limited</t>
        </is>
      </c>
      <c r="AI231" s="63" t="inlineStr">
        <is>
          <t>Grand Moore</t>
        </is>
      </c>
      <c r="AJ231" s="73" t="n">
        <v>11.11</v>
      </c>
      <c r="AK231" s="72" t="n">
        <v>44.44</v>
      </c>
      <c r="AL231" s="72" t="n">
        <v>-23.08</v>
      </c>
      <c r="AM231" s="72" t="n">
        <v>6.67</v>
      </c>
      <c r="AN231" s="72" t="n">
        <v>-7.78</v>
      </c>
      <c r="AO231" s="72" t="n">
        <v>-36.67</v>
      </c>
      <c r="AP231" s="72" t="n">
        <v>-4</v>
      </c>
      <c r="AQ231" s="72" t="n">
        <v>-17</v>
      </c>
      <c r="AR231" s="72" t="n">
        <v>-43</v>
      </c>
      <c r="AS231" s="72" t="n">
        <v>6.82</v>
      </c>
      <c r="AT231" s="72" t="n">
        <v>-4.31</v>
      </c>
      <c r="AU231" s="72" t="n">
        <v>-37.02</v>
      </c>
      <c r="AV231" s="72" t="n">
        <v>-16.52</v>
      </c>
      <c r="AW231" s="72" t="n">
        <v>-3.47</v>
      </c>
      <c r="AX231" s="72" t="n">
        <v>-0.48</v>
      </c>
      <c r="AY231" s="63" t="inlineStr">
        <is>
          <t>Hang Seng Commerce &amp; Industry sub-index</t>
        </is>
      </c>
      <c r="AZ231" s="72" t="n">
        <v>-18.89</v>
      </c>
      <c r="BA231" s="64" t="inlineStr">
        <is>
          <t>2026-08-28</t>
        </is>
      </c>
      <c r="BB231" s="65" t="n">
        <v>1377.2</v>
      </c>
      <c r="BC231" s="68" t="n">
        <v>28.4</v>
      </c>
      <c r="BD231" s="63" t="inlineStr">
        <is>
          <t>Y</t>
        </is>
      </c>
      <c r="BE231" s="74" t="n">
        <v>24.7</v>
      </c>
      <c r="BF231" s="74" t="n"/>
      <c r="BG231" s="74" t="n">
        <v>115.1</v>
      </c>
      <c r="BH231" s="74" t="n">
        <v>0.5</v>
      </c>
      <c r="BI231" s="75">
        <f>IF('BBG Verify'!S231="","not filed — run on terminal",'BBG Verify'!S231)</f>
        <v/>
      </c>
      <c r="BJ231" s="76" t="inlineStr">
        <is>
          <t>N</t>
        </is>
      </c>
      <c r="BK231" s="77">
        <f>IF('BBG Verify'!K231="","not filed — run on terminal",'BBG Verify'!K231)</f>
        <v/>
      </c>
      <c r="BL231" s="63" t="inlineStr">
        <is>
          <t>N/A</t>
        </is>
      </c>
      <c r="BM231" s="63" t="inlineStr">
        <is>
          <t>N/A</t>
        </is>
      </c>
      <c r="BN231" s="63" t="inlineStr">
        <is>
          <t>N/A</t>
        </is>
      </c>
      <c r="BO231" s="63" t="inlineStr">
        <is>
          <t>N/A</t>
        </is>
      </c>
      <c r="BP231" s="63" t="inlineStr">
        <is>
          <t>N/A</t>
        </is>
      </c>
      <c r="BQ231" s="63" t="inlineStr">
        <is>
          <t>N/A</t>
        </is>
      </c>
      <c r="BR231" s="76" t="n"/>
      <c r="BS231" s="63" t="inlineStr">
        <is>
          <t>Grand Moore Capital Limited</t>
        </is>
      </c>
      <c r="BT231" s="63" t="inlineStr">
        <is>
          <t>CMBC Securities Company Limited; China PA Securities (Hong Kong) Company Limited; Grand Moore Capital Limited; ICBC International Securities Limited; Shenwan Hongyuan Securities (H.K.) Limited; Valuable Capital Limited</t>
        </is>
      </c>
      <c r="BU231" s="63" t="inlineStr">
        <is>
          <t>CMBC Securities Company Limited; China PA Securities (Hong Kong) Company Limited; Grand Moore Capital Limited; ICBC International Securities Limited; Shenwan Hongyuan Securities (H.K.) Limited; Valuable Capital Limited</t>
        </is>
      </c>
      <c r="BV231" s="78">
        <f>HYPERLINK("https://www1.hkexnews.hk/listedco/listconews/sehk/2023/1212/2023121200092.htm","prospectus")</f>
        <v/>
      </c>
      <c r="BW231" s="78">
        <f>HYPERLINK("https://www1.hkexnews.hk/listedco/listconews/sehk/2023/1221/2023122101228.pdf","allotment")</f>
        <v/>
      </c>
      <c r="BX231" s="78">
        <f>HYPERLINK("https://www1.hkexnews.hk/listedco/listconews/sehk/2024/0118/2024011800257.pdf","stabilisation")</f>
        <v/>
      </c>
      <c r="BY231" s="76" t="n"/>
      <c r="BZ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72" t="n"/>
      <c r="AC232" s="66" t="n"/>
      <c r="AD232" s="72" t="n"/>
      <c r="AE232" s="63" t="n"/>
      <c r="AF232" s="63" t="inlineStr">
        <is>
          <t>lapsed</t>
        </is>
      </c>
      <c r="AG232" s="63" t="n"/>
      <c r="AH232" s="63" t="n"/>
      <c r="AI232" s="63" t="n"/>
      <c r="AJ232" s="73" t="n">
        <v>1.82</v>
      </c>
      <c r="AK232" s="72" t="n">
        <v>-7.27</v>
      </c>
      <c r="AL232" s="72" t="n">
        <v>9.800000000000001</v>
      </c>
      <c r="AM232" s="72" t="n">
        <v>0</v>
      </c>
      <c r="AN232" s="72" t="n">
        <v>1.82</v>
      </c>
      <c r="AO232" s="72" t="n">
        <v>12.73</v>
      </c>
      <c r="AP232" s="72" t="n">
        <v>-1.79</v>
      </c>
      <c r="AQ232" s="72" t="n">
        <v>0</v>
      </c>
      <c r="AR232" s="72" t="n">
        <v>10.71</v>
      </c>
      <c r="AS232" s="72" t="n">
        <v>0.15</v>
      </c>
      <c r="AT232" s="72" t="n">
        <v>5.29</v>
      </c>
      <c r="AU232" s="72" t="n">
        <v>12.38</v>
      </c>
      <c r="AV232" s="72" t="n">
        <v>0.48</v>
      </c>
      <c r="AW232" s="72" t="n">
        <v>-3.47</v>
      </c>
      <c r="AX232" s="72" t="n">
        <v>-0.48</v>
      </c>
      <c r="AY232" s="63" t="inlineStr">
        <is>
          <t>Hang Seng Commerce &amp; Industry sub-index</t>
        </is>
      </c>
      <c r="AZ232" s="72" t="n">
        <v>55.45</v>
      </c>
      <c r="BA232" s="64" t="inlineStr">
        <is>
          <t>2026-08-28</t>
        </is>
      </c>
      <c r="BB232" s="65" t="n">
        <v>460.3</v>
      </c>
      <c r="BC232" s="68" t="n">
        <v>133.1</v>
      </c>
      <c r="BD232" s="63" t="inlineStr">
        <is>
          <t>Y</t>
        </is>
      </c>
      <c r="BE232" s="74" t="n">
        <v>8.300000000000001</v>
      </c>
      <c r="BF232" s="74" t="n"/>
      <c r="BG232" s="74" t="n">
        <v>14</v>
      </c>
      <c r="BH232" s="74" t="n">
        <v>2.4</v>
      </c>
      <c r="BI232" s="75">
        <f>IF('BBG Verify'!S232="","not filed — run on terminal",'BBG Verify'!S232)</f>
        <v/>
      </c>
      <c r="BJ232" s="76" t="inlineStr">
        <is>
          <t>N</t>
        </is>
      </c>
      <c r="BK232" s="77">
        <f>IF('BBG Verify'!K232="","not filed — run on terminal",'BBG Verify'!K232)</f>
        <v/>
      </c>
      <c r="BL232" s="63" t="inlineStr">
        <is>
          <t>N/A</t>
        </is>
      </c>
      <c r="BM232" s="63" t="inlineStr">
        <is>
          <t>N/A</t>
        </is>
      </c>
      <c r="BN232" s="63" t="inlineStr">
        <is>
          <t>N/A</t>
        </is>
      </c>
      <c r="BO232" s="63" t="inlineStr">
        <is>
          <t>N/A</t>
        </is>
      </c>
      <c r="BP232" s="63" t="inlineStr">
        <is>
          <t>N/A</t>
        </is>
      </c>
      <c r="BQ232" s="63" t="inlineStr">
        <is>
          <t>N/A</t>
        </is>
      </c>
      <c r="BR232" s="76" t="n"/>
      <c r="BS232" s="63" t="inlineStr">
        <is>
          <t>Innovax Capital Limited</t>
        </is>
      </c>
      <c r="BT232" s="63" t="inlineStr">
        <is>
          <t>ABCI Securities Company Limited; Astrum Capital Management Limited; Beta International Securities Limited; CCB International Capital Limited; Citrus Securities Limited; CMBC Securities Company Limited</t>
        </is>
      </c>
      <c r="BU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V232" s="78">
        <f>HYPERLINK("https://www1.hkexnews.hk/listedco/listconews/sehk/2023/1214/2023121400088.htm","prospectus")</f>
        <v/>
      </c>
      <c r="BW232" s="78">
        <f>HYPERLINK("https://www1.hkexnews.hk/listedco/listconews/sehk/2023/1221/2023122101236.pdf","allotment")</f>
        <v/>
      </c>
      <c r="BX232" s="78">
        <f>HYPERLINK("https://www1.hkexnews.hk/listedco/listconews/sehk/2024/0119/2024011900977.pdf","stabilisation")</f>
        <v/>
      </c>
      <c r="BY232" s="76" t="n"/>
      <c r="BZ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72" t="n"/>
      <c r="AC233" s="66" t="n"/>
      <c r="AD233" s="72" t="n"/>
      <c r="AE233" s="63" t="n"/>
      <c r="AF233" s="63" t="n"/>
      <c r="AG233" s="63" t="n"/>
      <c r="AH233" s="63" t="n"/>
      <c r="AI233" s="63" t="n"/>
      <c r="AJ233" s="73" t="n">
        <v>7.65</v>
      </c>
      <c r="AK233" s="72" t="n">
        <v>3.65</v>
      </c>
      <c r="AL233" s="72" t="n">
        <v>3.86</v>
      </c>
      <c r="AM233" s="72" t="n">
        <v>1.91</v>
      </c>
      <c r="AN233" s="72" t="n">
        <v>5.22</v>
      </c>
      <c r="AO233" s="72" t="n">
        <v>-50.61</v>
      </c>
      <c r="AP233" s="72" t="n">
        <v>-5.33</v>
      </c>
      <c r="AQ233" s="72" t="n">
        <v>-2.26</v>
      </c>
      <c r="AR233" s="72" t="n">
        <v>-54.12</v>
      </c>
      <c r="AS233" s="72" t="n">
        <v>0.98</v>
      </c>
      <c r="AT233" s="72" t="n">
        <v>13.58</v>
      </c>
      <c r="AU233" s="72" t="n">
        <v>-35.04</v>
      </c>
      <c r="AV233" s="72" t="n">
        <v>4.86</v>
      </c>
      <c r="AW233" s="72" t="n">
        <v>-8.359999999999999</v>
      </c>
      <c r="AX233" s="72" t="n">
        <v>-7.12</v>
      </c>
      <c r="AY233" s="63" t="inlineStr">
        <is>
          <t>China Biotech ETF (HS biotech proxy)</t>
        </is>
      </c>
      <c r="AZ233" s="72" t="n">
        <v>-73.3</v>
      </c>
      <c r="BA233" s="64" t="inlineStr">
        <is>
          <t>2026-08-28</t>
        </is>
      </c>
      <c r="BB233" s="65" t="n">
        <v>0</v>
      </c>
      <c r="BC233" s="68" t="n">
        <v>-209.2</v>
      </c>
      <c r="BD233" s="63" t="inlineStr">
        <is>
          <t>N</t>
        </is>
      </c>
      <c r="BE233" s="63" t="inlineStr">
        <is>
          <t>n/m</t>
        </is>
      </c>
      <c r="BF233" s="74" t="n"/>
      <c r="BG233" s="74" t="n"/>
      <c r="BH233" s="63" t="inlineStr">
        <is>
          <t>pre-rev</t>
        </is>
      </c>
      <c r="BI233" s="75">
        <f>IF('BBG Verify'!S233="","not filed — run on terminal",'BBG Verify'!S233)</f>
        <v/>
      </c>
      <c r="BJ233" s="76" t="inlineStr">
        <is>
          <t>N</t>
        </is>
      </c>
      <c r="BK233" s="77">
        <f>IF('BBG Verify'!K233="","not filed — run on terminal",'BBG Verify'!K233)</f>
        <v/>
      </c>
      <c r="BL233" s="63" t="inlineStr">
        <is>
          <t>N/A</t>
        </is>
      </c>
      <c r="BM233" s="63" t="inlineStr">
        <is>
          <t>N/A</t>
        </is>
      </c>
      <c r="BN233" s="63" t="inlineStr">
        <is>
          <t>N/A</t>
        </is>
      </c>
      <c r="BO233" s="63" t="inlineStr">
        <is>
          <t>N/A</t>
        </is>
      </c>
      <c r="BP233" s="63" t="inlineStr">
        <is>
          <t>N/A</t>
        </is>
      </c>
      <c r="BQ233" s="63" t="inlineStr">
        <is>
          <t>N/A</t>
        </is>
      </c>
      <c r="BR233" s="76" t="n"/>
      <c r="BS233" s="63" t="inlineStr">
        <is>
          <t>UBS Securities Hong Kong Limited; Huatai Financial Holdings (Hong Kong) Limited</t>
        </is>
      </c>
      <c r="BT233" s="63" t="inlineStr">
        <is>
          <t>sa nd Joint Lead Managers UBS AG Hon g Kong Branch; CapitalM arket Interme diarie s UBS AG Hon g Kong Branch</t>
        </is>
      </c>
      <c r="BU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V233" s="78">
        <f>HYPERLINK("https://www1.hkexnews.hk/listedco/listconews/sehk/2023/1214/2023121400045.pdf","prospectus")</f>
        <v/>
      </c>
      <c r="BW233" s="78">
        <f>HYPERLINK("https://www1.hkexnews.hk/listedco/listconews/sehk/2023/1221/2023122101298.pdf","allotment")</f>
        <v/>
      </c>
      <c r="BX233" s="63" t="n"/>
      <c r="BY233" s="76" t="n"/>
      <c r="BZ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72" t="n"/>
      <c r="AC234" s="66" t="n"/>
      <c r="AD234" s="72" t="n"/>
      <c r="AE234" s="63" t="n"/>
      <c r="AF234" s="63" t="inlineStr">
        <is>
          <t>lapsed</t>
        </is>
      </c>
      <c r="AG234" s="63" t="n"/>
      <c r="AH234" s="63" t="n"/>
      <c r="AI234" s="63" t="n"/>
      <c r="AJ234" s="73" t="n">
        <v>-18.69</v>
      </c>
      <c r="AK234" s="72" t="n">
        <v>0</v>
      </c>
      <c r="AL234" s="72" t="n">
        <v>-18.69</v>
      </c>
      <c r="AM234" s="72" t="n">
        <v>0</v>
      </c>
      <c r="AN234" s="72" t="n">
        <v>-14.77</v>
      </c>
      <c r="AO234" s="72" t="n">
        <v>2.8</v>
      </c>
      <c r="AP234" s="72" t="n">
        <v>22.99</v>
      </c>
      <c r="AQ234" s="72" t="n">
        <v>4.82</v>
      </c>
      <c r="AR234" s="72" t="n">
        <v>26.43</v>
      </c>
      <c r="AS234" s="72" t="n">
        <v>0.15</v>
      </c>
      <c r="AT234" s="72" t="n">
        <v>-11.3</v>
      </c>
      <c r="AU234" s="72" t="n">
        <v>2.45</v>
      </c>
      <c r="AV234" s="72" t="n">
        <v>5.3</v>
      </c>
      <c r="AW234" s="72" t="n">
        <v>-3.47</v>
      </c>
      <c r="AX234" s="72" t="n">
        <v>-0.48</v>
      </c>
      <c r="AY234" s="63" t="inlineStr">
        <is>
          <t>Hang Seng Commerce &amp; Industry sub-index</t>
        </is>
      </c>
      <c r="AZ234" s="72" t="n">
        <v>-72.52</v>
      </c>
      <c r="BA234" s="64" t="inlineStr">
        <is>
          <t>2026-08-31</t>
        </is>
      </c>
      <c r="BB234" s="65" t="n">
        <v>509.2</v>
      </c>
      <c r="BC234" s="68" t="n">
        <v>77.5</v>
      </c>
      <c r="BD234" s="63" t="inlineStr">
        <is>
          <t>Y</t>
        </is>
      </c>
      <c r="BE234" s="74" t="n">
        <v>11.6</v>
      </c>
      <c r="BF234" s="74" t="n"/>
      <c r="BG234" s="74" t="n"/>
      <c r="BH234" s="74" t="n">
        <v>1.8</v>
      </c>
      <c r="BI234" s="75">
        <f>IF('BBG Verify'!S234="","not filed — run on terminal",'BBG Verify'!S234)</f>
        <v/>
      </c>
      <c r="BJ234" s="76" t="inlineStr">
        <is>
          <t>N</t>
        </is>
      </c>
      <c r="BK234" s="77">
        <f>IF('BBG Verify'!K234="","not filed — run on terminal",'BBG Verify'!K234)</f>
        <v/>
      </c>
      <c r="BL234" s="63" t="inlineStr">
        <is>
          <t>N/A</t>
        </is>
      </c>
      <c r="BM234" s="63" t="inlineStr">
        <is>
          <t>N/A</t>
        </is>
      </c>
      <c r="BN234" s="63" t="inlineStr">
        <is>
          <t>N/A</t>
        </is>
      </c>
      <c r="BO234" s="63" t="inlineStr">
        <is>
          <t>N/A</t>
        </is>
      </c>
      <c r="BP234" s="63" t="inlineStr">
        <is>
          <t>N/A</t>
        </is>
      </c>
      <c r="BQ234" s="63" t="inlineStr">
        <is>
          <t>N/A</t>
        </is>
      </c>
      <c r="BR234" s="76" t="inlineStr">
        <is>
          <t>China Securities (International) Corporate Finance Company Limited; China Merchants Securities (HK) Co., Limited</t>
        </is>
      </c>
      <c r="BS234" s="63" t="inlineStr">
        <is>
          <t>China Securities (International) Corporate Finance Company Limited; China Merchants Securities (HK) Company Limited</t>
        </is>
      </c>
      <c r="BT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U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V234" s="78">
        <f>HYPERLINK("https://www1.hkexnews.hk/listedco/listconews/sehk/2023/1214/2023121400011.pdf","prospectus")</f>
        <v/>
      </c>
      <c r="BW234" s="78">
        <f>HYPERLINK("https://www1.hkexnews.hk/listedco/listconews/sehk/2023/1221/2023122101314.pdf","allotment")</f>
        <v/>
      </c>
      <c r="BX234" s="78">
        <f>HYPERLINK("https://www1.hkexnews.hk/listedco/listconews/sehk/2024/0118/2024011800501.pdf","stabilisation")</f>
        <v/>
      </c>
      <c r="BY234" s="76" t="n"/>
      <c r="BZ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72" t="n"/>
      <c r="AC235" s="66" t="n"/>
      <c r="AD235" s="72" t="n"/>
      <c r="AE235" s="63" t="n"/>
      <c r="AF235" s="63" t="inlineStr">
        <is>
          <t>lapsed (no over-allocation)</t>
        </is>
      </c>
      <c r="AG235" s="63" t="inlineStr">
        <is>
          <t>2024-01-20</t>
        </is>
      </c>
      <c r="AH235" s="63" t="inlineStr">
        <is>
          <t>China International Capital Corporation Hong Kong Securities Limited</t>
        </is>
      </c>
      <c r="AI235" s="63" t="inlineStr">
        <is>
          <t>China International</t>
        </is>
      </c>
      <c r="AJ235" s="73" t="n">
        <v>-17.36</v>
      </c>
      <c r="AK235" s="72" t="n">
        <v>-8.81</v>
      </c>
      <c r="AL235" s="72" t="n">
        <v>-9.380000000000001</v>
      </c>
      <c r="AM235" s="72" t="n">
        <v>-8.630000000000001</v>
      </c>
      <c r="AN235" s="72" t="n">
        <v>-25.74</v>
      </c>
      <c r="AO235" s="72" t="n">
        <v>-13.36</v>
      </c>
      <c r="AP235" s="72" t="n">
        <v>10.56</v>
      </c>
      <c r="AQ235" s="72" t="n">
        <v>-10.14</v>
      </c>
      <c r="AR235" s="72" t="n">
        <v>4.84</v>
      </c>
      <c r="AS235" s="72" t="n">
        <v>-7.51</v>
      </c>
      <c r="AT235" s="72" t="n">
        <v>-13.87</v>
      </c>
      <c r="AU235" s="72" t="n">
        <v>-10.39</v>
      </c>
      <c r="AV235" s="72" t="n">
        <v>4.5</v>
      </c>
      <c r="AW235" s="72" t="n">
        <v>-11.87</v>
      </c>
      <c r="AX235" s="72" t="n">
        <v>-14.64</v>
      </c>
      <c r="AY235" s="63" t="inlineStr">
        <is>
          <t>HSTECH (Hang Seng TECH ETF)</t>
        </is>
      </c>
      <c r="AZ235" s="72" t="n">
        <v>17.58</v>
      </c>
      <c r="BA235" s="64" t="inlineStr">
        <is>
          <t>2026-08-28</t>
        </is>
      </c>
      <c r="BB235" s="65" t="n">
        <v>387.8</v>
      </c>
      <c r="BC235" s="68" t="n">
        <v>104.8</v>
      </c>
      <c r="BD235" s="63" t="inlineStr">
        <is>
          <t>Y</t>
        </is>
      </c>
      <c r="BE235" s="74" t="n">
        <v>15.7</v>
      </c>
      <c r="BF235" s="74" t="n"/>
      <c r="BG235" s="74" t="n">
        <v>13.4</v>
      </c>
      <c r="BH235" s="74" t="n">
        <v>4.3</v>
      </c>
      <c r="BI235" s="75">
        <f>IF('BBG Verify'!S235="","not filed — run on terminal",'BBG Verify'!S235)</f>
        <v/>
      </c>
      <c r="BJ235" s="76" t="inlineStr">
        <is>
          <t>N</t>
        </is>
      </c>
      <c r="BK235" s="77">
        <f>IF('BBG Verify'!K235="","not filed — run on terminal",'BBG Verify'!K235)</f>
        <v/>
      </c>
      <c r="BL235" s="63" t="inlineStr">
        <is>
          <t>N/A</t>
        </is>
      </c>
      <c r="BM235" s="63" t="inlineStr">
        <is>
          <t>N/A</t>
        </is>
      </c>
      <c r="BN235" s="63" t="inlineStr">
        <is>
          <t>N/A</t>
        </is>
      </c>
      <c r="BO235" s="63" t="inlineStr">
        <is>
          <t>N/A</t>
        </is>
      </c>
      <c r="BP235" s="63" t="inlineStr">
        <is>
          <t>N/A</t>
        </is>
      </c>
      <c r="BQ235" s="63" t="inlineStr">
        <is>
          <t>N/A</t>
        </is>
      </c>
      <c r="BR235" s="76" t="n"/>
      <c r="BS235" s="63" t="inlineStr">
        <is>
          <t>China International Capital Corporation Hong Kong Securities Limited</t>
        </is>
      </c>
      <c r="BT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U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V235" s="78">
        <f>HYPERLINK("https://www1.hkexnews.hk/listedco/listconews/sehk/2023/1218/2023121800007.pdf","prospectus")</f>
        <v/>
      </c>
      <c r="BW235" s="78">
        <f>HYPERLINK("https://www1.hkexnews.hk/listedco/listconews/sehk/2023/1227/2023122701489.pdf","allotment")</f>
        <v/>
      </c>
      <c r="BX235" s="78">
        <f>HYPERLINK("https://www1.hkexnews.hk/listedco/listconews/sehk/2024/0122/2024012200299.pdf","stabilisation")</f>
        <v/>
      </c>
      <c r="BY235" s="76" t="n"/>
      <c r="BZ235" s="63" t="inlineStr">
        <is>
          <t>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72" t="n"/>
      <c r="AC236" s="66" t="n"/>
      <c r="AD236" s="72" t="n"/>
      <c r="AE236" s="63" t="n"/>
      <c r="AF236" s="63" t="inlineStr">
        <is>
          <t>partial</t>
        </is>
      </c>
      <c r="AG236" s="63" t="inlineStr">
        <is>
          <t>2024-01-21</t>
        </is>
      </c>
      <c r="AH236" s="63" t="inlineStr">
        <is>
          <t>Guotai Junan Securities</t>
        </is>
      </c>
      <c r="AI236" s="63" t="inlineStr">
        <is>
          <t>Guotai Junan</t>
        </is>
      </c>
      <c r="AJ236" s="73" t="n">
        <v>0.9399999999999999</v>
      </c>
      <c r="AK236" s="72" t="n">
        <v>-0.11</v>
      </c>
      <c r="AL236" s="72" t="n">
        <v>1.05</v>
      </c>
      <c r="AM236" s="72" t="n">
        <v>-2.22</v>
      </c>
      <c r="AN236" s="72" t="n">
        <v>0</v>
      </c>
      <c r="AO236" s="72" t="n">
        <v>143.78</v>
      </c>
      <c r="AP236" s="72" t="n">
        <v>-3.13</v>
      </c>
      <c r="AQ236" s="72" t="n">
        <v>-0.93</v>
      </c>
      <c r="AR236" s="72" t="n">
        <v>141.51</v>
      </c>
      <c r="AS236" s="72" t="n">
        <v>5.21</v>
      </c>
      <c r="AT236" s="72" t="n">
        <v>17.95</v>
      </c>
      <c r="AU236" s="72" t="n">
        <v>151.59</v>
      </c>
      <c r="AV236" s="72" t="n">
        <v>17.15</v>
      </c>
      <c r="AW236" s="72" t="n">
        <v>-17.95</v>
      </c>
      <c r="AX236" s="72" t="n">
        <v>-18.08</v>
      </c>
      <c r="AY236" s="63" t="inlineStr">
        <is>
          <t>HSTECH (Hang Seng TECH ETF)</t>
        </is>
      </c>
      <c r="AZ236" s="72" t="n">
        <v>-7.22</v>
      </c>
      <c r="BA236" s="64" t="inlineStr">
        <is>
          <t>2026-08-28</t>
        </is>
      </c>
      <c r="BB236" s="65" t="n">
        <v>1109.1</v>
      </c>
      <c r="BC236" s="68" t="n">
        <v>-1086.1</v>
      </c>
      <c r="BD236" s="63" t="inlineStr">
        <is>
          <t>N</t>
        </is>
      </c>
      <c r="BE236" s="63" t="inlineStr">
        <is>
          <t>n/m</t>
        </is>
      </c>
      <c r="BF236" s="74" t="n"/>
      <c r="BG236" s="74" t="n"/>
      <c r="BH236" s="74" t="n">
        <v>33.9</v>
      </c>
      <c r="BI236" s="75">
        <f>IF('BBG Verify'!S236="","not filed — run on terminal",'BBG Verify'!S236)</f>
        <v/>
      </c>
      <c r="BJ236" s="76" t="inlineStr">
        <is>
          <t>N</t>
        </is>
      </c>
      <c r="BK236" s="77">
        <f>IF('BBG Verify'!K236="","not filed — run on terminal",'BBG Verify'!K236)</f>
        <v/>
      </c>
      <c r="BL236" s="63" t="inlineStr">
        <is>
          <t>N/A</t>
        </is>
      </c>
      <c r="BM236" s="63" t="inlineStr">
        <is>
          <t>N/A</t>
        </is>
      </c>
      <c r="BN236" s="63" t="inlineStr">
        <is>
          <t>N/A</t>
        </is>
      </c>
      <c r="BO236" s="63" t="inlineStr">
        <is>
          <t>N/A</t>
        </is>
      </c>
      <c r="BP236" s="63" t="inlineStr">
        <is>
          <t>N/A</t>
        </is>
      </c>
      <c r="BQ236" s="63" t="inlineStr">
        <is>
          <t>N/A</t>
        </is>
      </c>
      <c r="BR236" s="76" t="inlineStr">
        <is>
          <t>Guotai Junan Capital Limited</t>
        </is>
      </c>
      <c r="BS236" s="63" t="inlineStr">
        <is>
          <t>Guotai Junan Capital Limited</t>
        </is>
      </c>
      <c r="BT236" s="63" t="inlineStr">
        <is>
          <t>ABCI Securities Company Limited</t>
        </is>
      </c>
      <c r="BU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V236" s="78">
        <f>HYPERLINK("https://www1.hkexnews.hk/listedco/listconews/sehk/2023/1219/2023121900021.pdf","prospectus")</f>
        <v/>
      </c>
      <c r="BW236" s="78">
        <f>HYPERLINK("https://www1.hkexnews.hk/listedco/listconews/sehk/2023/1228/2023122801642.pdf","allotment")</f>
        <v/>
      </c>
      <c r="BX236" s="78">
        <f>HYPERLINK("https://www1.hkexnews.hk/listedco/listconews/sehk/2024/0122/2024012200015.pdf","stabilisation")</f>
        <v/>
      </c>
      <c r="BY236" s="76" t="n"/>
      <c r="BZ236" s="63" t="inlineStr">
        <is>
          <t>P/E: n/m — loss-making at IPO (use P/S) · A/H: no A-share listing · cornerstone %: AAStocks institutional-order total / deal size — an upper bound; the table can include non-cornerstone orders · grey market: no grey-market headline on file for this deal — AAStocks publishes one per listing but keeps only recent items on the stock's news page, and no public archive of past evening sessions exists; captured from this run onward</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72" t="n"/>
      <c r="AC237" s="66" t="n"/>
      <c r="AD237" s="72" t="n"/>
      <c r="AE237" s="63" t="n"/>
      <c r="AF237" s="63" t="inlineStr">
        <is>
          <t>partial</t>
        </is>
      </c>
      <c r="AG237" s="63" t="inlineStr">
        <is>
          <t>2024-02-01</t>
        </is>
      </c>
      <c r="AH237" s="63" t="inlineStr">
        <is>
          <t>J.P. Morgan Securities</t>
        </is>
      </c>
      <c r="AI237" s="63" t="inlineStr">
        <is>
          <t>JP Morgan</t>
        </is>
      </c>
      <c r="AJ237" s="73" t="n">
        <v>0</v>
      </c>
      <c r="AK237" s="72" t="n">
        <v>0</v>
      </c>
      <c r="AL237" s="72" t="n">
        <v>0</v>
      </c>
      <c r="AM237" s="72" t="n">
        <v>0</v>
      </c>
      <c r="AN237" s="72" t="n">
        <v>-9.300000000000001</v>
      </c>
      <c r="AO237" s="72" t="n">
        <v>-1.16</v>
      </c>
      <c r="AP237" s="72" t="n">
        <v>0</v>
      </c>
      <c r="AQ237" s="72" t="n">
        <v>-9.300000000000001</v>
      </c>
      <c r="AR237" s="72" t="n">
        <v>-1.16</v>
      </c>
      <c r="AS237" s="72" t="n">
        <v>5.08</v>
      </c>
      <c r="AT237" s="72" t="n">
        <v>7.66</v>
      </c>
      <c r="AU237" s="72" t="n">
        <v>1.52</v>
      </c>
      <c r="AV237" s="72" t="n">
        <v>6.44</v>
      </c>
      <c r="AW237" s="72" t="n">
        <v>-16.96</v>
      </c>
      <c r="AX237" s="72" t="n">
        <v>-15.74</v>
      </c>
      <c r="AY237" s="63" t="inlineStr">
        <is>
          <t>HSTECH (Hang Seng TECH ETF)</t>
        </is>
      </c>
      <c r="AZ237" s="72" t="n">
        <v>-56.21</v>
      </c>
      <c r="BA237" s="64" t="inlineStr">
        <is>
          <t>2026-08-28</t>
        </is>
      </c>
      <c r="BB237" s="65" t="n">
        <v>583.4</v>
      </c>
      <c r="BC237" s="68" t="n">
        <v>-2294.7</v>
      </c>
      <c r="BD237" s="63" t="inlineStr">
        <is>
          <t>N</t>
        </is>
      </c>
      <c r="BE237" s="63" t="inlineStr">
        <is>
          <t>n/m</t>
        </is>
      </c>
      <c r="BF237" s="74" t="n"/>
      <c r="BG237" s="74" t="n"/>
      <c r="BH237" s="74" t="n">
        <v>33.1</v>
      </c>
      <c r="BI237" s="75">
        <f>IF('BBG Verify'!S237="","not filed — run on terminal",'BBG Verify'!S237)</f>
        <v/>
      </c>
      <c r="BJ237" s="76" t="inlineStr">
        <is>
          <t>N</t>
        </is>
      </c>
      <c r="BK237" s="77">
        <f>IF('BBG Verify'!K237="","not filed — run on terminal",'BBG Verify'!K237)</f>
        <v/>
      </c>
      <c r="BL237" s="63" t="inlineStr">
        <is>
          <t>N/A</t>
        </is>
      </c>
      <c r="BM237" s="63" t="inlineStr">
        <is>
          <t>N/A</t>
        </is>
      </c>
      <c r="BN237" s="63" t="inlineStr">
        <is>
          <t>N/A</t>
        </is>
      </c>
      <c r="BO237" s="63" t="inlineStr">
        <is>
          <t>N/A</t>
        </is>
      </c>
      <c r="BP237" s="63" t="inlineStr">
        <is>
          <t>N/A</t>
        </is>
      </c>
      <c r="BQ237" s="63" t="inlineStr">
        <is>
          <t>N/A</t>
        </is>
      </c>
      <c r="BR237" s="76" t="inlineStr">
        <is>
          <t>J.P. Morgan Securities (Far East) Limited; China Renaissance Securities (Hong Kong) Limited</t>
        </is>
      </c>
      <c r="BS237" s="63" t="inlineStr">
        <is>
          <t>J.P. Morgan Securities (Far East) Limited; China Renaissance Securities (Hong Kong) Limited</t>
        </is>
      </c>
      <c r="BT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U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V237" s="78">
        <f>HYPERLINK("https://www1.hkexnews.hk/listedco/listconews/sehk/2023/1227/2023122700027.pdf","prospectus")</f>
        <v/>
      </c>
      <c r="BW237" s="78">
        <f>HYPERLINK("https://www1.hkexnews.hk/listedco/listconews/sehk/2024/0104/2024010401780.pdf","allotment")</f>
        <v/>
      </c>
      <c r="BX237" s="78">
        <f>HYPERLINK("https://www1.hkexnews.hk/listedco/listconews/sehk/2024/0201/2024020103564.pdf","stabilisation")</f>
        <v/>
      </c>
      <c r="BY237" s="76" t="n"/>
      <c r="BZ23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72" t="n"/>
      <c r="AC238" s="66" t="n"/>
      <c r="AD238" s="72" t="n"/>
      <c r="AE238" s="63" t="n"/>
      <c r="AF238" s="63" t="n"/>
      <c r="AG238" s="63" t="n"/>
      <c r="AH238" s="63" t="n"/>
      <c r="AI238" s="63" t="n"/>
      <c r="AJ238" s="73" t="n">
        <v>-22.41</v>
      </c>
      <c r="AK238" s="72" t="n">
        <v>-31.37</v>
      </c>
      <c r="AL238" s="72" t="n">
        <v>13.06</v>
      </c>
      <c r="AM238" s="72" t="n">
        <v>-2.24</v>
      </c>
      <c r="AN238" s="72" t="n">
        <v>-9.1</v>
      </c>
      <c r="AO238" s="72" t="n">
        <v>61.06</v>
      </c>
      <c r="AP238" s="72" t="n">
        <v>26</v>
      </c>
      <c r="AQ238" s="72" t="n">
        <v>17.15</v>
      </c>
      <c r="AR238" s="72" t="n">
        <v>107.58</v>
      </c>
      <c r="AS238" s="72" t="n">
        <v>-3.22</v>
      </c>
      <c r="AT238" s="72" t="n">
        <v>1.68</v>
      </c>
      <c r="AU238" s="72" t="n">
        <v>74.7</v>
      </c>
      <c r="AV238" s="72" t="n">
        <v>28.67</v>
      </c>
      <c r="AW238" s="72" t="n">
        <v>-10.78</v>
      </c>
      <c r="AX238" s="72" t="n">
        <v>-11.52</v>
      </c>
      <c r="AY238" s="63" t="inlineStr">
        <is>
          <t>China Biotech ETF (HS biotech proxy)</t>
        </is>
      </c>
      <c r="AZ238" s="72" t="n">
        <v>-94.26000000000001</v>
      </c>
      <c r="BA238" s="64" t="inlineStr">
        <is>
          <t>2026-08-28</t>
        </is>
      </c>
      <c r="BB238" s="65" t="n">
        <v>519.4</v>
      </c>
      <c r="BC238" s="68" t="n">
        <v>-700.9</v>
      </c>
      <c r="BD238" s="63" t="inlineStr">
        <is>
          <t>N</t>
        </is>
      </c>
      <c r="BE238" s="63" t="inlineStr">
        <is>
          <t>n/m</t>
        </is>
      </c>
      <c r="BF238" s="74" t="n"/>
      <c r="BG238" s="74" t="n"/>
      <c r="BH238" s="74" t="n">
        <v>19.7</v>
      </c>
      <c r="BI238" s="75">
        <f>IF('BBG Verify'!S238="","not filed — run on terminal",'BBG Verify'!S238)</f>
        <v/>
      </c>
      <c r="BJ238" s="76" t="inlineStr">
        <is>
          <t>N</t>
        </is>
      </c>
      <c r="BK238" s="77">
        <f>IF('BBG Verify'!K238="","not filed — run on terminal",'BBG Verify'!K238)</f>
        <v/>
      </c>
      <c r="BL238" s="63" t="inlineStr">
        <is>
          <t>N/A</t>
        </is>
      </c>
      <c r="BM238" s="63" t="inlineStr">
        <is>
          <t>N/A</t>
        </is>
      </c>
      <c r="BN238" s="63" t="inlineStr">
        <is>
          <t>N/A</t>
        </is>
      </c>
      <c r="BO238" s="63" t="inlineStr">
        <is>
          <t>N/A</t>
        </is>
      </c>
      <c r="BP238" s="63" t="inlineStr">
        <is>
          <t>N/A</t>
        </is>
      </c>
      <c r="BQ238" s="63" t="inlineStr">
        <is>
          <t>N/A</t>
        </is>
      </c>
      <c r="BR238" s="76" t="inlineStr">
        <is>
          <t>China International Capital Corporation Hong Kong Securities Limited; Haitong International Capital Limited</t>
        </is>
      </c>
      <c r="BS238" s="63" t="inlineStr">
        <is>
          <t>Haitong International Capital Limited; China International Capital Corporation (HK) Ltd</t>
        </is>
      </c>
      <c r="BT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U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V238" s="78">
        <f>HYPERLINK("https://www1.hkexnews.hk/listedco/listconews/sehk/2023/1229/2023122900023.pdf","prospectus")</f>
        <v/>
      </c>
      <c r="BW238" s="78">
        <f>HYPERLINK("https://www1.hkexnews.hk/listedco/listconews/sehk/2024/0108/2024010801006.pdf","allotment")</f>
        <v/>
      </c>
      <c r="BX238" s="63" t="n"/>
      <c r="BY238" s="76" t="n"/>
      <c r="BZ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72" t="n"/>
      <c r="AC239" s="66" t="n"/>
      <c r="AD239" s="72" t="n"/>
      <c r="AE239" s="63" t="n"/>
      <c r="AF239" s="63" t="n"/>
      <c r="AG239" s="63" t="n"/>
      <c r="AH239" s="63" t="n"/>
      <c r="AI239" s="63" t="n"/>
      <c r="AJ239" s="73" t="n">
        <v>-28</v>
      </c>
      <c r="AK239" s="72" t="n">
        <v>-19</v>
      </c>
      <c r="AL239" s="72" t="n">
        <v>-11.11</v>
      </c>
      <c r="AM239" s="72" t="n">
        <v>5</v>
      </c>
      <c r="AN239" s="72" t="n">
        <v>16</v>
      </c>
      <c r="AO239" s="72" t="n">
        <v>-24</v>
      </c>
      <c r="AP239" s="72" t="n">
        <v>45.83</v>
      </c>
      <c r="AQ239" s="72" t="n">
        <v>61.11</v>
      </c>
      <c r="AR239" s="72" t="n">
        <v>5.56</v>
      </c>
      <c r="AS239" s="72" t="n">
        <v>6.97</v>
      </c>
      <c r="AT239" s="72" t="n">
        <v>17.75</v>
      </c>
      <c r="AU239" s="72" t="n">
        <v>-31.44</v>
      </c>
      <c r="AV239" s="72" t="n">
        <v>62.24</v>
      </c>
      <c r="AW239" s="72" t="n">
        <v>-1.75</v>
      </c>
      <c r="AX239" s="72" t="n">
        <v>-1.13</v>
      </c>
      <c r="AY239" s="63" t="inlineStr">
        <is>
          <t>Hang Seng Commerce &amp; Industry sub-index</t>
        </is>
      </c>
      <c r="AZ239" s="72" t="n">
        <v>-75.3</v>
      </c>
      <c r="BA239" s="64" t="inlineStr">
        <is>
          <t>2026-08-28</t>
        </is>
      </c>
      <c r="BB239" s="65" t="n">
        <v>1515.9</v>
      </c>
      <c r="BC239" s="68" t="n">
        <v>42.1</v>
      </c>
      <c r="BD239" s="63" t="inlineStr">
        <is>
          <t>Y</t>
        </is>
      </c>
      <c r="BE239" s="74" t="n">
        <v>12.2</v>
      </c>
      <c r="BF239" s="74" t="n"/>
      <c r="BG239" s="74" t="n"/>
      <c r="BH239" s="74" t="n">
        <v>0.3</v>
      </c>
      <c r="BI239" s="75">
        <f>IF('BBG Verify'!S239="","not filed — run on terminal",'BBG Verify'!S239)</f>
        <v/>
      </c>
      <c r="BJ239" s="76" t="inlineStr">
        <is>
          <t>N</t>
        </is>
      </c>
      <c r="BK239" s="77">
        <f>IF('BBG Verify'!K239="","not filed — run on terminal",'BBG Verify'!K239)</f>
        <v/>
      </c>
      <c r="BL239" s="63" t="inlineStr">
        <is>
          <t>N/A</t>
        </is>
      </c>
      <c r="BM239" s="63" t="inlineStr">
        <is>
          <t>N/A</t>
        </is>
      </c>
      <c r="BN239" s="63" t="inlineStr">
        <is>
          <t>N/A</t>
        </is>
      </c>
      <c r="BO239" s="63" t="inlineStr">
        <is>
          <t>N/A</t>
        </is>
      </c>
      <c r="BP239" s="63" t="inlineStr">
        <is>
          <t>N/A</t>
        </is>
      </c>
      <c r="BQ239" s="63" t="inlineStr">
        <is>
          <t>N/A</t>
        </is>
      </c>
      <c r="BR239" s="76" t="inlineStr">
        <is>
          <t>Kingsway Capital Limited</t>
        </is>
      </c>
      <c r="BS239" s="63" t="inlineStr">
        <is>
          <t>Kingsway Capital Limited</t>
        </is>
      </c>
      <c r="BT239" s="63" t="inlineStr">
        <is>
          <t>Kingsway Financial Services Group Limited; Beta International Securities Limited; Valuable Capital Limited</t>
        </is>
      </c>
      <c r="BU239" s="63" t="inlineStr">
        <is>
          <t>Beta International Securities Limited; Valuable Capital Limited</t>
        </is>
      </c>
      <c r="BV239" s="78">
        <f>HYPERLINK("https://www1.hkexnews.hk/listedco/listconews/sehk/2023/1228/2023122800045.pdf","prospectus")</f>
        <v/>
      </c>
      <c r="BW239" s="78">
        <f>HYPERLINK("https://www1.hkexnews.hk/listedco/listconews/sehk/2024/0108/2024010801008.pdf","allotment")</f>
        <v/>
      </c>
      <c r="BX239" s="63" t="n"/>
      <c r="BY239" s="76" t="n"/>
      <c r="BZ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72" t="n"/>
      <c r="AC240" s="66" t="n"/>
      <c r="AD240" s="72" t="n"/>
      <c r="AE240" s="63" t="n"/>
      <c r="AF240" s="63" t="n"/>
      <c r="AG240" s="63" t="n"/>
      <c r="AH240" s="63" t="n"/>
      <c r="AI240" s="63" t="n"/>
      <c r="AJ240" s="73" t="n">
        <v>16.13</v>
      </c>
      <c r="AK240" s="72" t="n">
        <v>2.52</v>
      </c>
      <c r="AL240" s="72" t="n">
        <v>13.28</v>
      </c>
      <c r="AM240" s="72" t="n">
        <v>24.71</v>
      </c>
      <c r="AN240" s="72" t="n">
        <v>28.4</v>
      </c>
      <c r="AO240" s="72" t="n">
        <v>562.1799999999999</v>
      </c>
      <c r="AP240" s="72" t="n">
        <v>7.39</v>
      </c>
      <c r="AQ240" s="72" t="n">
        <v>10.57</v>
      </c>
      <c r="AR240" s="72" t="n">
        <v>470.21</v>
      </c>
      <c r="AS240" s="72" t="n">
        <v>29.28</v>
      </c>
      <c r="AT240" s="72" t="n">
        <v>36.95</v>
      </c>
      <c r="AU240" s="72" t="n">
        <v>562.12</v>
      </c>
      <c r="AV240" s="72" t="n">
        <v>18.53</v>
      </c>
      <c r="AW240" s="72" t="n">
        <v>-8.550000000000001</v>
      </c>
      <c r="AX240" s="72" t="n">
        <v>-7.96</v>
      </c>
      <c r="AY240" s="63" t="inlineStr">
        <is>
          <t>HSTECH (Hang Seng TECH ETF)</t>
        </is>
      </c>
      <c r="AZ240" s="72" t="n">
        <v>-41.85</v>
      </c>
      <c r="BA240" s="64" t="inlineStr">
        <is>
          <t>2026-08-28</t>
        </is>
      </c>
      <c r="BB240" s="65" t="n">
        <v>602.7</v>
      </c>
      <c r="BC240" s="68" t="n">
        <v>105.5</v>
      </c>
      <c r="BD240" s="63" t="inlineStr">
        <is>
          <t>Y</t>
        </is>
      </c>
      <c r="BE240" s="74" t="n">
        <v>11.4</v>
      </c>
      <c r="BF240" s="74" t="n"/>
      <c r="BG240" s="74" t="n">
        <v>4.3</v>
      </c>
      <c r="BH240" s="74" t="n">
        <v>2</v>
      </c>
      <c r="BI240" s="75">
        <f>IF('BBG Verify'!S240="","not filed — run on terminal",'BBG Verify'!S240)</f>
        <v/>
      </c>
      <c r="BJ240" s="76" t="inlineStr">
        <is>
          <t>N</t>
        </is>
      </c>
      <c r="BK240" s="77">
        <f>IF('BBG Verify'!K240="","not filed — run on terminal",'BBG Verify'!K240)</f>
        <v/>
      </c>
      <c r="BL240" s="63" t="inlineStr">
        <is>
          <t>N/A</t>
        </is>
      </c>
      <c r="BM240" s="63" t="inlineStr">
        <is>
          <t>N/A</t>
        </is>
      </c>
      <c r="BN240" s="63" t="inlineStr">
        <is>
          <t>N/A</t>
        </is>
      </c>
      <c r="BO240" s="63" t="inlineStr">
        <is>
          <t>N/A</t>
        </is>
      </c>
      <c r="BP240" s="63" t="inlineStr">
        <is>
          <t>N/A</t>
        </is>
      </c>
      <c r="BQ240" s="63" t="inlineStr">
        <is>
          <t>N/A</t>
        </is>
      </c>
      <c r="BR240" s="76" t="inlineStr">
        <is>
          <t>CITIC Securities (Hong Kong) Limited; ICBC International Capital Limited</t>
        </is>
      </c>
      <c r="BS240" s="63" t="inlineStr">
        <is>
          <t>CITIC Securities (Hong Kong) Limited; ICBC International Capital Limited</t>
        </is>
      </c>
      <c r="BT240" s="63" t="inlineStr">
        <is>
          <t>CLSA Limited; ICBC International Securities Limited</t>
        </is>
      </c>
      <c r="BU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V240" s="78">
        <f>HYPERLINK("https://www1.hkexnews.hk/listedco/listconews/sehk/2023/1229/2023122900027.pdf","prospectus")</f>
        <v/>
      </c>
      <c r="BW240" s="78">
        <f>HYPERLINK("https://www1.hkexnews.hk/listedco/listconews/sehk/2024/0108/2024010801108.pdf","allotment")</f>
        <v/>
      </c>
      <c r="BX240" s="63" t="n"/>
      <c r="BY240" s="76" t="n"/>
      <c r="BZ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72" t="n"/>
      <c r="AC241" s="66" t="n"/>
      <c r="AD241" s="72" t="n"/>
      <c r="AE241" s="63" t="n"/>
      <c r="AF241" s="63" t="inlineStr">
        <is>
          <t>lapsed (no over-allocation)</t>
        </is>
      </c>
      <c r="AG241" s="63" t="n"/>
      <c r="AH241" s="63" t="inlineStr">
        <is>
          <t>Eddid Secu rities and Futures Limited</t>
        </is>
      </c>
      <c r="AI241" s="63" t="inlineStr">
        <is>
          <t>Eddid Secu</t>
        </is>
      </c>
      <c r="AJ241" s="73" t="n">
        <v>164</v>
      </c>
      <c r="AK241" s="72" t="n">
        <v>77</v>
      </c>
      <c r="AL241" s="72" t="n">
        <v>49.15</v>
      </c>
      <c r="AM241" s="72" t="n">
        <v>250</v>
      </c>
      <c r="AN241" s="72" t="n">
        <v>230</v>
      </c>
      <c r="AO241" s="72" t="n">
        <v>232</v>
      </c>
      <c r="AP241" s="72" t="n">
        <v>32.58</v>
      </c>
      <c r="AQ241" s="72" t="n">
        <v>25</v>
      </c>
      <c r="AR241" s="72" t="n">
        <v>25.76</v>
      </c>
      <c r="AS241" s="72" t="n">
        <v>256.27</v>
      </c>
      <c r="AT241" s="72" t="n">
        <v>244.15</v>
      </c>
      <c r="AU241" s="72" t="n">
        <v>249.56</v>
      </c>
      <c r="AV241" s="72" t="n">
        <v>37.92</v>
      </c>
      <c r="AW241" s="72" t="n">
        <v>-14.15</v>
      </c>
      <c r="AX241" s="72" t="n">
        <v>-12.92</v>
      </c>
      <c r="AY241" s="63" t="inlineStr">
        <is>
          <t>China Biotech ETF (HS biotech proxy)</t>
        </is>
      </c>
      <c r="AZ241" s="72" t="n">
        <v>85.59999999999999</v>
      </c>
      <c r="BA241" s="64" t="inlineStr">
        <is>
          <t>2026-08-28</t>
        </is>
      </c>
      <c r="BB241" s="65" t="n">
        <v>249.2</v>
      </c>
      <c r="BC241" s="68" t="n">
        <v>26.7</v>
      </c>
      <c r="BD241" s="63" t="inlineStr">
        <is>
          <t>Y</t>
        </is>
      </c>
      <c r="BE241" s="74" t="n">
        <v>18.7</v>
      </c>
      <c r="BF241" s="74" t="n"/>
      <c r="BG241" s="74" t="n">
        <v>64</v>
      </c>
      <c r="BH241" s="74" t="n">
        <v>2</v>
      </c>
      <c r="BI241" s="75">
        <f>IF('BBG Verify'!S241="","not filed — run on terminal",'BBG Verify'!S241)</f>
        <v/>
      </c>
      <c r="BJ241" s="76" t="inlineStr">
        <is>
          <t>N</t>
        </is>
      </c>
      <c r="BK241" s="77">
        <f>IF('BBG Verify'!K241="","not filed — run on terminal",'BBG Verify'!K241)</f>
        <v/>
      </c>
      <c r="BL241" s="63" t="inlineStr">
        <is>
          <t>N/A</t>
        </is>
      </c>
      <c r="BM241" s="63" t="inlineStr">
        <is>
          <t>N/A</t>
        </is>
      </c>
      <c r="BN241" s="63" t="inlineStr">
        <is>
          <t>N/A</t>
        </is>
      </c>
      <c r="BO241" s="63" t="inlineStr">
        <is>
          <t>N/A</t>
        </is>
      </c>
      <c r="BP241" s="63" t="inlineStr">
        <is>
          <t>N/A</t>
        </is>
      </c>
      <c r="BQ241" s="63" t="inlineStr">
        <is>
          <t>N/A</t>
        </is>
      </c>
      <c r="BR241" s="76" t="inlineStr">
        <is>
          <t>Halcyon Capital Limited; Eddid Capital Limited</t>
        </is>
      </c>
      <c r="BS241" s="63" t="inlineStr">
        <is>
          <t>Halcyon Capital Limited; Eddid Capital Limited</t>
        </is>
      </c>
      <c r="BT241" s="63" t="inlineStr">
        <is>
          <t>Eddid Securities and Futures Limited; Halcyon Securities Limited; Beta International S ecurities Limited; CMBC Securities Company Limited; China PA Securities (Hong Kong) Company Limited; Quam Securities Limited; China Everbright Securities (HK) Limited</t>
        </is>
      </c>
      <c r="BU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V241" s="78">
        <f>HYPERLINK("https://www1.hkexnews.hk/listedco/listconews/sehk/2023/1228/2023122800033.pdf","prospectus")</f>
        <v/>
      </c>
      <c r="BW241" s="78">
        <f>HYPERLINK("https://www1.hkexnews.hk/listedco/listconews/sehk/2024/0111/2024011101058.pdf","allotment")</f>
        <v/>
      </c>
      <c r="BX241" s="78">
        <f>HYPERLINK("https://www1.hkexnews.hk/listedco/listconews/sehk/2024/0208/2024020800426.pdf","stabilisation")</f>
        <v/>
      </c>
      <c r="BY241" s="76" t="n"/>
      <c r="BZ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72" t="n"/>
      <c r="AC242" s="66" t="n"/>
      <c r="AD242" s="72" t="n"/>
      <c r="AE242" s="63" t="n"/>
      <c r="AF242" s="63" t="inlineStr">
        <is>
          <t>lapsed</t>
        </is>
      </c>
      <c r="AG242" s="63" t="n"/>
      <c r="AH242" s="63" t="inlineStr">
        <is>
          <t>Yuen Meta</t>
        </is>
      </c>
      <c r="AI242" s="63" t="inlineStr">
        <is>
          <t>Yuen Meta</t>
        </is>
      </c>
      <c r="AJ242" s="73" t="n">
        <v>136</v>
      </c>
      <c r="AK242" s="72" t="n">
        <v>160</v>
      </c>
      <c r="AL242" s="72" t="n">
        <v>-9.23</v>
      </c>
      <c r="AM242" s="72" t="n">
        <v>156</v>
      </c>
      <c r="AN242" s="72" t="n">
        <v>156</v>
      </c>
      <c r="AO242" s="72" t="n">
        <v>132</v>
      </c>
      <c r="AP242" s="72" t="n">
        <v>8.470000000000001</v>
      </c>
      <c r="AQ242" s="72" t="n">
        <v>8.470000000000001</v>
      </c>
      <c r="AR242" s="72" t="n">
        <v>-1.69</v>
      </c>
      <c r="AS242" s="72" t="n">
        <v>151.85</v>
      </c>
      <c r="AT242" s="72" t="n">
        <v>147.36</v>
      </c>
      <c r="AU242" s="72" t="n">
        <v>117.92</v>
      </c>
      <c r="AV242" s="72" t="n">
        <v>0.53</v>
      </c>
      <c r="AW242" s="72" t="n">
        <v>8.640000000000001</v>
      </c>
      <c r="AX242" s="72" t="n">
        <v>7.94</v>
      </c>
      <c r="AY242" s="63" t="inlineStr">
        <is>
          <t>Hang Seng Commerce &amp; Industry sub-index</t>
        </is>
      </c>
      <c r="AZ242" s="72" t="n">
        <v>206</v>
      </c>
      <c r="BA242" s="64" t="inlineStr">
        <is>
          <t>2026-08-28</t>
        </is>
      </c>
      <c r="BB242" s="65" t="n">
        <v>336.4</v>
      </c>
      <c r="BC242" s="68" t="n">
        <v>39.3</v>
      </c>
      <c r="BD242" s="63" t="inlineStr">
        <is>
          <t>Y</t>
        </is>
      </c>
      <c r="BE242" s="74" t="n">
        <v>12.7</v>
      </c>
      <c r="BF242" s="74" t="n"/>
      <c r="BG242" s="74" t="n">
        <v>72.09999999999999</v>
      </c>
      <c r="BH242" s="74" t="n">
        <v>1.5</v>
      </c>
      <c r="BI242" s="75">
        <f>IF('BBG Verify'!S242="","not filed — run on terminal",'BBG Verify'!S242)</f>
        <v/>
      </c>
      <c r="BJ242" s="76" t="inlineStr">
        <is>
          <t>N</t>
        </is>
      </c>
      <c r="BK242" s="77">
        <f>IF('BBG Verify'!K242="","not filed — run on terminal",'BBG Verify'!K242)</f>
        <v/>
      </c>
      <c r="BL242" s="63" t="inlineStr">
        <is>
          <t>N/A</t>
        </is>
      </c>
      <c r="BM242" s="63" t="inlineStr">
        <is>
          <t>N/A</t>
        </is>
      </c>
      <c r="BN242" s="63" t="inlineStr">
        <is>
          <t>N/A</t>
        </is>
      </c>
      <c r="BO242" s="63" t="inlineStr">
        <is>
          <t>N/A</t>
        </is>
      </c>
      <c r="BP242" s="63" t="inlineStr">
        <is>
          <t>N/A</t>
        </is>
      </c>
      <c r="BQ242" s="63" t="inlineStr">
        <is>
          <t>N/A</t>
        </is>
      </c>
      <c r="BR242" s="76" t="n"/>
      <c r="BS242" s="63" t="inlineStr">
        <is>
          <t>Grande Capital Limited</t>
        </is>
      </c>
      <c r="BT242" s="63" t="inlineStr">
        <is>
          <t>Eddid Securities and Futures Limited; Fortune Origin Securities Limited; Grand China Securities Limited; Grande Capital Limited; Lee Go Securities Limited; Livermore Holdings Limited</t>
        </is>
      </c>
      <c r="BU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V242" s="78">
        <f>HYPERLINK("https://www1.hkexnews.hk/listedco/listconews/sehk/2024/0229/2024022900018.htm","prospectus")</f>
        <v/>
      </c>
      <c r="BW242" s="78">
        <f>HYPERLINK("https://www1.hkexnews.hk/listedco/listconews/sehk/2024/0307/2024030700933.pdf","allotment")</f>
        <v/>
      </c>
      <c r="BX242" s="78">
        <f>HYPERLINK("https://www1.hkexnews.hk/listedco/listconews/sehk/2024/0405/2024040501467.pdf","stabilisation")</f>
        <v/>
      </c>
      <c r="BY242" s="76" t="n"/>
      <c r="BZ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72" t="n"/>
      <c r="AC243" s="66" t="n"/>
      <c r="AD243" s="72" t="n"/>
      <c r="AE243" s="63" t="n"/>
      <c r="AF243" s="63" t="inlineStr">
        <is>
          <t>lapsed (no over-allocation)</t>
        </is>
      </c>
      <c r="AG243" s="63" t="n"/>
      <c r="AH243" s="63" t="n"/>
      <c r="AI243" s="63" t="n"/>
      <c r="AJ243" s="73" t="n">
        <v>36.36</v>
      </c>
      <c r="AK243" s="72" t="n">
        <v>-18.18</v>
      </c>
      <c r="AL243" s="72" t="n">
        <v>66.66</v>
      </c>
      <c r="AM243" s="72" t="n">
        <v>166.36</v>
      </c>
      <c r="AN243" s="72" t="n">
        <v>219.09</v>
      </c>
      <c r="AO243" s="72" t="n">
        <v>90.91</v>
      </c>
      <c r="AP243" s="72" t="n">
        <v>95.34</v>
      </c>
      <c r="AQ243" s="72" t="n">
        <v>134.01</v>
      </c>
      <c r="AR243" s="72" t="n">
        <v>40</v>
      </c>
      <c r="AS243" s="72" t="n">
        <v>163.33</v>
      </c>
      <c r="AT243" s="72" t="n">
        <v>213.76</v>
      </c>
      <c r="AU243" s="72" t="n">
        <v>79.31</v>
      </c>
      <c r="AV243" s="72" t="n">
        <v>129.47</v>
      </c>
      <c r="AW243" s="72" t="n">
        <v>5.33</v>
      </c>
      <c r="AX243" s="72" t="n">
        <v>4.54</v>
      </c>
      <c r="AY243" s="63" t="inlineStr">
        <is>
          <t>Hang Seng Index</t>
        </is>
      </c>
      <c r="AZ243" s="72" t="n">
        <v>-31.82</v>
      </c>
      <c r="BA243" s="64" t="inlineStr">
        <is>
          <t>2026-08-28</t>
        </is>
      </c>
      <c r="BB243" s="65" t="n">
        <v>541.8</v>
      </c>
      <c r="BC243" s="68" t="n">
        <v>75.09999999999999</v>
      </c>
      <c r="BD243" s="63" t="inlineStr">
        <is>
          <t>Y</t>
        </is>
      </c>
      <c r="BE243" s="74" t="n">
        <v>7.3</v>
      </c>
      <c r="BF243" s="74" t="n"/>
      <c r="BG243" s="74" t="n">
        <v>8.300000000000001</v>
      </c>
      <c r="BH243" s="74" t="n">
        <v>1</v>
      </c>
      <c r="BI243" s="75">
        <f>IF('BBG Verify'!S243="","not filed — run on terminal",'BBG Verify'!S243)</f>
        <v/>
      </c>
      <c r="BJ243" s="76" t="inlineStr">
        <is>
          <t>N</t>
        </is>
      </c>
      <c r="BK243" s="77">
        <f>IF('BBG Verify'!K243="","not filed — run on terminal",'BBG Verify'!K243)</f>
        <v/>
      </c>
      <c r="BL243" s="63" t="inlineStr">
        <is>
          <t>N/A</t>
        </is>
      </c>
      <c r="BM243" s="63" t="inlineStr">
        <is>
          <t>N/A</t>
        </is>
      </c>
      <c r="BN243" s="63" t="inlineStr">
        <is>
          <t>N/A</t>
        </is>
      </c>
      <c r="BO243" s="63" t="inlineStr">
        <is>
          <t>N/A</t>
        </is>
      </c>
      <c r="BP243" s="63" t="inlineStr">
        <is>
          <t>N/A</t>
        </is>
      </c>
      <c r="BQ243" s="63" t="inlineStr">
        <is>
          <t>N/A</t>
        </is>
      </c>
      <c r="BR243" s="76" t="inlineStr">
        <is>
          <t>China Sunrise Capital Limited</t>
        </is>
      </c>
      <c r="BS243" s="63" t="inlineStr">
        <is>
          <t>China Sunrise Capital Limited</t>
        </is>
      </c>
      <c r="BT243" s="63" t="inlineStr">
        <is>
          <t>China Sunrise Securities (International) Limited; ABCI Capital Limited; BOCI Asia Limited; BOCOM International S ecurities Limited; CEB International Capital Corporation Limited</t>
        </is>
      </c>
      <c r="BU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V243" s="78">
        <f>HYPERLINK("https://www1.hkexnews.hk/listedco/listconews/sehk/2024/0229/2024022900168.pdf","prospectus")</f>
        <v/>
      </c>
      <c r="BW243" s="78">
        <f>HYPERLINK("https://www1.hkexnews.hk/listedco/listconews/sehk/2024/0307/2024030700935.pdf","allotment")</f>
        <v/>
      </c>
      <c r="BX243" s="78">
        <f>HYPERLINK("https://www1.hkexnews.hk/listedco/listconews/sehk/2024/0405/2024040500023.pdf","stabilisation")</f>
        <v/>
      </c>
      <c r="BY243" s="76" t="n"/>
      <c r="BZ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72" t="n"/>
      <c r="AC244" s="66" t="n"/>
      <c r="AD244" s="72" t="n"/>
      <c r="AE244" s="63" t="n"/>
      <c r="AF244" s="63" t="n"/>
      <c r="AG244" s="63" t="n"/>
      <c r="AH244" s="63" t="n"/>
      <c r="AI244" s="63" t="n"/>
      <c r="AJ244" s="73" t="n">
        <v>23.74</v>
      </c>
      <c r="AK244" s="72" t="n">
        <v>38.38</v>
      </c>
      <c r="AL244" s="72" t="n">
        <v>-10.58</v>
      </c>
      <c r="AM244" s="72" t="n">
        <v>20.96</v>
      </c>
      <c r="AN244" s="72" t="n">
        <v>20.71</v>
      </c>
      <c r="AO244" s="72" t="n">
        <v>39.65</v>
      </c>
      <c r="AP244" s="72" t="n">
        <v>-2.25</v>
      </c>
      <c r="AQ244" s="72" t="n">
        <v>-2.45</v>
      </c>
      <c r="AR244" s="72" t="n">
        <v>12.86</v>
      </c>
      <c r="AS244" s="72" t="n">
        <v>24.95</v>
      </c>
      <c r="AT244" s="72" t="n">
        <v>27.75</v>
      </c>
      <c r="AU244" s="72" t="n">
        <v>50.34</v>
      </c>
      <c r="AV244" s="72" t="n">
        <v>4.74</v>
      </c>
      <c r="AW244" s="72" t="n">
        <v>-7.04</v>
      </c>
      <c r="AX244" s="72" t="n">
        <v>-7.19</v>
      </c>
      <c r="AY244" s="63" t="inlineStr">
        <is>
          <t>China Biotech ETF (HS biotech proxy)</t>
        </is>
      </c>
      <c r="AZ244" s="72" t="n">
        <v>-14.14</v>
      </c>
      <c r="BA244" s="64" t="inlineStr">
        <is>
          <t>2026-08-28</t>
        </is>
      </c>
      <c r="BB244" s="65" t="n">
        <v>81.2</v>
      </c>
      <c r="BC244" s="68" t="n">
        <v>-226.5</v>
      </c>
      <c r="BD244" s="63" t="inlineStr">
        <is>
          <t>N</t>
        </is>
      </c>
      <c r="BE244" s="63" t="inlineStr">
        <is>
          <t>n/m</t>
        </is>
      </c>
      <c r="BF244" s="74" t="n"/>
      <c r="BG244" s="74" t="n">
        <v>11.1</v>
      </c>
      <c r="BH244" s="74" t="n">
        <v>54.2</v>
      </c>
      <c r="BI244" s="75">
        <f>IF('BBG Verify'!S244="","not filed — run on terminal",'BBG Verify'!S244)</f>
        <v/>
      </c>
      <c r="BJ244" s="76" t="inlineStr">
        <is>
          <t>N</t>
        </is>
      </c>
      <c r="BK244" s="77">
        <f>IF('BBG Verify'!K244="","not filed — run on terminal",'BBG Verify'!K244)</f>
        <v/>
      </c>
      <c r="BL244" s="63" t="inlineStr">
        <is>
          <t>N/A</t>
        </is>
      </c>
      <c r="BM244" s="63" t="inlineStr">
        <is>
          <t>N/A</t>
        </is>
      </c>
      <c r="BN244" s="63" t="inlineStr">
        <is>
          <t>N/A</t>
        </is>
      </c>
      <c r="BO244" s="63" t="inlineStr">
        <is>
          <t>N/A</t>
        </is>
      </c>
      <c r="BP244" s="63" t="inlineStr">
        <is>
          <t>N/A</t>
        </is>
      </c>
      <c r="BQ244" s="63" t="inlineStr">
        <is>
          <t>N/A</t>
        </is>
      </c>
      <c r="BR244" s="76" t="n"/>
      <c r="BS244" s="63" t="inlineStr">
        <is>
          <t>China International Capital Corporation Hong Kong Securities Limited</t>
        </is>
      </c>
      <c r="BT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U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V244" s="78">
        <f>HYPERLINK("https://www1.hkexnews.hk/listedco/listconews/sehk/2024/0312/2024031200007.pdf","prospectus")</f>
        <v/>
      </c>
      <c r="BW244" s="78">
        <f>HYPERLINK("https://www1.hkexnews.hk/listedco/listconews/sehk/2024/0319/2024031901351.pdf","allotment")</f>
        <v/>
      </c>
      <c r="BX244" s="63" t="n"/>
      <c r="BY244" s="76" t="n"/>
      <c r="BZ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72" t="n"/>
      <c r="AC245" s="66" t="n"/>
      <c r="AD245" s="72" t="n"/>
      <c r="AE245" s="63" t="n"/>
      <c r="AF245" s="63" t="inlineStr">
        <is>
          <t>partial</t>
        </is>
      </c>
      <c r="AG245" s="63" t="n"/>
      <c r="AH245" s="63" t="n"/>
      <c r="AI245" s="63" t="n"/>
      <c r="AJ245" s="73" t="n">
        <v>0.25</v>
      </c>
      <c r="AK245" s="72" t="n">
        <v>7.35</v>
      </c>
      <c r="AL245" s="72" t="n">
        <v>-6.61</v>
      </c>
      <c r="AM245" s="72" t="n">
        <v>-0</v>
      </c>
      <c r="AN245" s="72" t="n">
        <v>31.13</v>
      </c>
      <c r="AO245" s="72" t="n">
        <v>98.53</v>
      </c>
      <c r="AP245" s="72" t="n">
        <v>-0.25</v>
      </c>
      <c r="AQ245" s="72" t="n">
        <v>30.8</v>
      </c>
      <c r="AR245" s="72" t="n">
        <v>98.03</v>
      </c>
      <c r="AS245" s="72" t="n">
        <v>-0.77</v>
      </c>
      <c r="AT245" s="72" t="n">
        <v>25.83</v>
      </c>
      <c r="AU245" s="72" t="n">
        <v>89.27</v>
      </c>
      <c r="AV245" s="72" t="n">
        <v>27.29</v>
      </c>
      <c r="AW245" s="72" t="n">
        <v>5.3</v>
      </c>
      <c r="AX245" s="72" t="n">
        <v>3.51</v>
      </c>
      <c r="AY245" s="63" t="inlineStr">
        <is>
          <t>Hang Seng Commerce &amp; Industry sub-index</t>
        </is>
      </c>
      <c r="AZ245" s="72" t="n">
        <v>130.39</v>
      </c>
      <c r="BA245" s="64" t="inlineStr">
        <is>
          <t>2026-08-28</t>
        </is>
      </c>
      <c r="BB245" s="65" t="n">
        <v>5195</v>
      </c>
      <c r="BC245" s="68" t="n">
        <v>436.2</v>
      </c>
      <c r="BD245" s="63" t="inlineStr">
        <is>
          <t>Y</t>
        </is>
      </c>
      <c r="BE245" s="74" t="n">
        <v>8.4</v>
      </c>
      <c r="BF245" s="74" t="n"/>
      <c r="BG245" s="74" t="n">
        <v>19.8</v>
      </c>
      <c r="BH245" s="74" t="n">
        <v>0.7</v>
      </c>
      <c r="BI245" s="75">
        <f>IF('BBG Verify'!S245="","not filed — run on terminal",'BBG Verify'!S245)</f>
        <v/>
      </c>
      <c r="BJ245" s="76" t="inlineStr">
        <is>
          <t>N</t>
        </is>
      </c>
      <c r="BK245" s="77">
        <f>IF('BBG Verify'!K245="","not filed — run on terminal",'BBG Verify'!K245)</f>
        <v/>
      </c>
      <c r="BL245" s="63" t="inlineStr">
        <is>
          <t>N/A</t>
        </is>
      </c>
      <c r="BM245" s="63" t="inlineStr">
        <is>
          <t>N/A</t>
        </is>
      </c>
      <c r="BN245" s="63" t="inlineStr">
        <is>
          <t>N/A</t>
        </is>
      </c>
      <c r="BO245" s="63" t="inlineStr">
        <is>
          <t>N/A</t>
        </is>
      </c>
      <c r="BP245" s="63" t="inlineStr">
        <is>
          <t>N/A</t>
        </is>
      </c>
      <c r="BQ245" s="63" t="inlineStr">
        <is>
          <t>N/A</t>
        </is>
      </c>
      <c r="BR245" s="76" t="inlineStr">
        <is>
          <t>GF Capital (Hong Kong) Limited</t>
        </is>
      </c>
      <c r="BS245" s="63" t="inlineStr">
        <is>
          <t>GF Capital (Hong Kong) Limited</t>
        </is>
      </c>
      <c r="BT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U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V245" s="78">
        <f>HYPERLINK("https://www1.hkexnews.hk/listedco/listconews/sehk/2024/0313/2024031300019.pdf","prospectus")</f>
        <v/>
      </c>
      <c r="BW245" s="78">
        <f>HYPERLINK("https://www1.hkexnews.hk/listedco/listconews/sehk/2024/0320/2024032001597.pdf","allotment")</f>
        <v/>
      </c>
      <c r="BX245" s="78">
        <f>HYPERLINK("https://www1.hkexnews.hk/listedco/listconews/sehk/2024/0417/2024041701556.pdf","stabilisation")</f>
        <v/>
      </c>
      <c r="BY245" s="76" t="n"/>
      <c r="BZ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72" t="n"/>
      <c r="AC246" s="66" t="n"/>
      <c r="AD246" s="72" t="n"/>
      <c r="AE246" s="63" t="n"/>
      <c r="AF246" s="63" t="inlineStr">
        <is>
          <t>partial</t>
        </is>
      </c>
      <c r="AG246" s="63" t="n"/>
      <c r="AH246" s="63" t="inlineStr">
        <is>
          <t>Guotai Junan Securities</t>
        </is>
      </c>
      <c r="AI246" s="63" t="inlineStr">
        <is>
          <t>Guotai Junan</t>
        </is>
      </c>
      <c r="AJ246" s="73" t="n">
        <v>15.38</v>
      </c>
      <c r="AK246" s="72" t="n">
        <v>5.77</v>
      </c>
      <c r="AL246" s="72" t="n">
        <v>9.09</v>
      </c>
      <c r="AM246" s="72" t="n">
        <v>111.54</v>
      </c>
      <c r="AN246" s="72" t="n">
        <v>111.92</v>
      </c>
      <c r="AO246" s="72" t="n">
        <v>129.62</v>
      </c>
      <c r="AP246" s="72" t="n">
        <v>83.34</v>
      </c>
      <c r="AQ246" s="72" t="n">
        <v>83.67</v>
      </c>
      <c r="AR246" s="72" t="n">
        <v>99.01000000000001</v>
      </c>
      <c r="AS246" s="72" t="n">
        <v>109.11</v>
      </c>
      <c r="AT246" s="72" t="n">
        <v>103.81</v>
      </c>
      <c r="AU246" s="72" t="n">
        <v>122.55</v>
      </c>
      <c r="AV246" s="72" t="n">
        <v>76.7</v>
      </c>
      <c r="AW246" s="72" t="n">
        <v>8.109999999999999</v>
      </c>
      <c r="AX246" s="72" t="n">
        <v>6.97</v>
      </c>
      <c r="AY246" s="63" t="inlineStr">
        <is>
          <t>Hang Seng Commerce &amp; Industry sub-index</t>
        </is>
      </c>
      <c r="AZ246" s="72" t="n">
        <v>-68.84999999999999</v>
      </c>
      <c r="BA246" s="64" t="inlineStr">
        <is>
          <t>2026-08-28</t>
        </is>
      </c>
      <c r="BB246" s="65" t="n">
        <v>529</v>
      </c>
      <c r="BC246" s="68" t="n">
        <v>44.2</v>
      </c>
      <c r="BD246" s="63" t="inlineStr">
        <is>
          <t>Y</t>
        </is>
      </c>
      <c r="BE246" s="74" t="n">
        <v>47.1</v>
      </c>
      <c r="BF246" s="74" t="n"/>
      <c r="BG246" s="74" t="n">
        <v>49</v>
      </c>
      <c r="BH246" s="74" t="n">
        <v>3.9</v>
      </c>
      <c r="BI246" s="75">
        <f>IF('BBG Verify'!S246="","not filed — run on terminal",'BBG Verify'!S246)</f>
        <v/>
      </c>
      <c r="BJ246" s="76" t="inlineStr">
        <is>
          <t>N</t>
        </is>
      </c>
      <c r="BK246" s="77">
        <f>IF('BBG Verify'!K246="","not filed — run on terminal",'BBG Verify'!K246)</f>
        <v/>
      </c>
      <c r="BL246" s="63" t="inlineStr">
        <is>
          <t>N/A</t>
        </is>
      </c>
      <c r="BM246" s="63" t="inlineStr">
        <is>
          <t>N/A</t>
        </is>
      </c>
      <c r="BN246" s="63" t="inlineStr">
        <is>
          <t>N/A</t>
        </is>
      </c>
      <c r="BO246" s="63" t="inlineStr">
        <is>
          <t>N/A</t>
        </is>
      </c>
      <c r="BP246" s="63" t="inlineStr">
        <is>
          <t>N/A</t>
        </is>
      </c>
      <c r="BQ246" s="63" t="inlineStr">
        <is>
          <t>N/A</t>
        </is>
      </c>
      <c r="BR246" s="76" t="inlineStr">
        <is>
          <t>Guotai Junan Capital Limited</t>
        </is>
      </c>
      <c r="BS246" s="63" t="inlineStr">
        <is>
          <t>Guotai Junan Capital Limited</t>
        </is>
      </c>
      <c r="BT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U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V246" s="78">
        <f>HYPERLINK("https://www1.hkexnews.hk/listedco/listconews/sehk/2024/0318/2024031800024.pdf","prospectus")</f>
        <v/>
      </c>
      <c r="BW246" s="78">
        <f>HYPERLINK("https://www1.hkexnews.hk/listedco/listconews/sehk/2024/0325/2024032501621.pdf","allotment")</f>
        <v/>
      </c>
      <c r="BX246" s="78">
        <f>HYPERLINK("https://www1.hkexnews.hk/listedco/listconews/sehk/2024/0422/2024042200005.pdf","stabilisation")</f>
        <v/>
      </c>
      <c r="BY246" s="76" t="n"/>
      <c r="BZ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72" t="n"/>
      <c r="AC247" s="66" t="n"/>
      <c r="AD247" s="72" t="n"/>
      <c r="AE247" s="63" t="n"/>
      <c r="AF247" s="63" t="inlineStr">
        <is>
          <t>lapsed (no over-allocation)</t>
        </is>
      </c>
      <c r="AG247" s="63" t="n"/>
      <c r="AH247" s="63" t="n"/>
      <c r="AI247" s="63" t="n"/>
      <c r="AJ247" s="73" t="n">
        <v>37.04</v>
      </c>
      <c r="AK247" s="72" t="n">
        <v>97.22</v>
      </c>
      <c r="AL247" s="72" t="n">
        <v>-30.51</v>
      </c>
      <c r="AM247" s="72" t="n">
        <v>14.81</v>
      </c>
      <c r="AN247" s="72" t="n">
        <v>-3.7</v>
      </c>
      <c r="AO247" s="72" t="n">
        <v>-4.63</v>
      </c>
      <c r="AP247" s="72" t="n">
        <v>-16.22</v>
      </c>
      <c r="AQ247" s="72" t="n">
        <v>-29.73</v>
      </c>
      <c r="AR247" s="72" t="n">
        <v>-30.41</v>
      </c>
      <c r="AS247" s="72" t="n">
        <v>11.5</v>
      </c>
      <c r="AT247" s="72" t="n">
        <v>-15.03</v>
      </c>
      <c r="AU247" s="72" t="n">
        <v>-14.97</v>
      </c>
      <c r="AV247" s="72" t="n">
        <v>-39.21</v>
      </c>
      <c r="AW247" s="72" t="n">
        <v>11.33</v>
      </c>
      <c r="AX247" s="72" t="n">
        <v>9.48</v>
      </c>
      <c r="AY247" s="63" t="inlineStr">
        <is>
          <t>Hang Seng Commerce &amp; Industry sub-index</t>
        </is>
      </c>
      <c r="AZ247" s="72" t="n">
        <v>-46.3</v>
      </c>
      <c r="BA247" s="64" t="inlineStr">
        <is>
          <t>2026-08-28</t>
        </is>
      </c>
      <c r="BB247" s="65" t="n">
        <v>139.4</v>
      </c>
      <c r="BC247" s="68" t="n">
        <v>35</v>
      </c>
      <c r="BD247" s="63" t="inlineStr">
        <is>
          <t>Y</t>
        </is>
      </c>
      <c r="BE247" s="74" t="n">
        <v>15.4</v>
      </c>
      <c r="BF247" s="74" t="n"/>
      <c r="BG247" s="74" t="n">
        <v>4.2</v>
      </c>
      <c r="BH247" s="74" t="n">
        <v>3.9</v>
      </c>
      <c r="BI247" s="75">
        <f>IF('BBG Verify'!S247="","not filed — run on terminal",'BBG Verify'!S247)</f>
        <v/>
      </c>
      <c r="BJ247" s="76" t="inlineStr">
        <is>
          <t>N</t>
        </is>
      </c>
      <c r="BK247" s="77">
        <f>IF('BBG Verify'!K247="","not filed — run on terminal",'BBG Verify'!K247)</f>
        <v/>
      </c>
      <c r="BL247" s="63" t="inlineStr">
        <is>
          <t>N/A</t>
        </is>
      </c>
      <c r="BM247" s="63" t="inlineStr">
        <is>
          <t>N/A</t>
        </is>
      </c>
      <c r="BN247" s="63" t="inlineStr">
        <is>
          <t>N/A</t>
        </is>
      </c>
      <c r="BO247" s="63" t="inlineStr">
        <is>
          <t>N/A</t>
        </is>
      </c>
      <c r="BP247" s="63" t="inlineStr">
        <is>
          <t>N/A</t>
        </is>
      </c>
      <c r="BQ247" s="63" t="inlineStr">
        <is>
          <t>N/A</t>
        </is>
      </c>
      <c r="BR247" s="76" t="inlineStr">
        <is>
          <t>Grande Capital Limited</t>
        </is>
      </c>
      <c r="BS247" s="63" t="inlineStr">
        <is>
          <t>Grande Capital Limited</t>
        </is>
      </c>
      <c r="BT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U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V247" s="78">
        <f>HYPERLINK("https://www1.hkexnews.hk/listedco/listconews/sehk/2024/0320/2024032000093.pdf","prospectus")</f>
        <v/>
      </c>
      <c r="BW247" s="78">
        <f>HYPERLINK("https://www1.hkexnews.hk/listedco/listconews/sehk/2024/0327/2024032702279.pdf","allotment")</f>
        <v/>
      </c>
      <c r="BX247" s="78">
        <f>HYPERLINK("https://www1.hkexnews.hk/listedco/listconews/sehk/2024/0424/2024042400463.pdf","stabilisation")</f>
        <v/>
      </c>
      <c r="BY247" s="76" t="n"/>
      <c r="BZ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72" t="n"/>
      <c r="AC248" s="66" t="n"/>
      <c r="AD248" s="72" t="n"/>
      <c r="AE248" s="63" t="n"/>
      <c r="AF248" s="63" t="inlineStr">
        <is>
          <t>lapsed</t>
        </is>
      </c>
      <c r="AG248" s="63" t="inlineStr">
        <is>
          <t>2024-04-24</t>
        </is>
      </c>
      <c r="AH248" s="63" t="inlineStr">
        <is>
          <t>China International Capital Corporation Hong Kong Securities Limited</t>
        </is>
      </c>
      <c r="AI248" s="63" t="inlineStr">
        <is>
          <t>China International</t>
        </is>
      </c>
      <c r="AJ248" s="73" t="n">
        <v>-7.63</v>
      </c>
      <c r="AK248" s="72" t="n">
        <v>-4.11</v>
      </c>
      <c r="AL248" s="72" t="n">
        <v>-3.67</v>
      </c>
      <c r="AM248" s="72" t="n">
        <v>-4.79</v>
      </c>
      <c r="AN248" s="72" t="n">
        <v>-5.48</v>
      </c>
      <c r="AO248" s="72" t="n">
        <v>-7.05</v>
      </c>
      <c r="AP248" s="72" t="n">
        <v>3.07</v>
      </c>
      <c r="AQ248" s="72" t="n">
        <v>2.33</v>
      </c>
      <c r="AR248" s="72" t="n">
        <v>0.63</v>
      </c>
      <c r="AS248" s="72" t="n">
        <v>-7.49</v>
      </c>
      <c r="AT248" s="72" t="n">
        <v>-19.48</v>
      </c>
      <c r="AU248" s="72" t="n">
        <v>-14.86</v>
      </c>
      <c r="AV248" s="72" t="n">
        <v>-9.19</v>
      </c>
      <c r="AW248" s="72" t="n">
        <v>14</v>
      </c>
      <c r="AX248" s="72" t="n">
        <v>11.52</v>
      </c>
      <c r="AY248" s="63" t="inlineStr">
        <is>
          <t>HSTECH (Hang Seng TECH ETF)</t>
        </is>
      </c>
      <c r="AZ248" s="72" t="n">
        <v>-63.16</v>
      </c>
      <c r="BA248" s="64" t="inlineStr">
        <is>
          <t>2026-08-28</t>
        </is>
      </c>
      <c r="BB248" s="65" t="n">
        <v>817</v>
      </c>
      <c r="BC248" s="68" t="n">
        <v>-1008.6</v>
      </c>
      <c r="BD248" s="63" t="inlineStr">
        <is>
          <t>N</t>
        </is>
      </c>
      <c r="BE248" s="63" t="inlineStr">
        <is>
          <t>n/m</t>
        </is>
      </c>
      <c r="BF248" s="74" t="n"/>
      <c r="BG248" s="74" t="n">
        <v>2.2</v>
      </c>
      <c r="BH248" s="74" t="n">
        <v>13.5</v>
      </c>
      <c r="BI248" s="75">
        <f>IF('BBG Verify'!S248="","not filed — run on terminal",'BBG Verify'!S248)</f>
        <v/>
      </c>
      <c r="BJ248" s="76" t="inlineStr">
        <is>
          <t>N</t>
        </is>
      </c>
      <c r="BK248" s="77">
        <f>IF('BBG Verify'!K248="","not filed — run on terminal",'BBG Verify'!K248)</f>
        <v/>
      </c>
      <c r="BL248" s="63" t="inlineStr">
        <is>
          <t>N/A</t>
        </is>
      </c>
      <c r="BM248" s="63" t="inlineStr">
        <is>
          <t>N/A</t>
        </is>
      </c>
      <c r="BN248" s="63" t="inlineStr">
        <is>
          <t>N/A</t>
        </is>
      </c>
      <c r="BO248" s="63" t="inlineStr">
        <is>
          <t>N/A</t>
        </is>
      </c>
      <c r="BP248" s="63" t="inlineStr">
        <is>
          <t>N/A</t>
        </is>
      </c>
      <c r="BQ248" s="63" t="inlineStr">
        <is>
          <t>N/A</t>
        </is>
      </c>
      <c r="BR248" s="76" t="inlineStr">
        <is>
          <t>China International Capital Corporation Hong Kong Securities Limited; J.P. Morgan Securities (Far East) Limited</t>
        </is>
      </c>
      <c r="BS248" s="63" t="inlineStr">
        <is>
          <t>China International Capital Corporation Hong Kong Securities Limited; J.P. Morgan Securities (Far East) Limited</t>
        </is>
      </c>
      <c r="BT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U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V248" s="78">
        <f>HYPERLINK("https://www1.hkexnews.hk/listedco/listconews/sehk/2024/0320/2024032000031.pdf","prospectus")</f>
        <v/>
      </c>
      <c r="BW248" s="78">
        <f>HYPERLINK("https://www1.hkexnews.hk/listedco/listconews/sehk/2024/0327/2024032703063.pdf","allotment")</f>
        <v/>
      </c>
      <c r="BX248" s="78">
        <f>HYPERLINK("https://www1.hkexnews.hk/listedco/listconews/sehk/2024/0424/2024042402304.pdf","stabilisation")</f>
        <v/>
      </c>
      <c r="BY248" s="76" t="n"/>
      <c r="BZ248"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72" t="n"/>
      <c r="AC249" s="66" t="n"/>
      <c r="AD249" s="72" t="n"/>
      <c r="AE249" s="63" t="n"/>
      <c r="AF249" s="63" t="inlineStr">
        <is>
          <t>lapsed (no over-allocation)</t>
        </is>
      </c>
      <c r="AG249" s="63" t="n"/>
      <c r="AH249" s="63" t="n"/>
      <c r="AI249" s="63" t="n"/>
      <c r="AJ249" s="73" t="n">
        <v>-39.2</v>
      </c>
      <c r="AK249" s="72" t="n">
        <v>-24.8</v>
      </c>
      <c r="AL249" s="72" t="n">
        <v>-19.15</v>
      </c>
      <c r="AM249" s="72" t="n">
        <v>-39.2</v>
      </c>
      <c r="AN249" s="72" t="n">
        <v>-50</v>
      </c>
      <c r="AO249" s="72" t="n">
        <v>-52.4</v>
      </c>
      <c r="AP249" s="72" t="n">
        <v>0</v>
      </c>
      <c r="AQ249" s="72" t="n">
        <v>-17.76</v>
      </c>
      <c r="AR249" s="72" t="n">
        <v>-21.71</v>
      </c>
      <c r="AS249" s="72" t="n">
        <v>-46.29</v>
      </c>
      <c r="AT249" s="72" t="n">
        <v>-60.33</v>
      </c>
      <c r="AU249" s="72" t="n">
        <v>-54.33</v>
      </c>
      <c r="AV249" s="72" t="n">
        <v>-25.63</v>
      </c>
      <c r="AW249" s="72" t="n">
        <v>10.33</v>
      </c>
      <c r="AX249" s="72" t="n">
        <v>7.87</v>
      </c>
      <c r="AY249" s="63" t="inlineStr">
        <is>
          <t>Hang Seng Commerce &amp; Industry sub-index</t>
        </is>
      </c>
      <c r="AZ249" s="72" t="n">
        <v>-13.4</v>
      </c>
      <c r="BA249" s="64" t="inlineStr">
        <is>
          <t>2026-08-28</t>
        </is>
      </c>
      <c r="BB249" s="65" t="n">
        <v>351.4</v>
      </c>
      <c r="BC249" s="68" t="n">
        <v>45.6</v>
      </c>
      <c r="BD249" s="63" t="inlineStr">
        <is>
          <t>Y</t>
        </is>
      </c>
      <c r="BE249" s="74" t="n">
        <v>11.8</v>
      </c>
      <c r="BF249" s="74" t="n"/>
      <c r="BG249" s="74" t="n"/>
      <c r="BH249" s="74" t="n">
        <v>1.5</v>
      </c>
      <c r="BI249" s="75">
        <f>IF('BBG Verify'!S249="","not filed — run on terminal",'BBG Verify'!S249)</f>
        <v/>
      </c>
      <c r="BJ249" s="76" t="inlineStr">
        <is>
          <t>N</t>
        </is>
      </c>
      <c r="BK249" s="77">
        <f>IF('BBG Verify'!K249="","not filed — run on terminal",'BBG Verify'!K249)</f>
        <v/>
      </c>
      <c r="BL249" s="63" t="inlineStr">
        <is>
          <t>N/A</t>
        </is>
      </c>
      <c r="BM249" s="63" t="inlineStr">
        <is>
          <t>N/A</t>
        </is>
      </c>
      <c r="BN249" s="63" t="inlineStr">
        <is>
          <t>N/A</t>
        </is>
      </c>
      <c r="BO249" s="63" t="inlineStr">
        <is>
          <t>N/A</t>
        </is>
      </c>
      <c r="BP249" s="63" t="inlineStr">
        <is>
          <t>N/A</t>
        </is>
      </c>
      <c r="BQ249" s="63" t="inlineStr">
        <is>
          <t>N/A</t>
        </is>
      </c>
      <c r="BR249" s="76" t="inlineStr">
        <is>
          <t>China Everbright Capital Limited</t>
        </is>
      </c>
      <c r="BS249" s="63" t="inlineStr">
        <is>
          <t>China Everbright Capital Limited</t>
        </is>
      </c>
      <c r="BT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U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V249" s="78">
        <f>HYPERLINK("https://www1.hkexnews.hk/listedco/listconews/sehk/2024/0415/2024041500009.pdf","prospectus")</f>
        <v/>
      </c>
      <c r="BW249" s="78">
        <f>HYPERLINK("https://www1.hkexnews.hk/listedco/listconews/sehk/2024/0422/2024042201767.pdf","allotment")</f>
        <v/>
      </c>
      <c r="BX249" s="78">
        <f>HYPERLINK("https://www1.hkexnews.hk/listedco/listconews/sehk/2024/0520/2024052000007.pdf","stabilisation")</f>
        <v/>
      </c>
      <c r="BY249" s="76" t="n"/>
      <c r="BZ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72" t="n"/>
      <c r="AC250" s="66" t="n"/>
      <c r="AD250" s="72" t="n"/>
      <c r="AE250" s="63" t="n"/>
      <c r="AF250" s="63" t="inlineStr">
        <is>
          <t>lapsed</t>
        </is>
      </c>
      <c r="AG250" s="63" t="inlineStr">
        <is>
          <t>2024-05-18</t>
        </is>
      </c>
      <c r="AH250" s="63" t="inlineStr">
        <is>
          <t>China International Capital Corporation Hong Kong Securities Limited</t>
        </is>
      </c>
      <c r="AI250" s="63" t="inlineStr">
        <is>
          <t>China International</t>
        </is>
      </c>
      <c r="AJ250" s="73" t="n">
        <v>-26.86</v>
      </c>
      <c r="AK250" s="72" t="n">
        <v>-10.06</v>
      </c>
      <c r="AL250" s="72" t="n">
        <v>-18.68</v>
      </c>
      <c r="AM250" s="72" t="n">
        <v>-34.63</v>
      </c>
      <c r="AN250" s="72" t="n">
        <v>-37.83</v>
      </c>
      <c r="AO250" s="72" t="n">
        <v>-48.06</v>
      </c>
      <c r="AP250" s="72" t="n">
        <v>-10.62</v>
      </c>
      <c r="AQ250" s="72" t="n">
        <v>-15</v>
      </c>
      <c r="AR250" s="72" t="n">
        <v>-28.99</v>
      </c>
      <c r="AS250" s="72" t="n">
        <v>-41.72</v>
      </c>
      <c r="AT250" s="72" t="n">
        <v>-48.16</v>
      </c>
      <c r="AU250" s="72" t="n">
        <v>-49.99</v>
      </c>
      <c r="AV250" s="72" t="n">
        <v>-22.87</v>
      </c>
      <c r="AW250" s="72" t="n">
        <v>10.33</v>
      </c>
      <c r="AX250" s="72" t="n">
        <v>7.87</v>
      </c>
      <c r="AY250" s="63" t="inlineStr">
        <is>
          <t>Hang Seng Commerce &amp; Industry sub-index</t>
        </is>
      </c>
      <c r="AZ250" s="72" t="n">
        <v>-74.86</v>
      </c>
      <c r="BA250" s="64" t="inlineStr">
        <is>
          <t>2026-08-28</t>
        </is>
      </c>
      <c r="BB250" s="65" t="n">
        <v>6274.7</v>
      </c>
      <c r="BC250" s="68" t="n">
        <v>1265.9</v>
      </c>
      <c r="BD250" s="63" t="inlineStr">
        <is>
          <t>Y</t>
        </is>
      </c>
      <c r="BE250" s="74" t="n">
        <v>20.4</v>
      </c>
      <c r="BF250" s="74" t="n"/>
      <c r="BG250" s="74" t="n">
        <v>7.5</v>
      </c>
      <c r="BH250" s="74" t="n">
        <v>4.1</v>
      </c>
      <c r="BI250" s="75">
        <f>IF('BBG Verify'!S250="","not filed — run on terminal",'BBG Verify'!S250)</f>
        <v/>
      </c>
      <c r="BJ250" s="76" t="inlineStr">
        <is>
          <t>N</t>
        </is>
      </c>
      <c r="BK250" s="77">
        <f>IF('BBG Verify'!K250="","not filed — run on terminal",'BBG Verify'!K250)</f>
        <v/>
      </c>
      <c r="BL250" s="63" t="inlineStr">
        <is>
          <t>N/A</t>
        </is>
      </c>
      <c r="BM250" s="63" t="inlineStr">
        <is>
          <t>N/A</t>
        </is>
      </c>
      <c r="BN250" s="63" t="inlineStr">
        <is>
          <t>N/A</t>
        </is>
      </c>
      <c r="BO250" s="63" t="inlineStr">
        <is>
          <t>N/A</t>
        </is>
      </c>
      <c r="BP250" s="63" t="inlineStr">
        <is>
          <t>N/A</t>
        </is>
      </c>
      <c r="BQ250" s="63" t="inlineStr">
        <is>
          <t>N/A</t>
        </is>
      </c>
      <c r="BR250" s="76" t="n"/>
      <c r="BS250" s="63" t="inlineStr">
        <is>
          <t>China International Capital Corporation Hong Kong Securities Limited</t>
        </is>
      </c>
      <c r="BT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U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V250" s="78">
        <f>HYPERLINK("https://www1.hkexnews.hk/listedco/listconews/sehk/2024/0415/2024041500022.pdf","prospectus")</f>
        <v/>
      </c>
      <c r="BW250" s="78">
        <f>HYPERLINK("https://www1.hkexnews.hk/listedco/listconews/sehk/2024/0422/2024042202135.pdf","allotment")</f>
        <v/>
      </c>
      <c r="BX250" s="78">
        <f>HYPERLINK("https://www1.hkexnews.hk/listedco/listconews/sehk/2024/0520/2024052000035.pdf","stabilisation")</f>
        <v/>
      </c>
      <c r="BY250" s="76" t="n"/>
      <c r="BZ250" s="63" t="inlineStr">
        <is>
          <t>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72" t="n"/>
      <c r="AC251" s="66" t="n"/>
      <c r="AD251" s="72" t="n"/>
      <c r="AE251" s="63" t="n"/>
      <c r="AF251" s="63" t="inlineStr">
        <is>
          <t>partial</t>
        </is>
      </c>
      <c r="AG251" s="63" t="inlineStr">
        <is>
          <t>2024-05-19</t>
        </is>
      </c>
      <c r="AH251" s="63" t="inlineStr">
        <is>
          <t>China International Capital Corporation Hong Kong Securities Limited</t>
        </is>
      </c>
      <c r="AI251" s="63" t="inlineStr">
        <is>
          <t>China International</t>
        </is>
      </c>
      <c r="AJ251" s="73" t="n">
        <v>-3.16</v>
      </c>
      <c r="AK251" s="72" t="n">
        <v>-21.58</v>
      </c>
      <c r="AL251" s="72" t="n">
        <v>23.49</v>
      </c>
      <c r="AM251" s="72" t="n">
        <v>1.32</v>
      </c>
      <c r="AN251" s="72" t="n">
        <v>-5.26</v>
      </c>
      <c r="AO251" s="72" t="n">
        <v>-69.73999999999999</v>
      </c>
      <c r="AP251" s="72" t="n">
        <v>4.63</v>
      </c>
      <c r="AQ251" s="72" t="n">
        <v>-2.17</v>
      </c>
      <c r="AR251" s="72" t="n">
        <v>-68.75</v>
      </c>
      <c r="AS251" s="72" t="n">
        <v>-10.99</v>
      </c>
      <c r="AT251" s="72" t="n">
        <v>-17.57</v>
      </c>
      <c r="AU251" s="72" t="n">
        <v>-69.92</v>
      </c>
      <c r="AV251" s="72" t="n">
        <v>-10.57</v>
      </c>
      <c r="AW251" s="72" t="n">
        <v>12.31</v>
      </c>
      <c r="AX251" s="72" t="n">
        <v>8.4</v>
      </c>
      <c r="AY251" s="63" t="inlineStr">
        <is>
          <t>HSTECH (Hang Seng TECH ETF)</t>
        </is>
      </c>
      <c r="AZ251" s="72" t="n">
        <v>-92.11</v>
      </c>
      <c r="BA251" s="64" t="inlineStr">
        <is>
          <t>2026-08-28</t>
        </is>
      </c>
      <c r="BB251" s="65" t="n">
        <v>557.8</v>
      </c>
      <c r="BC251" s="68" t="n">
        <v>-882.9</v>
      </c>
      <c r="BD251" s="63" t="inlineStr">
        <is>
          <t>N</t>
        </is>
      </c>
      <c r="BE251" s="63" t="inlineStr">
        <is>
          <t>n/m</t>
        </is>
      </c>
      <c r="BF251" s="74" t="n"/>
      <c r="BG251" s="74" t="n"/>
      <c r="BH251" s="74" t="n">
        <v>11</v>
      </c>
      <c r="BI251" s="75">
        <f>IF('BBG Verify'!S251="","not filed — run on terminal",'BBG Verify'!S251)</f>
        <v/>
      </c>
      <c r="BJ251" s="76" t="inlineStr">
        <is>
          <t>N</t>
        </is>
      </c>
      <c r="BK251" s="77">
        <f>IF('BBG Verify'!K251="","not filed — run on terminal",'BBG Verify'!K251)</f>
        <v/>
      </c>
      <c r="BL251" s="63" t="inlineStr">
        <is>
          <t>N/A</t>
        </is>
      </c>
      <c r="BM251" s="63" t="inlineStr">
        <is>
          <t>N/A</t>
        </is>
      </c>
      <c r="BN251" s="63" t="inlineStr">
        <is>
          <t>N/A</t>
        </is>
      </c>
      <c r="BO251" s="63" t="inlineStr">
        <is>
          <t>N/A</t>
        </is>
      </c>
      <c r="BP251" s="63" t="inlineStr">
        <is>
          <t>N/A</t>
        </is>
      </c>
      <c r="BQ251" s="63" t="inlineStr">
        <is>
          <t>N/A</t>
        </is>
      </c>
      <c r="BR251" s="76" t="inlineStr">
        <is>
          <t>CMB International Capital Limited</t>
        </is>
      </c>
      <c r="BS251" s="63" t="inlineStr">
        <is>
          <t>China International Capital Corporation Hong Kong Securities Limited; CMB International Capital Limited</t>
        </is>
      </c>
      <c r="BT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U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V251" s="78">
        <f>HYPERLINK("https://www1.hkexnews.hk/listedco/listconews/sehk/2024/0416/2024041600025.pdf","prospectus")</f>
        <v/>
      </c>
      <c r="BW251" s="78">
        <f>HYPERLINK("https://www1.hkexnews.hk/listedco/listconews/sehk/2024/0423/2024042301690.pdf","allotment")</f>
        <v/>
      </c>
      <c r="BX251" s="78">
        <f>HYPERLINK("https://www1.hkexnews.hk/listedco/listconews/sehk/2024/0519/2024051900005.pdf","stabilisation")</f>
        <v/>
      </c>
      <c r="BY251" s="76" t="n"/>
      <c r="BZ251"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72" t="n"/>
      <c r="AC252" s="66" t="n"/>
      <c r="AD252" s="72" t="n"/>
      <c r="AE252" s="63" t="n"/>
      <c r="AF252" s="63" t="n"/>
      <c r="AG252" s="63" t="n"/>
      <c r="AH252" s="63" t="n"/>
      <c r="AI252" s="63" t="n"/>
      <c r="AJ252" s="73" t="n">
        <v>18.46</v>
      </c>
      <c r="AK252" s="72" t="n">
        <v>3.21</v>
      </c>
      <c r="AL252" s="72" t="n">
        <v>14.78</v>
      </c>
      <c r="AM252" s="72" t="n">
        <v>40.02</v>
      </c>
      <c r="AN252" s="72" t="n">
        <v>90.25</v>
      </c>
      <c r="AO252" s="72" t="n">
        <v>125.34</v>
      </c>
      <c r="AP252" s="72" t="n">
        <v>18.2</v>
      </c>
      <c r="AQ252" s="72" t="n">
        <v>60.6</v>
      </c>
      <c r="AR252" s="72" t="n">
        <v>90.22</v>
      </c>
      <c r="AS252" s="72" t="n">
        <v>43.51</v>
      </c>
      <c r="AT252" s="72" t="n">
        <v>98.18000000000001</v>
      </c>
      <c r="AU252" s="72" t="n">
        <v>141.06</v>
      </c>
      <c r="AV252" s="72" t="n">
        <v>69.22</v>
      </c>
      <c r="AW252" s="72" t="n">
        <v>-7.93</v>
      </c>
      <c r="AX252" s="72" t="n">
        <v>-8.619999999999999</v>
      </c>
      <c r="AY252" s="63" t="inlineStr">
        <is>
          <t>HSTECH (Hang Seng TECH ETF)</t>
        </is>
      </c>
      <c r="AZ252" s="72" t="n">
        <v>28.33</v>
      </c>
      <c r="BA252" s="64" t="inlineStr">
        <is>
          <t>2026-08-28</t>
        </is>
      </c>
      <c r="BB252" s="65" t="n">
        <v>1355.3</v>
      </c>
      <c r="BC252" s="68" t="n">
        <v>-186.4</v>
      </c>
      <c r="BD252" s="63" t="inlineStr">
        <is>
          <t>N</t>
        </is>
      </c>
      <c r="BE252" s="63" t="inlineStr">
        <is>
          <t>n/m</t>
        </is>
      </c>
      <c r="BF252" s="74" t="n"/>
      <c r="BG252" s="74" t="n">
        <v>48.1</v>
      </c>
      <c r="BH252" s="74" t="n">
        <v>7.6</v>
      </c>
      <c r="BI252" s="75">
        <f>IF('BBG Verify'!S252="","not filed — run on terminal",'BBG Verify'!S252)</f>
        <v/>
      </c>
      <c r="BJ252" s="76" t="inlineStr">
        <is>
          <t>N</t>
        </is>
      </c>
      <c r="BK252" s="77">
        <f>IF('BBG Verify'!K252="","not filed — run on terminal",'BBG Verify'!K252)</f>
        <v/>
      </c>
      <c r="BL252" s="63" t="inlineStr">
        <is>
          <t>N/A</t>
        </is>
      </c>
      <c r="BM252" s="63" t="inlineStr">
        <is>
          <t>N/A</t>
        </is>
      </c>
      <c r="BN252" s="63" t="inlineStr">
        <is>
          <t>N/A</t>
        </is>
      </c>
      <c r="BO252" s="63" t="inlineStr">
        <is>
          <t>N/A</t>
        </is>
      </c>
      <c r="BP252" s="63" t="inlineStr">
        <is>
          <t>N/A</t>
        </is>
      </c>
      <c r="BQ252" s="63" t="inlineStr">
        <is>
          <t>N/A</t>
        </is>
      </c>
      <c r="BR252" s="76" t="inlineStr">
        <is>
          <t>CCB International Capital Limited</t>
        </is>
      </c>
      <c r="BS252" s="63" t="inlineStr">
        <is>
          <t>CCB International Capital Limited; China International Capital Corporation (HK) Ltd</t>
        </is>
      </c>
      <c r="BT252" s="63" t="inlineStr">
        <is>
          <t>Beta International Securities Limited; CCB International Capital Limited; CEB International Capital Corporation Limited; China International Capital Corporation Hong Kong Securities Limited; Citrus Securities Limited; CMBC Securities Company Limited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V252" s="78">
        <f>HYPERLINK("https://www1.hkexnews.hk/listedco/listconews/sehk/2024/0507/2024050700011.pdf","prospectus")</f>
        <v/>
      </c>
      <c r="BW252" s="78">
        <f>HYPERLINK("https://www1.hkexnews.hk/listedco/listconews/sehk/2024/0514/2024051401235.pdf","allotment")</f>
        <v/>
      </c>
      <c r="BX252" s="63" t="n"/>
      <c r="BY252" s="76" t="n"/>
      <c r="BZ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72" t="n">
        <v>11.6</v>
      </c>
      <c r="AC253" s="66" t="n">
        <v>3.57</v>
      </c>
      <c r="AD253" s="72" t="n">
        <v>-10.12</v>
      </c>
      <c r="AE253" s="63" t="inlineStr">
        <is>
          <t>Y</t>
        </is>
      </c>
      <c r="AF253" s="63" t="n"/>
      <c r="AG253" s="63" t="n"/>
      <c r="AH253" s="63" t="n"/>
      <c r="AI253" s="63" t="n"/>
      <c r="AJ253" s="73" t="n">
        <v>0.31</v>
      </c>
      <c r="AK253" s="72" t="n">
        <v>8.119999999999999</v>
      </c>
      <c r="AL253" s="72" t="n">
        <v>-7.22</v>
      </c>
      <c r="AM253" s="72" t="n">
        <v>-19.38</v>
      </c>
      <c r="AN253" s="72" t="n">
        <v>-7.81</v>
      </c>
      <c r="AO253" s="72" t="n">
        <v>-12.5</v>
      </c>
      <c r="AP253" s="72" t="n">
        <v>-19.63</v>
      </c>
      <c r="AQ253" s="72" t="n">
        <v>-8.09</v>
      </c>
      <c r="AR253" s="72" t="n">
        <v>-12.77</v>
      </c>
      <c r="AS253" s="72" t="n">
        <v>-15.31</v>
      </c>
      <c r="AT253" s="72" t="n">
        <v>6.84</v>
      </c>
      <c r="AU253" s="72" t="n">
        <v>5.33</v>
      </c>
      <c r="AV253" s="72" t="n">
        <v>8.66</v>
      </c>
      <c r="AW253" s="72" t="n">
        <v>-14.65</v>
      </c>
      <c r="AX253" s="72" t="n">
        <v>-16.75</v>
      </c>
      <c r="AY253" s="63" t="inlineStr">
        <is>
          <t>Hang Seng Properties sub-index</t>
        </is>
      </c>
      <c r="AZ253" s="72" t="n">
        <v>-12.5</v>
      </c>
      <c r="BA253" s="64" t="inlineStr">
        <is>
          <t>2026-08-28</t>
        </is>
      </c>
      <c r="BB253" s="65" t="n">
        <v>717.1</v>
      </c>
      <c r="BC253" s="68" t="n">
        <v>77.2</v>
      </c>
      <c r="BD253" s="63" t="inlineStr">
        <is>
          <t>Y</t>
        </is>
      </c>
      <c r="BE253" s="74" t="n">
        <v>6.6</v>
      </c>
      <c r="BF253" s="74" t="n"/>
      <c r="BG253" s="74" t="n">
        <v>5.2</v>
      </c>
      <c r="BH253" s="74" t="n">
        <v>0.7</v>
      </c>
      <c r="BI253" s="75">
        <f>IF('BBG Verify'!S253="","not filed — run on terminal",'BBG Verify'!S253)</f>
        <v/>
      </c>
      <c r="BJ253" s="76" t="inlineStr">
        <is>
          <t>N</t>
        </is>
      </c>
      <c r="BK253" s="77">
        <f>IF('BBG Verify'!K253="","not filed — run on terminal",'BBG Verify'!K253)</f>
        <v/>
      </c>
      <c r="BL253" s="63" t="inlineStr">
        <is>
          <t>N/A</t>
        </is>
      </c>
      <c r="BM253" s="63" t="inlineStr">
        <is>
          <t>N/A</t>
        </is>
      </c>
      <c r="BN253" s="63" t="inlineStr">
        <is>
          <t>N/A</t>
        </is>
      </c>
      <c r="BO253" s="63" t="inlineStr">
        <is>
          <t>N/A</t>
        </is>
      </c>
      <c r="BP253" s="63" t="inlineStr">
        <is>
          <t>N/A</t>
        </is>
      </c>
      <c r="BQ253" s="63" t="inlineStr">
        <is>
          <t>N/A</t>
        </is>
      </c>
      <c r="BR253" s="76" t="n"/>
      <c r="BS253" s="63" t="inlineStr">
        <is>
          <t>China International Capital Corporation Hong Kong Securities Limited</t>
        </is>
      </c>
      <c r="BT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U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V253" s="78">
        <f>HYPERLINK("https://www1.hkexnews.hk/listedco/listconews/sehk/2024/0508/2024050800029.pdf","prospectus")</f>
        <v/>
      </c>
      <c r="BW253" s="78">
        <f>HYPERLINK("https://www1.hkexnews.hk/listedco/listconews/sehk/2024/0516/2024051601339.pdf","allotment")</f>
        <v/>
      </c>
      <c r="BX253" s="63" t="n"/>
      <c r="BY253" s="76" t="n"/>
      <c r="BZ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72" t="n">
        <v>8.9</v>
      </c>
      <c r="AC254" s="66" t="n">
        <v>14.7</v>
      </c>
      <c r="AD254" s="72" t="n">
        <v>-1.23</v>
      </c>
      <c r="AE254" s="63" t="inlineStr">
        <is>
          <t>Y</t>
        </is>
      </c>
      <c r="AF254" s="63" t="n"/>
      <c r="AG254" s="63" t="n"/>
      <c r="AH254" s="63" t="n"/>
      <c r="AI254" s="63" t="n"/>
      <c r="AJ254" s="73" t="n">
        <v>7.56</v>
      </c>
      <c r="AK254" s="72" t="n">
        <v>7.11</v>
      </c>
      <c r="AL254" s="72" t="n">
        <v>0.42</v>
      </c>
      <c r="AM254" s="72" t="n">
        <v>-47.41</v>
      </c>
      <c r="AN254" s="72" t="n">
        <v>-60</v>
      </c>
      <c r="AO254" s="72" t="n">
        <v>-49.63</v>
      </c>
      <c r="AP254" s="72" t="n">
        <v>-51.11</v>
      </c>
      <c r="AQ254" s="72" t="n">
        <v>-62.81</v>
      </c>
      <c r="AR254" s="72" t="n">
        <v>-53.17</v>
      </c>
      <c r="AS254" s="72" t="n">
        <v>-44.39</v>
      </c>
      <c r="AT254" s="72" t="n">
        <v>-53.58</v>
      </c>
      <c r="AU254" s="72" t="n">
        <v>-40.04</v>
      </c>
      <c r="AV254" s="72" t="n">
        <v>-58.92</v>
      </c>
      <c r="AW254" s="72" t="n">
        <v>-6.42</v>
      </c>
      <c r="AX254" s="72" t="n">
        <v>-3.89</v>
      </c>
      <c r="AY254" s="63" t="inlineStr">
        <is>
          <t>China Biotech ETF (HS biotech proxy)</t>
        </is>
      </c>
      <c r="AZ254" s="72" t="n">
        <v>-52.67</v>
      </c>
      <c r="BA254" s="64" t="inlineStr">
        <is>
          <t>2026-08-28</t>
        </is>
      </c>
      <c r="BB254" s="65" t="n"/>
      <c r="BC254" s="68" t="n">
        <v>-146</v>
      </c>
      <c r="BD254" s="63" t="inlineStr">
        <is>
          <t>N</t>
        </is>
      </c>
      <c r="BE254" s="63" t="inlineStr">
        <is>
          <t>n/m</t>
        </is>
      </c>
      <c r="BF254" s="74" t="n"/>
      <c r="BG254" s="74" t="n"/>
      <c r="BH254" s="74" t="n"/>
      <c r="BI254" s="75">
        <f>IF('BBG Verify'!S254="","not filed — run on terminal",'BBG Verify'!S254)</f>
        <v/>
      </c>
      <c r="BJ254" s="76" t="inlineStr">
        <is>
          <t>N</t>
        </is>
      </c>
      <c r="BK254" s="77">
        <f>IF('BBG Verify'!K254="","not filed — run on terminal",'BBG Verify'!K254)</f>
        <v/>
      </c>
      <c r="BL254" s="63" t="inlineStr">
        <is>
          <t>N/A</t>
        </is>
      </c>
      <c r="BM254" s="63" t="inlineStr">
        <is>
          <t>N/A</t>
        </is>
      </c>
      <c r="BN254" s="63" t="inlineStr">
        <is>
          <t>N/A</t>
        </is>
      </c>
      <c r="BO254" s="63" t="inlineStr">
        <is>
          <t>N/A</t>
        </is>
      </c>
      <c r="BP254" s="63" t="inlineStr">
        <is>
          <t>N/A</t>
        </is>
      </c>
      <c r="BQ254" s="63" t="inlineStr">
        <is>
          <t>N/A</t>
        </is>
      </c>
      <c r="BR254" s="76" t="n"/>
      <c r="BS254" s="63" t="inlineStr">
        <is>
          <t>China International Capital Corporation Hong Kong Securities Limited</t>
        </is>
      </c>
      <c r="BT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V254" s="63" t="n"/>
      <c r="BW254" s="78">
        <f>HYPERLINK("https://www1.hkexnews.hk/listedco/listconews/sehk/2024/0523/2024052301621.pdf","allotment")</f>
        <v/>
      </c>
      <c r="BX254" s="63" t="n"/>
      <c r="BY254" s="76" t="n"/>
      <c r="BZ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72" t="n"/>
      <c r="AC255" s="66" t="n"/>
      <c r="AD255" s="72" t="n"/>
      <c r="AE255" s="63" t="n"/>
      <c r="AF255" s="63" t="n"/>
      <c r="AG255" s="63" t="n"/>
      <c r="AH255" s="63" t="n"/>
      <c r="AI255" s="63" t="n"/>
      <c r="AJ255" s="73" t="n">
        <v>40</v>
      </c>
      <c r="AK255" s="72" t="n">
        <v>32</v>
      </c>
      <c r="AL255" s="72" t="n">
        <v>6.06</v>
      </c>
      <c r="AM255" s="72" t="n">
        <v>58.8</v>
      </c>
      <c r="AN255" s="72" t="n">
        <v>110.6</v>
      </c>
      <c r="AO255" s="72" t="n">
        <v>105.8</v>
      </c>
      <c r="AP255" s="72" t="n">
        <v>13.43</v>
      </c>
      <c r="AQ255" s="72" t="n">
        <v>50.43</v>
      </c>
      <c r="AR255" s="72" t="n">
        <v>47</v>
      </c>
      <c r="AS255" s="72" t="n">
        <v>59.91</v>
      </c>
      <c r="AT255" s="72" t="n">
        <v>113.39</v>
      </c>
      <c r="AU255" s="72" t="n">
        <v>110.15</v>
      </c>
      <c r="AV255" s="72" t="n">
        <v>54.34</v>
      </c>
      <c r="AW255" s="72" t="n">
        <v>-2.79</v>
      </c>
      <c r="AX255" s="72" t="n">
        <v>-3.91</v>
      </c>
      <c r="AY255" s="63" t="inlineStr">
        <is>
          <t>Hang Seng Index</t>
        </is>
      </c>
      <c r="AZ255" s="72" t="n">
        <v>-62.54</v>
      </c>
      <c r="BA255" s="64" t="inlineStr">
        <is>
          <t>2026-08-31</t>
        </is>
      </c>
      <c r="BB255" s="65" t="n">
        <v>1107.4</v>
      </c>
      <c r="BC255" s="68" t="n">
        <v>144</v>
      </c>
      <c r="BD255" s="63" t="inlineStr">
        <is>
          <t>Y</t>
        </is>
      </c>
      <c r="BE255" s="74" t="n">
        <v>45.6</v>
      </c>
      <c r="BF255" s="74" t="n"/>
      <c r="BG255" s="74" t="n"/>
      <c r="BH255" s="74" t="n">
        <v>5.9</v>
      </c>
      <c r="BI255" s="75">
        <f>IF('BBG Verify'!S255="","not filed — run on terminal",'BBG Verify'!S255)</f>
        <v/>
      </c>
      <c r="BJ255" s="76" t="inlineStr">
        <is>
          <t>N</t>
        </is>
      </c>
      <c r="BK255" s="77">
        <f>IF('BBG Verify'!K255="","not filed — run on terminal",'BBG Verify'!K255)</f>
        <v/>
      </c>
      <c r="BL255" s="63" t="inlineStr">
        <is>
          <t>N/A</t>
        </is>
      </c>
      <c r="BM255" s="63" t="inlineStr">
        <is>
          <t>N/A</t>
        </is>
      </c>
      <c r="BN255" s="63" t="inlineStr">
        <is>
          <t>N/A</t>
        </is>
      </c>
      <c r="BO255" s="63" t="inlineStr">
        <is>
          <t>N/A</t>
        </is>
      </c>
      <c r="BP255" s="63" t="inlineStr">
        <is>
          <t>N/A</t>
        </is>
      </c>
      <c r="BQ255" s="63" t="inlineStr">
        <is>
          <t>N/A</t>
        </is>
      </c>
      <c r="BR255" s="76" t="n"/>
      <c r="BS255" s="63" t="inlineStr">
        <is>
          <t>Haitong International Capital Limited</t>
        </is>
      </c>
      <c r="BT255" s="63" t="inlineStr">
        <is>
          <t>ABCI Securities Company Limited; BOCOM International Securities Limited; CCB International Capital Limited; Fosun International Securities Limited; Futu Securities International (Hong Kong) Limited; Haitong International Securities Company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V255" s="63" t="n"/>
      <c r="BW255" s="78">
        <f>HYPERLINK("https://www1.hkexnews.hk/listedco/listconews/sehk/2024/0524/2024052401848.pdf","allotment")</f>
        <v/>
      </c>
      <c r="BX255" s="63" t="n"/>
      <c r="BY255" s="76" t="n"/>
      <c r="BZ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72" t="n"/>
      <c r="AC256" s="66" t="n"/>
      <c r="AD256" s="72" t="n"/>
      <c r="AE256" s="63" t="n"/>
      <c r="AF256" s="63" t="inlineStr">
        <is>
          <t>lapsed (no over-allocation)</t>
        </is>
      </c>
      <c r="AG256" s="63" t="inlineStr">
        <is>
          <t>2024-06-22</t>
        </is>
      </c>
      <c r="AH256" s="63" t="inlineStr">
        <is>
          <t>CMB International Capital Limited</t>
        </is>
      </c>
      <c r="AI256" s="63" t="inlineStr">
        <is>
          <t>CMB</t>
        </is>
      </c>
      <c r="AJ256" s="73" t="n">
        <v>84.20999999999999</v>
      </c>
      <c r="AK256" s="72" t="n">
        <v>35.53</v>
      </c>
      <c r="AL256" s="72" t="n">
        <v>35.92</v>
      </c>
      <c r="AM256" s="72" t="n">
        <v>35.09</v>
      </c>
      <c r="AN256" s="72" t="n">
        <v>84.20999999999999</v>
      </c>
      <c r="AO256" s="72" t="n">
        <v>49.12</v>
      </c>
      <c r="AP256" s="72" t="n">
        <v>-26.67</v>
      </c>
      <c r="AQ256" s="72" t="n">
        <v>0</v>
      </c>
      <c r="AR256" s="72" t="n">
        <v>-19.05</v>
      </c>
      <c r="AS256" s="72" t="n">
        <v>36.4</v>
      </c>
      <c r="AT256" s="72" t="n">
        <v>89.48999999999999</v>
      </c>
      <c r="AU256" s="72" t="n">
        <v>53.89</v>
      </c>
      <c r="AV256" s="72" t="n">
        <v>5.4</v>
      </c>
      <c r="AW256" s="72" t="n">
        <v>-5.28</v>
      </c>
      <c r="AX256" s="72" t="n">
        <v>-5.4</v>
      </c>
      <c r="AY256" s="63" t="inlineStr">
        <is>
          <t>Hang Seng Commerce &amp; Industry sub-index</t>
        </is>
      </c>
      <c r="AZ256" s="72" t="n">
        <v>-75.44</v>
      </c>
      <c r="BA256" s="64" t="inlineStr">
        <is>
          <t>2026-08-28</t>
        </is>
      </c>
      <c r="BB256" s="65" t="n">
        <v>1330.2</v>
      </c>
      <c r="BC256" s="68" t="n">
        <v>76.3</v>
      </c>
      <c r="BD256" s="63" t="inlineStr">
        <is>
          <t>Y</t>
        </is>
      </c>
      <c r="BE256" s="74" t="n">
        <v>15.4</v>
      </c>
      <c r="BF256" s="74" t="n"/>
      <c r="BG256" s="74" t="n"/>
      <c r="BH256" s="74" t="n">
        <v>0.9</v>
      </c>
      <c r="BI256" s="75">
        <f>IF('BBG Verify'!S256="","not filed — run on terminal",'BBG Verify'!S256)</f>
        <v/>
      </c>
      <c r="BJ256" s="76" t="inlineStr">
        <is>
          <t>N</t>
        </is>
      </c>
      <c r="BK256" s="77">
        <f>IF('BBG Verify'!K256="","not filed — run on terminal",'BBG Verify'!K256)</f>
        <v/>
      </c>
      <c r="BL256" s="63" t="inlineStr">
        <is>
          <t>N/A</t>
        </is>
      </c>
      <c r="BM256" s="63" t="inlineStr">
        <is>
          <t>N/A</t>
        </is>
      </c>
      <c r="BN256" s="63" t="inlineStr">
        <is>
          <t>N/A</t>
        </is>
      </c>
      <c r="BO256" s="63" t="inlineStr">
        <is>
          <t>N/A</t>
        </is>
      </c>
      <c r="BP256" s="63" t="inlineStr">
        <is>
          <t>N/A</t>
        </is>
      </c>
      <c r="BQ256" s="63" t="inlineStr">
        <is>
          <t>N/A</t>
        </is>
      </c>
      <c r="BR256" s="76" t="n"/>
      <c r="BS256" s="63" t="inlineStr">
        <is>
          <t>CMB International Capital Corporation Limited</t>
        </is>
      </c>
      <c r="BT256" s="63" t="inlineStr">
        <is>
          <t>ABCI Securities Company Limited; BOCI Asia Limited; CEB International Capital Corporation Limited; China Galaxy International Securities (Hong Kong) Company Limited; CMB International Capital Limited; Eddid Securities and Futures Limited</t>
        </is>
      </c>
      <c r="BU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V256" s="78">
        <f>HYPERLINK("https://www1.hkexnews.hk/listedco/listconews/sehk/2024/0519/2024051900044.htm","prospectus")</f>
        <v/>
      </c>
      <c r="BW256" s="78">
        <f>HYPERLINK("https://www1.hkexnews.hk/listedco/listconews/sehk/2024/0527/2024052701491.pdf","allotment")</f>
        <v/>
      </c>
      <c r="BX256" s="78">
        <f>HYPERLINK("https://www1.hkexnews.hk/listedco/listconews/sehk/2024/0624/2024062401055.pdf","stabilisation")</f>
        <v/>
      </c>
      <c r="BY256" s="76" t="n"/>
      <c r="BZ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72" t="n"/>
      <c r="AC257" s="66" t="n"/>
      <c r="AD257" s="72" t="n"/>
      <c r="AE257" s="63" t="n"/>
      <c r="AF257" s="63" t="n"/>
      <c r="AG257" s="63" t="n"/>
      <c r="AH257" s="63" t="n"/>
      <c r="AI257" s="63" t="n"/>
      <c r="AJ257" s="73" t="n">
        <v>26.86</v>
      </c>
      <c r="AK257" s="72" t="n">
        <v>42.16</v>
      </c>
      <c r="AL257" s="72" t="n">
        <v>-10.76</v>
      </c>
      <c r="AM257" s="72" t="n">
        <v>12.55</v>
      </c>
      <c r="AN257" s="72" t="n">
        <v>-20.59</v>
      </c>
      <c r="AO257" s="72" t="n">
        <v>-48.92</v>
      </c>
      <c r="AP257" s="72" t="n">
        <v>-11.28</v>
      </c>
      <c r="AQ257" s="72" t="n">
        <v>-37.4</v>
      </c>
      <c r="AR257" s="72" t="n">
        <v>-59.74</v>
      </c>
      <c r="AS257" s="72" t="n">
        <v>11.17</v>
      </c>
      <c r="AT257" s="72" t="n">
        <v>-20.17</v>
      </c>
      <c r="AU257" s="72" t="n">
        <v>-48.88</v>
      </c>
      <c r="AV257" s="72" t="n">
        <v>-38.1</v>
      </c>
      <c r="AW257" s="72" t="n">
        <v>-0.42</v>
      </c>
      <c r="AX257" s="72" t="n">
        <v>0.7</v>
      </c>
      <c r="AY257" s="63" t="inlineStr">
        <is>
          <t>Hang Seng Commerce &amp; Industry sub-index</t>
        </is>
      </c>
      <c r="AZ257" s="72" t="n">
        <v>-85.69</v>
      </c>
      <c r="BA257" s="64" t="inlineStr">
        <is>
          <t>2026-08-28</t>
        </is>
      </c>
      <c r="BB257" s="65" t="n">
        <v>541.2</v>
      </c>
      <c r="BC257" s="68" t="n"/>
      <c r="BD257" s="63" t="inlineStr">
        <is>
          <t>Y</t>
        </is>
      </c>
      <c r="BE257" s="75">
        <f>IF('BBG Verify'!O257="","not filed — run on terminal",'BBG Verify'!O257)</f>
        <v/>
      </c>
      <c r="BF257" s="74" t="n"/>
      <c r="BG257" s="74" t="n">
        <v>95.8</v>
      </c>
      <c r="BH257" s="74" t="n">
        <v>14.3</v>
      </c>
      <c r="BI257" s="75">
        <f>IF('BBG Verify'!S257="","not filed — run on terminal",'BBG Verify'!S257)</f>
        <v/>
      </c>
      <c r="BJ257" s="76" t="inlineStr">
        <is>
          <t>N</t>
        </is>
      </c>
      <c r="BK257" s="77">
        <f>IF('BBG Verify'!K257="","not filed — run on terminal",'BBG Verify'!K257)</f>
        <v/>
      </c>
      <c r="BL257" s="63" t="inlineStr">
        <is>
          <t>N/A</t>
        </is>
      </c>
      <c r="BM257" s="63" t="inlineStr">
        <is>
          <t>N/A</t>
        </is>
      </c>
      <c r="BN257" s="63" t="inlineStr">
        <is>
          <t>N/A</t>
        </is>
      </c>
      <c r="BO257" s="63" t="inlineStr">
        <is>
          <t>N/A</t>
        </is>
      </c>
      <c r="BP257" s="63" t="inlineStr">
        <is>
          <t>N/A</t>
        </is>
      </c>
      <c r="BQ257" s="63" t="inlineStr">
        <is>
          <t>N/A</t>
        </is>
      </c>
      <c r="BR257" s="76" t="n"/>
      <c r="BS257" s="63" t="inlineStr">
        <is>
          <t>Haitong International Capital Limited; CITIC Securities (Hong Kong) Limited</t>
        </is>
      </c>
      <c r="BT257" s="63" t="inlineStr">
        <is>
          <t>ABCI Securities Company Limited; BOCI Asia Limited; China Galaxy International Securities (Hong Kong) Company Limited; CLSA Limited; CMB International Capital Limited; Fosun International Securities Limited</t>
        </is>
      </c>
      <c r="BU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V257" s="78">
        <f>HYPERLINK("https://www1.hkexnews.hk/listedco/listconews/sehk/2024/0523/2024052300042.htm","prospectus")</f>
        <v/>
      </c>
      <c r="BW257" s="78">
        <f>HYPERLINK("https://www1.hkexnews.hk/listedco/listconews/sehk/2024/0530/2024053001320.pdf","allotment")</f>
        <v/>
      </c>
      <c r="BX257" s="63" t="n"/>
      <c r="BY257" s="76" t="n"/>
      <c r="BZ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72" t="n"/>
      <c r="AC258" s="66" t="n"/>
      <c r="AD258" s="72" t="n"/>
      <c r="AE258" s="63" t="n"/>
      <c r="AF258" s="63" t="n"/>
      <c r="AG258" s="63" t="n"/>
      <c r="AH258" s="63" t="n"/>
      <c r="AI258" s="63" t="n"/>
      <c r="AJ258" s="73" t="n">
        <v>0.13</v>
      </c>
      <c r="AK258" s="72" t="n">
        <v>0.13</v>
      </c>
      <c r="AL258" s="72" t="n">
        <v>0</v>
      </c>
      <c r="AM258" s="72" t="n">
        <v>28.3</v>
      </c>
      <c r="AN258" s="72" t="n">
        <v>15.09</v>
      </c>
      <c r="AO258" s="72" t="n">
        <v>34.18</v>
      </c>
      <c r="AP258" s="72" t="n">
        <v>28.13</v>
      </c>
      <c r="AQ258" s="72" t="n">
        <v>14.94</v>
      </c>
      <c r="AR258" s="72" t="n">
        <v>34.01</v>
      </c>
      <c r="AS258" s="72" t="n">
        <v>28.22</v>
      </c>
      <c r="AT258" s="72" t="n">
        <v>23.08</v>
      </c>
      <c r="AU258" s="72" t="n">
        <v>41.82</v>
      </c>
      <c r="AV258" s="72" t="n">
        <v>22.39</v>
      </c>
      <c r="AW258" s="72" t="n">
        <v>-7.99</v>
      </c>
      <c r="AX258" s="72" t="n">
        <v>-7.45</v>
      </c>
      <c r="AY258" s="63" t="inlineStr">
        <is>
          <t>China Biotech ETF (HS biotech proxy)</t>
        </is>
      </c>
      <c r="AZ258" s="72" t="n">
        <v>-63.95</v>
      </c>
      <c r="BA258" s="64" t="inlineStr">
        <is>
          <t>2026-08-28</t>
        </is>
      </c>
      <c r="BB258" s="65" t="n">
        <v>1021.8</v>
      </c>
      <c r="BC258" s="68" t="n">
        <v>40.2</v>
      </c>
      <c r="BD258" s="63" t="inlineStr">
        <is>
          <t>Y</t>
        </is>
      </c>
      <c r="BE258" s="74" t="n">
        <v>132.8</v>
      </c>
      <c r="BF258" s="74" t="n"/>
      <c r="BG258" s="74" t="n">
        <v>305.6</v>
      </c>
      <c r="BH258" s="74" t="n">
        <v>5.2</v>
      </c>
      <c r="BI258" s="75">
        <f>IF('BBG Verify'!S258="","not filed — run on terminal",'BBG Verify'!S258)</f>
        <v/>
      </c>
      <c r="BJ258" s="76" t="inlineStr">
        <is>
          <t>N</t>
        </is>
      </c>
      <c r="BK258" s="77">
        <f>IF('BBG Verify'!K258="","not filed — run on terminal",'BBG Verify'!K258)</f>
        <v/>
      </c>
      <c r="BL258" s="63" t="inlineStr">
        <is>
          <t>N/A</t>
        </is>
      </c>
      <c r="BM258" s="63" t="inlineStr">
        <is>
          <t>N/A</t>
        </is>
      </c>
      <c r="BN258" s="63" t="inlineStr">
        <is>
          <t>N/A</t>
        </is>
      </c>
      <c r="BO258" s="63" t="inlineStr">
        <is>
          <t>N/A</t>
        </is>
      </c>
      <c r="BP258" s="63" t="inlineStr">
        <is>
          <t>N/A</t>
        </is>
      </c>
      <c r="BQ258" s="63" t="inlineStr">
        <is>
          <t>N/A</t>
        </is>
      </c>
      <c r="BR258" s="76" t="inlineStr">
        <is>
          <t>CITIC Securities (Hong Kong) Limited; CLSA Limited</t>
        </is>
      </c>
      <c r="BS258" s="63" t="inlineStr">
        <is>
          <t>CITIC Securities (Hong Kong) Limited</t>
        </is>
      </c>
      <c r="BT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U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V258" s="78">
        <f>HYPERLINK("https://www1.hkexnews.hk/listedco/listconews/sehk/2024/0530/2024053000044.pdf","prospectus")</f>
        <v/>
      </c>
      <c r="BW258" s="78">
        <f>HYPERLINK("https://www1.hkexnews.hk/listedco/listconews/sehk/2024/0606/2024060602117.pdf","allotment")</f>
        <v/>
      </c>
      <c r="BX258" s="63" t="n"/>
      <c r="BY258" s="76" t="n"/>
      <c r="BZ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72" t="n"/>
      <c r="AC259" s="66" t="n"/>
      <c r="AD259" s="72" t="n"/>
      <c r="AE259" s="63" t="n"/>
      <c r="AF259" s="63" t="n"/>
      <c r="AG259" s="63" t="n"/>
      <c r="AH259" s="63" t="inlineStr">
        <is>
          <t>BOCI Asia Limited</t>
        </is>
      </c>
      <c r="AI259" s="63" t="inlineStr">
        <is>
          <t>BOCI</t>
        </is>
      </c>
      <c r="AJ259" s="73" t="n">
        <v>91.72</v>
      </c>
      <c r="AK259" s="72" t="n">
        <v>46.55</v>
      </c>
      <c r="AL259" s="72" t="n">
        <v>30.82</v>
      </c>
      <c r="AM259" s="72" t="n">
        <v>191.03</v>
      </c>
      <c r="AN259" s="72" t="n">
        <v>200</v>
      </c>
      <c r="AO259" s="72" t="n">
        <v>223.79</v>
      </c>
      <c r="AP259" s="72" t="n">
        <v>51.8</v>
      </c>
      <c r="AQ259" s="72" t="n">
        <v>56.48</v>
      </c>
      <c r="AR259" s="72" t="n">
        <v>68.89</v>
      </c>
      <c r="AS259" s="72" t="n">
        <v>194.22</v>
      </c>
      <c r="AT259" s="72" t="n">
        <v>206.06</v>
      </c>
      <c r="AU259" s="72" t="n">
        <v>233.99</v>
      </c>
      <c r="AV259" s="72" t="n">
        <v>60.96</v>
      </c>
      <c r="AW259" s="72" t="n">
        <v>-6.06</v>
      </c>
      <c r="AX259" s="72" t="n">
        <v>-4.48</v>
      </c>
      <c r="AY259" s="63" t="inlineStr">
        <is>
          <t>HSTECH (Hang Seng TECH ETF)</t>
        </is>
      </c>
      <c r="AZ259" s="72" t="n">
        <v>-64.73999999999999</v>
      </c>
      <c r="BA259" s="64" t="inlineStr">
        <is>
          <t>2026-08-28</t>
        </is>
      </c>
      <c r="BB259" s="65" t="n">
        <v>614.9</v>
      </c>
      <c r="BC259" s="68" t="n">
        <v>27.5</v>
      </c>
      <c r="BD259" s="63" t="inlineStr">
        <is>
          <t>Y</t>
        </is>
      </c>
      <c r="BE259" s="74" t="n">
        <v>69.40000000000001</v>
      </c>
      <c r="BF259" s="74" t="n"/>
      <c r="BG259" s="74" t="n">
        <v>20.5</v>
      </c>
      <c r="BH259" s="74" t="n">
        <v>3.1</v>
      </c>
      <c r="BI259" s="75">
        <f>IF('BBG Verify'!S259="","not filed — run on terminal",'BBG Verify'!S259)</f>
        <v/>
      </c>
      <c r="BJ259" s="76" t="inlineStr">
        <is>
          <t>N</t>
        </is>
      </c>
      <c r="BK259" s="77">
        <f>IF('BBG Verify'!K259="","not filed — run on terminal",'BBG Verify'!K259)</f>
        <v/>
      </c>
      <c r="BL259" s="63" t="inlineStr">
        <is>
          <t>N/A</t>
        </is>
      </c>
      <c r="BM259" s="63" t="inlineStr">
        <is>
          <t>N/A</t>
        </is>
      </c>
      <c r="BN259" s="63" t="inlineStr">
        <is>
          <t>N/A</t>
        </is>
      </c>
      <c r="BO259" s="63" t="inlineStr">
        <is>
          <t>N/A</t>
        </is>
      </c>
      <c r="BP259" s="63" t="inlineStr">
        <is>
          <t>N/A</t>
        </is>
      </c>
      <c r="BQ259" s="63" t="inlineStr">
        <is>
          <t>N/A</t>
        </is>
      </c>
      <c r="BR259" s="76" t="n"/>
      <c r="BS259" s="63" t="inlineStr">
        <is>
          <t>BOCI Asia Limited</t>
        </is>
      </c>
      <c r="BT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U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V259" s="78">
        <f>HYPERLINK("https://www1.hkexnews.hk/listedco/listconews/sehk/2024/0530/2024053000009.pdf","prospectus")</f>
        <v/>
      </c>
      <c r="BW259" s="78">
        <f>HYPERLINK("https://www1.hkexnews.hk/listedco/listconews/sehk/2024/0606/2024060602135.pdf","allotment")</f>
        <v/>
      </c>
      <c r="BX259" s="63" t="n"/>
      <c r="BY259" s="76" t="n"/>
      <c r="BZ259" s="63" t="inlineStr">
        <is>
          <t>greenshoe: end-of-stabilisation notice not located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72" t="n"/>
      <c r="AC260" s="66" t="n"/>
      <c r="AD260" s="72" t="n"/>
      <c r="AE260" s="63" t="n"/>
      <c r="AF260" s="63" t="n"/>
      <c r="AG260" s="63" t="inlineStr">
        <is>
          <t>2024-07-07</t>
        </is>
      </c>
      <c r="AH260" s="63" t="inlineStr">
        <is>
          <t>CLSA Limited</t>
        </is>
      </c>
      <c r="AI260" s="63" t="inlineStr">
        <is>
          <t>CLSA</t>
        </is>
      </c>
      <c r="AJ260" s="73" t="n">
        <v>9.85</v>
      </c>
      <c r="AK260" s="72" t="n">
        <v>2.08</v>
      </c>
      <c r="AL260" s="72" t="n">
        <v>7.61</v>
      </c>
      <c r="AM260" s="72" t="n">
        <v>0.38</v>
      </c>
      <c r="AN260" s="72" t="n">
        <v>9.85</v>
      </c>
      <c r="AO260" s="72" t="n">
        <v>165.91</v>
      </c>
      <c r="AP260" s="72" t="n">
        <v>-8.619999999999999</v>
      </c>
      <c r="AQ260" s="72" t="n">
        <v>0</v>
      </c>
      <c r="AR260" s="72" t="n">
        <v>142.07</v>
      </c>
      <c r="AS260" s="72" t="n">
        <v>-1.16</v>
      </c>
      <c r="AT260" s="72" t="n">
        <v>10.62</v>
      </c>
      <c r="AU260" s="72" t="n">
        <v>172.06</v>
      </c>
      <c r="AV260" s="72" t="n">
        <v>1.58</v>
      </c>
      <c r="AW260" s="72" t="n">
        <v>-0.77</v>
      </c>
      <c r="AX260" s="72" t="n">
        <v>-1.58</v>
      </c>
      <c r="AY260" s="63" t="inlineStr">
        <is>
          <t>HSTECH (Hang Seng TECH ETF)</t>
        </is>
      </c>
      <c r="AZ260" s="72" t="n">
        <v>43.94</v>
      </c>
      <c r="BA260" s="64" t="inlineStr">
        <is>
          <t>2026-08-28</t>
        </is>
      </c>
      <c r="BB260" s="65" t="n">
        <v>191.9</v>
      </c>
      <c r="BC260" s="68" t="n">
        <v>-2105.8</v>
      </c>
      <c r="BD260" s="63" t="inlineStr">
        <is>
          <t>N</t>
        </is>
      </c>
      <c r="BE260" s="63" t="inlineStr">
        <is>
          <t>n/m</t>
        </is>
      </c>
      <c r="BF260" s="74" t="n"/>
      <c r="BG260" s="74" t="n">
        <v>204.3</v>
      </c>
      <c r="BH260" s="74" t="n">
        <v>98.40000000000001</v>
      </c>
      <c r="BI260" s="75">
        <f>IF('BBG Verify'!S260="","not filed — run on terminal",'BBG Verify'!S260)</f>
        <v/>
      </c>
      <c r="BJ260" s="76" t="inlineStr">
        <is>
          <t>N</t>
        </is>
      </c>
      <c r="BK260" s="77">
        <f>IF('BBG Verify'!K260="","not filed — run on terminal",'BBG Verify'!K260)</f>
        <v/>
      </c>
      <c r="BL260" s="63" t="inlineStr">
        <is>
          <t>N/A</t>
        </is>
      </c>
      <c r="BM260" s="63" t="inlineStr">
        <is>
          <t>N/A</t>
        </is>
      </c>
      <c r="BN260" s="63" t="inlineStr">
        <is>
          <t>N/A</t>
        </is>
      </c>
      <c r="BO260" s="63" t="inlineStr">
        <is>
          <t>N/A</t>
        </is>
      </c>
      <c r="BP260" s="63" t="inlineStr">
        <is>
          <t>N/A</t>
        </is>
      </c>
      <c r="BQ260" s="63" t="inlineStr">
        <is>
          <t>N/A</t>
        </is>
      </c>
      <c r="BR260" s="76" t="n"/>
      <c r="BS260" s="63" t="inlineStr">
        <is>
          <t>CITIC Securities (Hong Kong) Limited</t>
        </is>
      </c>
      <c r="BT260" s="63" t="inlineStr">
        <is>
          <t>ABCI Securities Company Limited; BOCI Asia Limited; CCB International Capital Limited; China International Capital Corporation Hong Kong Securities Limited; CLSA Limited; CMB International Capital Limited</t>
        </is>
      </c>
      <c r="BU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V260" s="63" t="n"/>
      <c r="BW260" s="78">
        <f>HYPERLINK("https://www1.hkexnews.hk/listedco/listconews/sehk/2024/0612/2024061201745.pdf","allotment")</f>
        <v/>
      </c>
      <c r="BX260" s="63" t="n"/>
      <c r="BY260" s="76" t="n"/>
      <c r="BZ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72" t="n"/>
      <c r="AC261" s="66" t="n"/>
      <c r="AD261" s="72" t="n"/>
      <c r="AE261" s="63" t="n"/>
      <c r="AF261" s="63" t="inlineStr">
        <is>
          <t>lapsed</t>
        </is>
      </c>
      <c r="AG261" s="63" t="n"/>
      <c r="AH261" s="63" t="n"/>
      <c r="AI261" s="63" t="n"/>
      <c r="AJ261" s="73" t="n">
        <v>-17.39</v>
      </c>
      <c r="AK261" s="72" t="n">
        <v>-5</v>
      </c>
      <c r="AL261" s="72" t="n">
        <v>-13.04</v>
      </c>
      <c r="AM261" s="72" t="n">
        <v>-17.39</v>
      </c>
      <c r="AN261" s="72" t="n">
        <v>-17.39</v>
      </c>
      <c r="AO261" s="72" t="n">
        <v>-21.96</v>
      </c>
      <c r="AP261" s="72" t="n">
        <v>0</v>
      </c>
      <c r="AQ261" s="72" t="n">
        <v>0</v>
      </c>
      <c r="AR261" s="72" t="n">
        <v>-5.53</v>
      </c>
      <c r="AS261" s="72" t="n">
        <v>-16.52</v>
      </c>
      <c r="AT261" s="72" t="n">
        <v>-14.45</v>
      </c>
      <c r="AU261" s="72" t="n">
        <v>-14.98</v>
      </c>
      <c r="AV261" s="72" t="n">
        <v>2.41</v>
      </c>
      <c r="AW261" s="72" t="n">
        <v>-2.94</v>
      </c>
      <c r="AX261" s="72" t="n">
        <v>-2.41</v>
      </c>
      <c r="AY261" s="63" t="inlineStr">
        <is>
          <t>HSTECH (Hang Seng TECH ETF)</t>
        </is>
      </c>
      <c r="AZ261" s="72" t="n">
        <v>-38.04</v>
      </c>
      <c r="BA261" s="64" t="inlineStr">
        <is>
          <t>2026-08-28</t>
        </is>
      </c>
      <c r="BB261" s="65" t="n">
        <v>765.5</v>
      </c>
      <c r="BC261" s="68" t="n">
        <v>15.6</v>
      </c>
      <c r="BD261" s="63" t="inlineStr">
        <is>
          <t>Y</t>
        </is>
      </c>
      <c r="BE261" s="74" t="n">
        <v>135.6</v>
      </c>
      <c r="BF261" s="74" t="n"/>
      <c r="BG261" s="74" t="n">
        <v>103.6</v>
      </c>
      <c r="BH261" s="74" t="n">
        <v>2.8</v>
      </c>
      <c r="BI261" s="75">
        <f>IF('BBG Verify'!S261="","not filed — run on terminal",'BBG Verify'!S261)</f>
        <v/>
      </c>
      <c r="BJ261" s="76" t="inlineStr">
        <is>
          <t>N</t>
        </is>
      </c>
      <c r="BK261" s="77">
        <f>IF('BBG Verify'!K261="","not filed — run on terminal",'BBG Verify'!K261)</f>
        <v/>
      </c>
      <c r="BL261" s="63" t="inlineStr">
        <is>
          <t>N/A</t>
        </is>
      </c>
      <c r="BM261" s="63" t="inlineStr">
        <is>
          <t>N/A</t>
        </is>
      </c>
      <c r="BN261" s="63" t="inlineStr">
        <is>
          <t>N/A</t>
        </is>
      </c>
      <c r="BO261" s="63" t="inlineStr">
        <is>
          <t>N/A</t>
        </is>
      </c>
      <c r="BP261" s="63" t="inlineStr">
        <is>
          <t>N/A</t>
        </is>
      </c>
      <c r="BQ261" s="63" t="inlineStr">
        <is>
          <t>N/A</t>
        </is>
      </c>
      <c r="BR261" s="76" t="n"/>
      <c r="BS261" s="63" t="inlineStr">
        <is>
          <t>SPDB International Capital Limited</t>
        </is>
      </c>
      <c r="BT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U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V261" s="78">
        <f>HYPERLINK("https://www1.hkexnews.hk/listedco/listconews/sehk/2024/0605/2024060500041.pdf","prospectus")</f>
        <v/>
      </c>
      <c r="BW261" s="78">
        <f>HYPERLINK("https://www1.hkexnews.hk/listedco/listconews/sehk/2024/0613/2024061301165.pdf","allotment")</f>
        <v/>
      </c>
      <c r="BX261" s="78">
        <f>HYPERLINK("https://www1.hkexnews.hk/listedco/listconews/sehk/2024/0711/2024071100781.pdf","stabilisation")</f>
        <v/>
      </c>
      <c r="BY261" s="76" t="n"/>
      <c r="BZ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72" t="n">
        <v>71.59999999999999</v>
      </c>
      <c r="AC262" s="66" t="n">
        <v>9.44</v>
      </c>
      <c r="AD262" s="72" t="n">
        <v>-25.62</v>
      </c>
      <c r="AE262" s="63" t="inlineStr">
        <is>
          <t>Y</t>
        </is>
      </c>
      <c r="AF262" s="63" t="inlineStr">
        <is>
          <t>lapsed (no over-allocation)</t>
        </is>
      </c>
      <c r="AG262" s="63" t="n"/>
      <c r="AH262" s="63" t="inlineStr">
        <is>
          <t>BOCOM International Securities Limited DEFINITIONS –2 9</t>
        </is>
      </c>
      <c r="AI262" s="63" t="inlineStr">
        <is>
          <t>BOCOM</t>
        </is>
      </c>
      <c r="AJ262" s="73" t="n">
        <v>27.64</v>
      </c>
      <c r="AK262" s="72" t="n">
        <v>79.64</v>
      </c>
      <c r="AL262" s="72" t="n">
        <v>-28.95</v>
      </c>
      <c r="AM262" s="72" t="n">
        <v>12.73</v>
      </c>
      <c r="AN262" s="72" t="n">
        <v>-13.64</v>
      </c>
      <c r="AO262" s="72" t="n">
        <v>-23.64</v>
      </c>
      <c r="AP262" s="72" t="n">
        <v>-11.68</v>
      </c>
      <c r="AQ262" s="72" t="n">
        <v>-32.34</v>
      </c>
      <c r="AR262" s="72" t="n">
        <v>-40.18</v>
      </c>
      <c r="AS262" s="72" t="n">
        <v>12.27</v>
      </c>
      <c r="AT262" s="72" t="n">
        <v>-13.09</v>
      </c>
      <c r="AU262" s="72" t="n">
        <v>-22.15</v>
      </c>
      <c r="AV262" s="72" t="n">
        <v>-32.14</v>
      </c>
      <c r="AW262" s="72" t="n">
        <v>-0.55</v>
      </c>
      <c r="AX262" s="72" t="n">
        <v>-0.2</v>
      </c>
      <c r="AY262" s="63" t="inlineStr">
        <is>
          <t>Hang Seng Commerce &amp; Industry sub-index</t>
        </is>
      </c>
      <c r="AZ262" s="72" t="n">
        <v>90.36</v>
      </c>
      <c r="BA262" s="64" t="inlineStr">
        <is>
          <t>2026-08-28</t>
        </is>
      </c>
      <c r="BB262" s="65" t="n">
        <v>2944.8</v>
      </c>
      <c r="BC262" s="68" t="n">
        <v>80.2</v>
      </c>
      <c r="BD262" s="63" t="inlineStr">
        <is>
          <t>Y</t>
        </is>
      </c>
      <c r="BE262" s="74" t="n">
        <v>6.4</v>
      </c>
      <c r="BF262" s="74" t="n"/>
      <c r="BG262" s="74" t="n">
        <v>12.8</v>
      </c>
      <c r="BH262" s="74" t="n">
        <v>0.2</v>
      </c>
      <c r="BI262" s="75">
        <f>IF('BBG Verify'!S262="","not filed — run on terminal",'BBG Verify'!S262)</f>
        <v/>
      </c>
      <c r="BJ262" s="76" t="inlineStr">
        <is>
          <t>N</t>
        </is>
      </c>
      <c r="BK262" s="77">
        <f>IF('BBG Verify'!K262="","not filed — run on terminal",'BBG Verify'!K262)</f>
        <v/>
      </c>
      <c r="BL262" s="63" t="inlineStr">
        <is>
          <t>N/A</t>
        </is>
      </c>
      <c r="BM262" s="63" t="inlineStr">
        <is>
          <t>N/A</t>
        </is>
      </c>
      <c r="BN262" s="63" t="inlineStr">
        <is>
          <t>N/A</t>
        </is>
      </c>
      <c r="BO262" s="63" t="inlineStr">
        <is>
          <t>N/A</t>
        </is>
      </c>
      <c r="BP262" s="63" t="inlineStr">
        <is>
          <t>N/A</t>
        </is>
      </c>
      <c r="BQ262" s="63" t="inlineStr">
        <is>
          <t>N/A</t>
        </is>
      </c>
      <c r="BR262" s="76" t="inlineStr">
        <is>
          <t>BOCOM International (Asia) Limited</t>
        </is>
      </c>
      <c r="BS262" s="63" t="inlineStr">
        <is>
          <t>BOCOM International (Asia) Limited</t>
        </is>
      </c>
      <c r="BT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U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V262" s="78">
        <f>HYPERLINK("https://www1.hkexnews.hk/listedco/listconews/sehk/2024/0607/2024060700013.pdf","prospectus")</f>
        <v/>
      </c>
      <c r="BW262" s="78">
        <f>HYPERLINK("https://www1.hkexnews.hk/listedco/listconews/sehk/2024/0617/2024061701156.pdf","allotment")</f>
        <v/>
      </c>
      <c r="BX262" s="78">
        <f>HYPERLINK("https://www1.hkexnews.hk/listedco/listconews/sehk/2024/0715/2024071500250.pdf","stabilisation")</f>
        <v/>
      </c>
      <c r="BY262" s="76" t="n"/>
      <c r="BZ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72" t="n"/>
      <c r="AC263" s="66" t="n"/>
      <c r="AD263" s="72" t="n"/>
      <c r="AE263" s="63" t="n"/>
      <c r="AF263" s="63" t="inlineStr">
        <is>
          <t>lapsed</t>
        </is>
      </c>
      <c r="AG263" s="63" t="inlineStr">
        <is>
          <t>2024-07-25</t>
        </is>
      </c>
      <c r="AH263" s="63" t="inlineStr">
        <is>
          <t>China International Capital Corporation Hong Kong Securities Limited</t>
        </is>
      </c>
      <c r="AI263" s="63" t="inlineStr">
        <is>
          <t>China International</t>
        </is>
      </c>
      <c r="AJ263" s="73" t="n">
        <v>-22.5</v>
      </c>
      <c r="AK263" s="72" t="n">
        <v>-12.83</v>
      </c>
      <c r="AL263" s="72" t="n">
        <v>-11.09</v>
      </c>
      <c r="AM263" s="72" t="n">
        <v>-51.33</v>
      </c>
      <c r="AN263" s="72" t="n">
        <v>-51.17</v>
      </c>
      <c r="AO263" s="72" t="n">
        <v>-54</v>
      </c>
      <c r="AP263" s="72" t="n">
        <v>-37.2</v>
      </c>
      <c r="AQ263" s="72" t="n">
        <v>-36.99</v>
      </c>
      <c r="AR263" s="72" t="n">
        <v>-40.65</v>
      </c>
      <c r="AS263" s="72" t="n">
        <v>-50.65</v>
      </c>
      <c r="AT263" s="72" t="n">
        <v>-46.58</v>
      </c>
      <c r="AU263" s="72" t="n">
        <v>-86.77</v>
      </c>
      <c r="AV263" s="72" t="n">
        <v>-33.22</v>
      </c>
      <c r="AW263" s="72" t="n">
        <v>-4.59</v>
      </c>
      <c r="AX263" s="72" t="n">
        <v>-3.77</v>
      </c>
      <c r="AY263" s="63" t="inlineStr">
        <is>
          <t>HSTECH (Hang Seng TECH ETF)</t>
        </is>
      </c>
      <c r="AZ263" s="72" t="n">
        <v>-84.92</v>
      </c>
      <c r="BA263" s="64" t="inlineStr">
        <is>
          <t>2026-08-28</t>
        </is>
      </c>
      <c r="BB263" s="65" t="n">
        <v>896.6</v>
      </c>
      <c r="BC263" s="68" t="n">
        <v>330.4</v>
      </c>
      <c r="BD263" s="63" t="inlineStr">
        <is>
          <t>Y</t>
        </is>
      </c>
      <c r="BE263" s="74" t="n">
        <v>18.1</v>
      </c>
      <c r="BF263" s="74" t="n"/>
      <c r="BG263" s="74" t="n">
        <v>8.800000000000001</v>
      </c>
      <c r="BH263" s="74" t="n">
        <v>6.7</v>
      </c>
      <c r="BI263" s="75">
        <f>IF('BBG Verify'!S263="","not filed — run on terminal",'BBG Verify'!S263)</f>
        <v/>
      </c>
      <c r="BJ263" s="76" t="inlineStr">
        <is>
          <t>N</t>
        </is>
      </c>
      <c r="BK263" s="77">
        <f>IF('BBG Verify'!K263="","not filed — run on terminal",'BBG Verify'!K263)</f>
        <v/>
      </c>
      <c r="BL263" s="63" t="inlineStr">
        <is>
          <t>N/A</t>
        </is>
      </c>
      <c r="BM263" s="63" t="inlineStr">
        <is>
          <t>N/A</t>
        </is>
      </c>
      <c r="BN263" s="63" t="inlineStr">
        <is>
          <t>N/A</t>
        </is>
      </c>
      <c r="BO263" s="63" t="inlineStr">
        <is>
          <t>N/A</t>
        </is>
      </c>
      <c r="BP263" s="63" t="inlineStr">
        <is>
          <t>N/A</t>
        </is>
      </c>
      <c r="BQ263" s="63" t="inlineStr">
        <is>
          <t>N/A</t>
        </is>
      </c>
      <c r="BR263" s="76" t="inlineStr">
        <is>
          <t>China International Capital Corporation Hong Kong Securities Limited; Haitong International Capital Limited; Nomura International (Hong Kong) Limited</t>
        </is>
      </c>
      <c r="BS263" s="63"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U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V263" s="78">
        <f>HYPERLINK("https://www1.hkexnews.hk/listedco/listconews/sehk/2024/0620/2024062000015.pdf","prospectus")</f>
        <v/>
      </c>
      <c r="BW263" s="78">
        <f>HYPERLINK("https://www1.hkexnews.hk/listedco/listconews/sehk/2024/0627/2024062701882.pdf","allotment")</f>
        <v/>
      </c>
      <c r="BX263" s="78">
        <f>HYPERLINK("https://www1.hkexnews.hk/listedco/listconews/sehk/2024/0725/2024072501042.pdf","stabilisation")</f>
        <v/>
      </c>
      <c r="BY263" s="76" t="n"/>
      <c r="BZ263" s="63" t="inlineStr">
        <is>
          <t>range low: cap-only pricing — the filing publishes a Maximum Offer Price and no indicative floor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72" t="n">
        <v>32.6</v>
      </c>
      <c r="AC264" s="66" t="n">
        <v>110.5</v>
      </c>
      <c r="AD264" s="72" t="n">
        <v>-45.57</v>
      </c>
      <c r="AE264" s="63" t="inlineStr">
        <is>
          <t>N</t>
        </is>
      </c>
      <c r="AF264" s="63" t="n"/>
      <c r="AG264" s="63" t="n"/>
      <c r="AH264" s="63" t="n"/>
      <c r="AI264" s="63" t="n"/>
      <c r="AJ264" s="73" t="n">
        <v>-27.82</v>
      </c>
      <c r="AK264" s="72" t="n">
        <v>35.61</v>
      </c>
      <c r="AL264" s="72" t="n">
        <v>-46.77</v>
      </c>
      <c r="AM264" s="72" t="n">
        <v>-22</v>
      </c>
      <c r="AN264" s="72" t="n">
        <v>-12.4</v>
      </c>
      <c r="AO264" s="72" t="n">
        <v>-23.14</v>
      </c>
      <c r="AP264" s="72" t="n">
        <v>8.06</v>
      </c>
      <c r="AQ264" s="72" t="n">
        <v>21.36</v>
      </c>
      <c r="AR264" s="72" t="n">
        <v>6.48</v>
      </c>
      <c r="AS264" s="72" t="n">
        <v>-21.32</v>
      </c>
      <c r="AT264" s="72" t="n">
        <v>-7.81</v>
      </c>
      <c r="AU264" s="72" t="n">
        <v>-55.91</v>
      </c>
      <c r="AV264" s="72" t="n">
        <v>25.13</v>
      </c>
      <c r="AW264" s="72" t="n">
        <v>-4.59</v>
      </c>
      <c r="AX264" s="72" t="n">
        <v>-3.77</v>
      </c>
      <c r="AY264" s="63" t="inlineStr">
        <is>
          <t>HSTECH (Hang Seng TECH ETF)</t>
        </is>
      </c>
      <c r="AZ264" s="72" t="n">
        <v>-22</v>
      </c>
      <c r="BA264" s="64" t="inlineStr">
        <is>
          <t>2026-08-28</t>
        </is>
      </c>
      <c r="BB264" s="65" t="n">
        <v>485.2</v>
      </c>
      <c r="BC264" s="68" t="n">
        <v>38.6</v>
      </c>
      <c r="BD264" s="63" t="inlineStr">
        <is>
          <t>Y</t>
        </is>
      </c>
      <c r="BE264" s="74" t="n">
        <v>108.2</v>
      </c>
      <c r="BF264" s="74" t="n">
        <v>72.7</v>
      </c>
      <c r="BG264" s="74" t="n">
        <v>72.5</v>
      </c>
      <c r="BH264" s="74" t="n">
        <v>8.6</v>
      </c>
      <c r="BI264" s="75">
        <f>IF('BBG Verify'!S264="","not filed — run on terminal",'BBG Verify'!S264)</f>
        <v/>
      </c>
      <c r="BJ264" s="76" t="inlineStr">
        <is>
          <t>N</t>
        </is>
      </c>
      <c r="BK264" s="77">
        <f>IF('BBG Verify'!K264="","not filed — run on terminal",'BBG Verify'!K264)</f>
        <v/>
      </c>
      <c r="BL264" s="63" t="inlineStr">
        <is>
          <t>N/A</t>
        </is>
      </c>
      <c r="BM264" s="63" t="inlineStr">
        <is>
          <t>N/A</t>
        </is>
      </c>
      <c r="BN264" s="63" t="inlineStr">
        <is>
          <t>N/A</t>
        </is>
      </c>
      <c r="BO264" s="63" t="inlineStr">
        <is>
          <t>N/A</t>
        </is>
      </c>
      <c r="BP264" s="63" t="inlineStr">
        <is>
          <t>N/A</t>
        </is>
      </c>
      <c r="BQ264" s="63" t="inlineStr">
        <is>
          <t>N/A</t>
        </is>
      </c>
      <c r="BR264" s="76" t="inlineStr">
        <is>
          <t>CITIC Securities (Hong Kong) Limited</t>
        </is>
      </c>
      <c r="BS264" s="63" t="inlineStr">
        <is>
          <t>CITIC Securities (Hong Kong) Limited</t>
        </is>
      </c>
      <c r="BT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U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V264" s="78">
        <f>HYPERLINK("https://www1.hkexnews.hk/listedco/listconews/sehk/2024/0620/2024062000191.pdf","prospectus")</f>
        <v/>
      </c>
      <c r="BW264" s="78">
        <f>HYPERLINK("https://www1.hkexnews.hk/listedco/listconews/sehk/2024/0627/2024062702312.pdf","allotment")</f>
        <v/>
      </c>
      <c r="BX264" s="63" t="n"/>
      <c r="BY264" s="76" t="n"/>
      <c r="BZ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72" t="n"/>
      <c r="AC265" s="66" t="n"/>
      <c r="AD265" s="72" t="n"/>
      <c r="AE265" s="63" t="n"/>
      <c r="AF265" s="63" t="inlineStr">
        <is>
          <t>full</t>
        </is>
      </c>
      <c r="AG265" s="63" t="inlineStr">
        <is>
          <t>2024-07-25</t>
        </is>
      </c>
      <c r="AH265" s="63" t="inlineStr">
        <is>
          <t>China Securities</t>
        </is>
      </c>
      <c r="AI265" s="63" t="inlineStr">
        <is>
          <t>China Securities</t>
        </is>
      </c>
      <c r="AJ265" s="73" t="n">
        <v>72.84</v>
      </c>
      <c r="AK265" s="72" t="n">
        <v>59.26</v>
      </c>
      <c r="AL265" s="72" t="n">
        <v>8.529999999999999</v>
      </c>
      <c r="AM265" s="72" t="n">
        <v>110.37</v>
      </c>
      <c r="AN265" s="72" t="n">
        <v>104.94</v>
      </c>
      <c r="AO265" s="72" t="n">
        <v>262.96</v>
      </c>
      <c r="AP265" s="72" t="n">
        <v>21.71</v>
      </c>
      <c r="AQ265" s="72" t="n">
        <v>18.57</v>
      </c>
      <c r="AR265" s="72" t="n">
        <v>110</v>
      </c>
      <c r="AS265" s="72" t="n">
        <v>109.67</v>
      </c>
      <c r="AT265" s="72" t="n">
        <v>109.15</v>
      </c>
      <c r="AU265" s="72" t="n">
        <v>239.17</v>
      </c>
      <c r="AV265" s="72" t="n">
        <v>22.62</v>
      </c>
      <c r="AW265" s="72" t="n">
        <v>-4.21</v>
      </c>
      <c r="AX265" s="72" t="n">
        <v>-4.05</v>
      </c>
      <c r="AY265" s="63" t="inlineStr">
        <is>
          <t>Hang Seng Commerce &amp; Industry sub-index</t>
        </is>
      </c>
      <c r="AZ265" s="72" t="n">
        <v>911.36</v>
      </c>
      <c r="BA265" s="64" t="inlineStr">
        <is>
          <t>2026-08-28</t>
        </is>
      </c>
      <c r="BB265" s="65" t="n">
        <v>3497.5</v>
      </c>
      <c r="BC265" s="68" t="n">
        <v>125.3</v>
      </c>
      <c r="BD265" s="63" t="inlineStr">
        <is>
          <t>Y</t>
        </is>
      </c>
      <c r="BE265" s="74" t="n">
        <v>53.3</v>
      </c>
      <c r="BF265" s="74" t="n"/>
      <c r="BG265" s="74" t="n">
        <v>10.6</v>
      </c>
      <c r="BH265" s="74" t="n">
        <v>1.9</v>
      </c>
      <c r="BI265" s="75">
        <f>IF('BBG Verify'!S265="","not filed — run on terminal",'BBG Verify'!S265)</f>
        <v/>
      </c>
      <c r="BJ265" s="76" t="inlineStr">
        <is>
          <t>N</t>
        </is>
      </c>
      <c r="BK265" s="77">
        <f>IF('BBG Verify'!K265="","not filed — run on terminal",'BBG Verify'!K265)</f>
        <v/>
      </c>
      <c r="BL265" s="63" t="inlineStr">
        <is>
          <t>N/A</t>
        </is>
      </c>
      <c r="BM265" s="63" t="inlineStr">
        <is>
          <t>N/A</t>
        </is>
      </c>
      <c r="BN265" s="63" t="inlineStr">
        <is>
          <t>N/A</t>
        </is>
      </c>
      <c r="BO265" s="63" t="inlineStr">
        <is>
          <t>N/A</t>
        </is>
      </c>
      <c r="BP265" s="63" t="inlineStr">
        <is>
          <t>N/A</t>
        </is>
      </c>
      <c r="BQ265" s="63" t="inlineStr">
        <is>
          <t>N/A</t>
        </is>
      </c>
      <c r="BR265" s="76" t="inlineStr">
        <is>
          <t>China Securities (International) Corporate Finance Company Limited</t>
        </is>
      </c>
      <c r="BS265" s="63" t="inlineStr">
        <is>
          <t>China Securities (International) Corporate Finance Company Limited</t>
        </is>
      </c>
      <c r="BT265" s="63" t="inlineStr">
        <is>
          <t>China Securities (International) Corporate Finance Company Limited; CCB International Capital Limited; BOCOM International Securities Limited</t>
        </is>
      </c>
      <c r="BU265" s="63" t="inlineStr">
        <is>
          <t>BOCOM International Securities Limited; CCB International Capital Limited; China Securities (International) Corporate Finance Company Limited; Tiger Brokers (HK) Global Limited</t>
        </is>
      </c>
      <c r="BV265" s="78">
        <f>HYPERLINK("https://www1.hkexnews.hk/listedco/listconews/sehk/2024/0620/2024062000017.pdf","prospectus")</f>
        <v/>
      </c>
      <c r="BW265" s="78">
        <f>HYPERLINK("https://www1.hkexnews.hk/listedco/listconews/sehk/2024/0627/2024062702334.pdf","allotment")</f>
        <v/>
      </c>
      <c r="BX265" s="78">
        <f>HYPERLINK("https://www1.hkexnews.hk/listedco/listconews/sehk/2024/0725/2024072501435.pdf","stabilisation")</f>
        <v/>
      </c>
      <c r="BY265" s="76" t="n"/>
      <c r="BZ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no grey-market headline on file for this deal — AAStocks publishes one per listing but keeps only recent items on the stock's news page, and no public archive of past evening sessions exists; captured from this run onward</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72" t="n">
        <v>-38.4</v>
      </c>
      <c r="AC266" s="66" t="n">
        <v>0.77</v>
      </c>
      <c r="AD266" s="72" t="n">
        <v>-12.99</v>
      </c>
      <c r="AE266" s="63" t="inlineStr">
        <is>
          <t>Y</t>
        </is>
      </c>
      <c r="AF266" s="63" t="inlineStr">
        <is>
          <t>lapsed (no over-allocation)</t>
        </is>
      </c>
      <c r="AG266" s="63" t="inlineStr">
        <is>
          <t>2024-07-27</t>
        </is>
      </c>
      <c r="AH266" s="63" t="inlineStr">
        <is>
          <t>Zhongtai Internati onal Securities Limited</t>
        </is>
      </c>
      <c r="AI266" s="63" t="inlineStr">
        <is>
          <t>Zhongtai Internati</t>
        </is>
      </c>
      <c r="AJ266" s="73" t="n">
        <v>-46.4</v>
      </c>
      <c r="AK266" s="72" t="n">
        <v>-39.2</v>
      </c>
      <c r="AL266" s="72" t="n">
        <v>-11.84</v>
      </c>
      <c r="AM266" s="72" t="n">
        <v>-63.6</v>
      </c>
      <c r="AN266" s="72" t="n">
        <v>-65.59999999999999</v>
      </c>
      <c r="AO266" s="72" t="n">
        <v>-68.40000000000001</v>
      </c>
      <c r="AP266" s="72" t="n">
        <v>-32.09</v>
      </c>
      <c r="AQ266" s="72" t="n">
        <v>-35.82</v>
      </c>
      <c r="AR266" s="72" t="n">
        <v>-41.04</v>
      </c>
      <c r="AS266" s="72" t="n">
        <v>-61.93</v>
      </c>
      <c r="AT266" s="72" t="n">
        <v>-62.99</v>
      </c>
      <c r="AU266" s="72" t="n">
        <v>-92.84999999999999</v>
      </c>
      <c r="AV266" s="72" t="n">
        <v>-32.07</v>
      </c>
      <c r="AW266" s="72" t="n">
        <v>-2.61</v>
      </c>
      <c r="AX266" s="72" t="n">
        <v>-3.75</v>
      </c>
      <c r="AY266" s="63" t="inlineStr">
        <is>
          <t>Hang Seng Index</t>
        </is>
      </c>
      <c r="AZ266" s="72" t="n">
        <v>-65.59999999999999</v>
      </c>
      <c r="BA266" s="64" t="inlineStr">
        <is>
          <t>2026-08-28</t>
        </is>
      </c>
      <c r="BB266" s="65" t="n">
        <v>454.4</v>
      </c>
      <c r="BC266" s="68" t="n">
        <v>75.5</v>
      </c>
      <c r="BD266" s="63" t="inlineStr">
        <is>
          <t>Y</t>
        </is>
      </c>
      <c r="BE266" s="74" t="n">
        <v>10.6</v>
      </c>
      <c r="BF266" s="74" t="n"/>
      <c r="BG266" s="74" t="n">
        <v>23.7</v>
      </c>
      <c r="BH266" s="74" t="n">
        <v>1.8</v>
      </c>
      <c r="BI266" s="75">
        <f>IF('BBG Verify'!S266="","not filed — run on terminal",'BBG Verify'!S266)</f>
        <v/>
      </c>
      <c r="BJ266" s="76" t="inlineStr">
        <is>
          <t>N</t>
        </is>
      </c>
      <c r="BK266" s="77">
        <f>IF('BBG Verify'!K266="","not filed — run on terminal",'BBG Verify'!K266)</f>
        <v/>
      </c>
      <c r="BL266" s="63" t="inlineStr">
        <is>
          <t>N/A</t>
        </is>
      </c>
      <c r="BM266" s="63" t="inlineStr">
        <is>
          <t>N/A</t>
        </is>
      </c>
      <c r="BN266" s="63" t="inlineStr">
        <is>
          <t>N/A</t>
        </is>
      </c>
      <c r="BO266" s="63" t="inlineStr">
        <is>
          <t>N/A</t>
        </is>
      </c>
      <c r="BP266" s="63" t="inlineStr">
        <is>
          <t>N/A</t>
        </is>
      </c>
      <c r="BQ266" s="63" t="inlineStr">
        <is>
          <t>N/A</t>
        </is>
      </c>
      <c r="BR266" s="76" t="inlineStr">
        <is>
          <t>Zhongtai International Capital Limited</t>
        </is>
      </c>
      <c r="BS266" s="63" t="inlineStr">
        <is>
          <t>Zhongtai International Capital Limited</t>
        </is>
      </c>
      <c r="BT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U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V266" s="78">
        <f>HYPERLINK("https://www1.hkexnews.hk/listedco/listconews/sehk/2024/0621/2024062100099.pdf","prospectus")</f>
        <v/>
      </c>
      <c r="BW266" s="78">
        <f>HYPERLINK("https://www1.hkexnews.hk/listedco/listconews/sehk/2024/0702/2024070203581.pdf","allotment")</f>
        <v/>
      </c>
      <c r="BX266" s="78">
        <f>HYPERLINK("https://www1.hkexnews.hk/listedco/listconews/sehk/2024/0729/2024072900518.pdf","stabilisation")</f>
        <v/>
      </c>
      <c r="BY266" s="76" t="n"/>
      <c r="BZ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72" t="n">
        <v>0.3</v>
      </c>
      <c r="AC267" s="66" t="n">
        <v>7.52</v>
      </c>
      <c r="AD267" s="72" t="n">
        <v>-11.73</v>
      </c>
      <c r="AE267" s="63" t="inlineStr">
        <is>
          <t>N</t>
        </is>
      </c>
      <c r="AF267" s="63" t="inlineStr">
        <is>
          <t>lapsed (no over-allocation)</t>
        </is>
      </c>
      <c r="AG267" s="63" t="n"/>
      <c r="AH267" s="63" t="inlineStr">
        <is>
          <t>CEB International Capital Corporation Limited</t>
        </is>
      </c>
      <c r="AI267" s="63" t="inlineStr">
        <is>
          <t>CEB</t>
        </is>
      </c>
      <c r="AJ267" s="73" t="n">
        <v>-11.47</v>
      </c>
      <c r="AK267" s="72" t="n">
        <v>2</v>
      </c>
      <c r="AL267" s="72" t="n">
        <v>-13.21</v>
      </c>
      <c r="AM267" s="72" t="n">
        <v>-24</v>
      </c>
      <c r="AN267" s="72" t="n">
        <v>26.13</v>
      </c>
      <c r="AO267" s="72" t="n">
        <v>168</v>
      </c>
      <c r="AP267" s="72" t="n">
        <v>-14.15</v>
      </c>
      <c r="AQ267" s="72" t="n">
        <v>42.47</v>
      </c>
      <c r="AR267" s="72" t="n">
        <v>202.72</v>
      </c>
      <c r="AS267" s="72" t="n">
        <v>-21.92</v>
      </c>
      <c r="AT267" s="72" t="n">
        <v>28.97</v>
      </c>
      <c r="AU267" s="72" t="n">
        <v>140.96</v>
      </c>
      <c r="AV267" s="72" t="n">
        <v>47.19</v>
      </c>
      <c r="AW267" s="72" t="n">
        <v>-2.84</v>
      </c>
      <c r="AX267" s="72" t="n">
        <v>-4.72</v>
      </c>
      <c r="AY267" s="63" t="inlineStr">
        <is>
          <t>Hang Seng Properties sub-index</t>
        </is>
      </c>
      <c r="AZ267" s="72" t="n">
        <v>-61.27</v>
      </c>
      <c r="BA267" s="64" t="inlineStr">
        <is>
          <t>2026-08-28</t>
        </is>
      </c>
      <c r="BB267" s="65" t="n">
        <v>948.5</v>
      </c>
      <c r="BC267" s="68" t="n">
        <v>56.1</v>
      </c>
      <c r="BD267" s="63" t="inlineStr">
        <is>
          <t>Y</t>
        </is>
      </c>
      <c r="BE267" s="74" t="n">
        <v>8.9</v>
      </c>
      <c r="BF267" s="74" t="n"/>
      <c r="BG267" s="74" t="n">
        <v>1.8</v>
      </c>
      <c r="BH267" s="74" t="n">
        <v>0.5</v>
      </c>
      <c r="BI267" s="75">
        <f>IF('BBG Verify'!S267="","not filed — run on terminal",'BBG Verify'!S267)</f>
        <v/>
      </c>
      <c r="BJ267" s="76" t="inlineStr">
        <is>
          <t>N</t>
        </is>
      </c>
      <c r="BK267" s="77">
        <f>IF('BBG Verify'!K267="","not filed — run on terminal",'BBG Verify'!K267)</f>
        <v/>
      </c>
      <c r="BL267" s="63" t="inlineStr">
        <is>
          <t>N/A</t>
        </is>
      </c>
      <c r="BM267" s="63" t="inlineStr">
        <is>
          <t>N/A</t>
        </is>
      </c>
      <c r="BN267" s="63" t="inlineStr">
        <is>
          <t>N/A</t>
        </is>
      </c>
      <c r="BO267" s="63" t="inlineStr">
        <is>
          <t>N/A</t>
        </is>
      </c>
      <c r="BP267" s="63" t="inlineStr">
        <is>
          <t>N/A</t>
        </is>
      </c>
      <c r="BQ267" s="63" t="inlineStr">
        <is>
          <t>N/A</t>
        </is>
      </c>
      <c r="BR267" s="76" t="inlineStr">
        <is>
          <t>CEB International Capital Corporation Limited</t>
        </is>
      </c>
      <c r="BS267" s="63" t="inlineStr">
        <is>
          <t>CEB International Capital Corporation Limited</t>
        </is>
      </c>
      <c r="BT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U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V267" s="78">
        <f>HYPERLINK("https://www1.hkexnews.hk/listedco/listconews/sehk/2024/0624/2024062400007.pdf","prospectus")</f>
        <v/>
      </c>
      <c r="BW267" s="78">
        <f>HYPERLINK("https://www1.hkexnews.hk/listedco/listconews/sehk/2024/0702/2024070203671.pdf","allotment")</f>
        <v/>
      </c>
      <c r="BX267" s="78">
        <f>HYPERLINK("https://www1.hkexnews.hk/listedco/listconews/sehk/2024/0729/2024072900434.pdf","stabilisation")</f>
        <v/>
      </c>
      <c r="BY267" s="76" t="n"/>
      <c r="BZ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72" t="n"/>
      <c r="AC268" s="66" t="n"/>
      <c r="AD268" s="72" t="n"/>
      <c r="AE268" s="63" t="n"/>
      <c r="AF268" s="63" t="inlineStr">
        <is>
          <t>lapsed</t>
        </is>
      </c>
      <c r="AG268" s="63" t="n"/>
      <c r="AH268" s="63" t="inlineStr">
        <is>
          <t>Haitong International Securities Company Limited DEFINITIONS –3 4</t>
        </is>
      </c>
      <c r="AI268" s="63" t="inlineStr">
        <is>
          <t>Haitong</t>
        </is>
      </c>
      <c r="AJ268" s="73" t="n">
        <v>8.06</v>
      </c>
      <c r="AK268" s="72" t="n">
        <v>-11.11</v>
      </c>
      <c r="AL268" s="72" t="n">
        <v>21.57</v>
      </c>
      <c r="AM268" s="72" t="n">
        <v>-4.86</v>
      </c>
      <c r="AN268" s="72" t="n">
        <v>-5.56</v>
      </c>
      <c r="AO268" s="72" t="n">
        <v>-1.94</v>
      </c>
      <c r="AP268" s="72" t="n">
        <v>-11.96</v>
      </c>
      <c r="AQ268" s="72" t="n">
        <v>-12.6</v>
      </c>
      <c r="AR268" s="72" t="n">
        <v>-9.25</v>
      </c>
      <c r="AS268" s="72" t="n">
        <v>-6.52</v>
      </c>
      <c r="AT268" s="72" t="n">
        <v>-0.42</v>
      </c>
      <c r="AU268" s="72" t="n">
        <v>-31.51</v>
      </c>
      <c r="AV268" s="72" t="n">
        <v>-6.76</v>
      </c>
      <c r="AW268" s="72" t="n">
        <v>-5.14</v>
      </c>
      <c r="AX268" s="72" t="n">
        <v>-5.84</v>
      </c>
      <c r="AY268" s="63" t="inlineStr">
        <is>
          <t>HSTECH (Hang Seng TECH ETF)</t>
        </is>
      </c>
      <c r="AZ268" s="72" t="n">
        <v>-56.39</v>
      </c>
      <c r="BA268" s="64" t="inlineStr">
        <is>
          <t>2026-08-28</t>
        </is>
      </c>
      <c r="BB268" s="65" t="n">
        <v>784.3</v>
      </c>
      <c r="BC268" s="68" t="n">
        <v>-395.2</v>
      </c>
      <c r="BD268" s="63" t="inlineStr">
        <is>
          <t>N</t>
        </is>
      </c>
      <c r="BE268" s="63" t="inlineStr">
        <is>
          <t>n/m</t>
        </is>
      </c>
      <c r="BF268" s="74" t="n"/>
      <c r="BG268" s="74" t="n"/>
      <c r="BH268" s="74" t="n">
        <v>10.4</v>
      </c>
      <c r="BI268" s="75">
        <f>IF('BBG Verify'!S268="","not filed — run on terminal",'BBG Verify'!S268)</f>
        <v/>
      </c>
      <c r="BJ268" s="76" t="inlineStr">
        <is>
          <t>N</t>
        </is>
      </c>
      <c r="BK268" s="77">
        <f>IF('BBG Verify'!K268="","not filed — run on terminal",'BBG Verify'!K268)</f>
        <v/>
      </c>
      <c r="BL268" s="63" t="inlineStr">
        <is>
          <t>N/A</t>
        </is>
      </c>
      <c r="BM268" s="63" t="inlineStr">
        <is>
          <t>N/A</t>
        </is>
      </c>
      <c r="BN268" s="63" t="inlineStr">
        <is>
          <t>N/A</t>
        </is>
      </c>
      <c r="BO268" s="63" t="inlineStr">
        <is>
          <t>N/A</t>
        </is>
      </c>
      <c r="BP268" s="63" t="inlineStr">
        <is>
          <t>N/A</t>
        </is>
      </c>
      <c r="BQ268" s="63" t="inlineStr">
        <is>
          <t>N/A</t>
        </is>
      </c>
      <c r="BR268" s="76" t="inlineStr">
        <is>
          <t>Haitong International Capital Limited; Sponsor-OC Haitong International Securities Company Limited</t>
        </is>
      </c>
      <c r="BS268" s="63" t="inlineStr">
        <is>
          <t>Haitong International Capital Limited</t>
        </is>
      </c>
      <c r="BT268" s="63" t="inlineStr">
        <is>
          <t>and Capital Markets Intermediaries Huatai Financial Holdings (Hong Kong) Limited; BOCI Asia Limited; Shenwan Hongyuan Securities (H.K.) Limited</t>
        </is>
      </c>
      <c r="BU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V268" s="78">
        <f>HYPERLINK("https://www1.hkexnews.hk/listedco/listconews/sehk/2024/0628/2024062800069.pdf","prospectus")</f>
        <v/>
      </c>
      <c r="BW268" s="78">
        <f>HYPERLINK("https://www1.hkexnews.hk/listedco/listconews/sehk/2024/0708/2024070801055.pdf","allotment")</f>
        <v/>
      </c>
      <c r="BX268" s="78">
        <f>HYPERLINK("https://www1.hkexnews.hk/listedco/listconews/sehk/2024/0804/2024080400007.pdf","stabilisation")</f>
        <v/>
      </c>
      <c r="BY268" s="76" t="n"/>
      <c r="BZ268" s="63" t="inlineStr">
        <is>
          <t>P/E: n/m — loss-making at IPO (use P/S) · greenshoe: over-allotment outcome already published, and the allotment announcement does not state the stabilisation expiry in a parsable form — the expiry no longer matters once resolved · A/H: no A-share listing · grey market: no grey-market headline on file for this deal — AAStocks publishes one per listing but keeps only recent items on the stock's news page, and no public archive of past evening sessions exists; captured from this run onward</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72" t="n"/>
      <c r="AC269" s="66" t="n"/>
      <c r="AD269" s="72" t="n"/>
      <c r="AE269" s="63" t="n"/>
      <c r="AF269" s="63" t="inlineStr">
        <is>
          <t>lapsed</t>
        </is>
      </c>
      <c r="AG269" s="63" t="inlineStr">
        <is>
          <t>2024-08-03</t>
        </is>
      </c>
      <c r="AH269" s="63" t="inlineStr">
        <is>
          <t>Citigroup Global Markets Asia Limited</t>
        </is>
      </c>
      <c r="AI269" s="63" t="inlineStr">
        <is>
          <t>Citigroup</t>
        </is>
      </c>
      <c r="AJ269" s="73" t="n">
        <v>-44.62</v>
      </c>
      <c r="AK269" s="72" t="n">
        <v>-42.79</v>
      </c>
      <c r="AL269" s="72" t="n">
        <v>-3.2</v>
      </c>
      <c r="AM269" s="72" t="n">
        <v>-43.77</v>
      </c>
      <c r="AN269" s="72" t="n">
        <v>-47.8</v>
      </c>
      <c r="AO269" s="72" t="n">
        <v>-15.53</v>
      </c>
      <c r="AP269" s="72" t="n">
        <v>1.53</v>
      </c>
      <c r="AQ269" s="72" t="n">
        <v>-5.74</v>
      </c>
      <c r="AR269" s="72" t="n">
        <v>52.53</v>
      </c>
      <c r="AS269" s="72" t="n">
        <v>-47.83</v>
      </c>
      <c r="AT269" s="72" t="n">
        <v>-52.4</v>
      </c>
      <c r="AU269" s="72" t="n">
        <v>-40.95</v>
      </c>
      <c r="AV269" s="72" t="n">
        <v>-10.17</v>
      </c>
      <c r="AW269" s="72" t="n">
        <v>4.6</v>
      </c>
      <c r="AX269" s="72" t="n">
        <v>4.43</v>
      </c>
      <c r="AY269" s="63" t="inlineStr">
        <is>
          <t>China Biotech ETF (HS biotech proxy)</t>
        </is>
      </c>
      <c r="AZ269" s="72" t="n">
        <v>-91.56</v>
      </c>
      <c r="BA269" s="64" t="inlineStr">
        <is>
          <t>2026-08-28</t>
        </is>
      </c>
      <c r="BB269" s="65" t="n">
        <v>2677.7</v>
      </c>
      <c r="BC269" s="68" t="n">
        <v>-216.5</v>
      </c>
      <c r="BD269" s="63" t="inlineStr">
        <is>
          <t>N</t>
        </is>
      </c>
      <c r="BE269" s="63" t="inlineStr">
        <is>
          <t>n/m</t>
        </is>
      </c>
      <c r="BF269" s="74" t="n"/>
      <c r="BG269" s="74" t="n">
        <v>61.9</v>
      </c>
      <c r="BH269" s="74" t="n">
        <v>4.1</v>
      </c>
      <c r="BI269" s="75">
        <f>IF('BBG Verify'!S269="","not filed — run on terminal",'BBG Verify'!S269)</f>
        <v/>
      </c>
      <c r="BJ269" s="76" t="inlineStr">
        <is>
          <t>N</t>
        </is>
      </c>
      <c r="BK269" s="77">
        <f>IF('BBG Verify'!K269="","not filed — run on terminal",'BBG Verify'!K269)</f>
        <v/>
      </c>
      <c r="BL269" s="63" t="inlineStr">
        <is>
          <t>N/A</t>
        </is>
      </c>
      <c r="BM269" s="63" t="inlineStr">
        <is>
          <t>N/A</t>
        </is>
      </c>
      <c r="BN269" s="63" t="inlineStr">
        <is>
          <t>N/A</t>
        </is>
      </c>
      <c r="BO269" s="63" t="inlineStr">
        <is>
          <t>N/A</t>
        </is>
      </c>
      <c r="BP269" s="63" t="inlineStr">
        <is>
          <t>N/A</t>
        </is>
      </c>
      <c r="BQ269" s="63" t="inlineStr">
        <is>
          <t>N/A</t>
        </is>
      </c>
      <c r="BR269" s="76" t="inlineStr">
        <is>
          <t>Citigroup Global Markets Asia Limited; ABCI Capital Limited</t>
        </is>
      </c>
      <c r="BS269" s="63" t="inlineStr">
        <is>
          <t>Citigroup Global Markets Asia Limited; ABCI Capital Limited</t>
        </is>
      </c>
      <c r="BT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U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V269" s="78">
        <f>HYPERLINK("https://www1.hkexnews.hk/listedco/listconews/sehk/2024/0628/2024062800041.pdf","prospectus")</f>
        <v/>
      </c>
      <c r="BW269" s="78">
        <f>HYPERLINK("https://www1.hkexnews.hk/listedco/listconews/sehk/2024/0708/2024070801101.pdf","allotment")</f>
        <v/>
      </c>
      <c r="BX269" s="78">
        <f>HYPERLINK("https://www1.hkexnews.hk/listedco/listconews/sehk/2024/0805/2024080500039.pdf","stabilisation")</f>
        <v/>
      </c>
      <c r="BY269" s="76" t="n"/>
      <c r="BZ269" s="63" t="inlineStr">
        <is>
          <t>P/E: n/m — loss-making at IPO (use P/S) · 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72" t="n"/>
      <c r="AC270" s="66" t="n"/>
      <c r="AD270" s="72" t="n"/>
      <c r="AE270" s="63" t="n"/>
      <c r="AF270" s="63" t="inlineStr">
        <is>
          <t>lapsed (no over-allocation)</t>
        </is>
      </c>
      <c r="AG270" s="63" t="n"/>
      <c r="AH270" s="63" t="n"/>
      <c r="AI270" s="63" t="n"/>
      <c r="AJ270" s="73" t="n">
        <v>14.29</v>
      </c>
      <c r="AK270" s="72" t="n">
        <v>23.81</v>
      </c>
      <c r="AL270" s="72" t="n">
        <v>-7.69</v>
      </c>
      <c r="AM270" s="72" t="n">
        <v>9.52</v>
      </c>
      <c r="AN270" s="72" t="n">
        <v>-19.05</v>
      </c>
      <c r="AO270" s="72" t="n">
        <v>-15.24</v>
      </c>
      <c r="AP270" s="72" t="n">
        <v>-4.17</v>
      </c>
      <c r="AQ270" s="72" t="n">
        <v>-29.17</v>
      </c>
      <c r="AR270" s="72" t="n">
        <v>-25.84</v>
      </c>
      <c r="AS270" s="72" t="n">
        <v>8.960000000000001</v>
      </c>
      <c r="AT270" s="72" t="n">
        <v>-13.89</v>
      </c>
      <c r="AU270" s="72" t="n">
        <v>-39.95</v>
      </c>
      <c r="AV270" s="72" t="n">
        <v>-24.65</v>
      </c>
      <c r="AW270" s="72" t="n">
        <v>-5.16</v>
      </c>
      <c r="AX270" s="72" t="n">
        <v>-4.52</v>
      </c>
      <c r="AY270" s="63" t="inlineStr">
        <is>
          <t>Hang Seng Commerce &amp; Industry sub-index</t>
        </is>
      </c>
      <c r="AZ270" s="72" t="n">
        <v>0.95</v>
      </c>
      <c r="BA270" s="64" t="inlineStr">
        <is>
          <t>2026-08-28</t>
        </is>
      </c>
      <c r="BB270" s="65" t="n">
        <v>598.5</v>
      </c>
      <c r="BC270" s="68" t="n">
        <v>60.7</v>
      </c>
      <c r="BD270" s="63" t="inlineStr">
        <is>
          <t>Y</t>
        </is>
      </c>
      <c r="BE270" s="74" t="n">
        <v>10.8</v>
      </c>
      <c r="BF270" s="74" t="n"/>
      <c r="BG270" s="74" t="n">
        <v>99.3</v>
      </c>
      <c r="BH270" s="74" t="n">
        <v>1.1</v>
      </c>
      <c r="BI270" s="75">
        <f>IF('BBG Verify'!S270="","not filed — run on terminal",'BBG Verify'!S270)</f>
        <v/>
      </c>
      <c r="BJ270" s="76" t="inlineStr">
        <is>
          <t>N</t>
        </is>
      </c>
      <c r="BK270" s="77">
        <f>IF('BBG Verify'!K270="","not filed — run on terminal",'BBG Verify'!K270)</f>
        <v/>
      </c>
      <c r="BL270" s="63" t="inlineStr">
        <is>
          <t>N/A</t>
        </is>
      </c>
      <c r="BM270" s="63" t="inlineStr">
        <is>
          <t>N/A</t>
        </is>
      </c>
      <c r="BN270" s="63" t="inlineStr">
        <is>
          <t>N/A</t>
        </is>
      </c>
      <c r="BO270" s="63" t="inlineStr">
        <is>
          <t>N/A</t>
        </is>
      </c>
      <c r="BP270" s="63" t="inlineStr">
        <is>
          <t>N/A</t>
        </is>
      </c>
      <c r="BQ270" s="63" t="inlineStr">
        <is>
          <t>N/A</t>
        </is>
      </c>
      <c r="BR270" s="76" t="inlineStr">
        <is>
          <t>First Shanghai Capital Limited</t>
        </is>
      </c>
      <c r="BS270" s="63" t="inlineStr">
        <is>
          <t>First Shanghai Capital Limited</t>
        </is>
      </c>
      <c r="BT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U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V270" s="78">
        <f>HYPERLINK("https://www1.hkexnews.hk/listedco/listconews/sehk/2024/0628/2024062800081.pdf","prospectus")</f>
        <v/>
      </c>
      <c r="BW270" s="78">
        <f>HYPERLINK("https://www1.hkexnews.hk/listedco/listconews/sehk/2024/0709/2024070901007.pdf","allotment")</f>
        <v/>
      </c>
      <c r="BX270" s="78">
        <f>HYPERLINK("https://www1.hkexnews.hk/listedco/listconews/sehk/2024/0805/2024080500823.pdf","stabilisation")</f>
        <v/>
      </c>
      <c r="BY270" s="76" t="n"/>
      <c r="BZ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72" t="n"/>
      <c r="AC271" s="66" t="n"/>
      <c r="AD271" s="72" t="n"/>
      <c r="AE271" s="63" t="n"/>
      <c r="AF271" s="63" t="inlineStr">
        <is>
          <t>partial</t>
        </is>
      </c>
      <c r="AG271" s="63" t="n"/>
      <c r="AH271" s="63" t="inlineStr">
        <is>
          <t>China International Capital Corporation Hong Kong Securities Limited</t>
        </is>
      </c>
      <c r="AI271" s="63" t="inlineStr">
        <is>
          <t>China International</t>
        </is>
      </c>
      <c r="AJ271" s="73" t="n">
        <v>-11.24</v>
      </c>
      <c r="AK271" s="72" t="n">
        <v>-11.24</v>
      </c>
      <c r="AL271" s="72" t="n">
        <v>0</v>
      </c>
      <c r="AM271" s="72" t="n">
        <v>-6.71</v>
      </c>
      <c r="AN271" s="72" t="n">
        <v>19</v>
      </c>
      <c r="AO271" s="72" t="n">
        <v>22.35</v>
      </c>
      <c r="AP271" s="72" t="n">
        <v>5.1</v>
      </c>
      <c r="AQ271" s="72" t="n">
        <v>34.07</v>
      </c>
      <c r="AR271" s="72" t="n">
        <v>37.84</v>
      </c>
      <c r="AS271" s="72" t="n">
        <v>-7.94</v>
      </c>
      <c r="AT271" s="72" t="n">
        <v>22.6</v>
      </c>
      <c r="AU271" s="72" t="n">
        <v>1.07</v>
      </c>
      <c r="AV271" s="72" t="n">
        <v>37.39</v>
      </c>
      <c r="AW271" s="72" t="n">
        <v>-3.6</v>
      </c>
      <c r="AX271" s="72" t="n">
        <v>-3.32</v>
      </c>
      <c r="AY271" s="63" t="inlineStr">
        <is>
          <t>Hang Seng Index</t>
        </is>
      </c>
      <c r="AZ271" s="72" t="n">
        <v>-80.47</v>
      </c>
      <c r="BA271" s="64" t="inlineStr">
        <is>
          <t>2026-08-28</t>
        </is>
      </c>
      <c r="BB271" s="65" t="n">
        <v>566.5</v>
      </c>
      <c r="BC271" s="68" t="n">
        <v>-31.6</v>
      </c>
      <c r="BD271" s="63" t="inlineStr">
        <is>
          <t>N</t>
        </is>
      </c>
      <c r="BE271" s="63" t="inlineStr">
        <is>
          <t>n/m</t>
        </is>
      </c>
      <c r="BF271" s="74" t="n"/>
      <c r="BG271" s="74" t="n">
        <v>7.6</v>
      </c>
      <c r="BH271" s="74" t="n">
        <v>8.4</v>
      </c>
      <c r="BI271" s="75">
        <f>IF('BBG Verify'!S271="","not filed — run on terminal",'BBG Verify'!S271)</f>
        <v/>
      </c>
      <c r="BJ271" s="76" t="inlineStr">
        <is>
          <t>N</t>
        </is>
      </c>
      <c r="BK271" s="77">
        <f>IF('BBG Verify'!K271="","not filed — run on terminal",'BBG Verify'!K271)</f>
        <v/>
      </c>
      <c r="BL271" s="63" t="inlineStr">
        <is>
          <t>N/A</t>
        </is>
      </c>
      <c r="BM271" s="63" t="inlineStr">
        <is>
          <t>N/A</t>
        </is>
      </c>
      <c r="BN271" s="63" t="inlineStr">
        <is>
          <t>N/A</t>
        </is>
      </c>
      <c r="BO271" s="63" t="inlineStr">
        <is>
          <t>N/A</t>
        </is>
      </c>
      <c r="BP271" s="63" t="inlineStr">
        <is>
          <t>N/A</t>
        </is>
      </c>
      <c r="BQ271" s="63" t="inlineStr">
        <is>
          <t>N/A</t>
        </is>
      </c>
      <c r="BR271" s="76" t="inlineStr">
        <is>
          <t>China International Capital Corporation Hong Kong Securities Limited</t>
        </is>
      </c>
      <c r="BS271" s="63" t="inlineStr">
        <is>
          <t>China International Capital Corporation Hong Kong Securities Limited</t>
        </is>
      </c>
      <c r="BT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U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V271" s="78">
        <f>HYPERLINK("https://www1.hkexnews.hk/listedco/listconews/sehk/2024/0628/2024062800079.pdf","prospectus")</f>
        <v/>
      </c>
      <c r="BW271" s="78">
        <f>HYPERLINK("https://www1.hkexnews.hk/listedco/listconews/sehk/2024/0709/2024070901049.pdf","allotment")</f>
        <v/>
      </c>
      <c r="BX271" s="78">
        <f>HYPERLINK("https://www1.hkexnews.hk/listedco/listconews/sehk/2024/0804/2024080400003.pdf","stabilisation")</f>
        <v/>
      </c>
      <c r="BY271" s="76" t="n"/>
      <c r="BZ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72" t="n"/>
      <c r="AC272" s="66" t="n"/>
      <c r="AD272" s="72" t="n"/>
      <c r="AE272" s="63" t="n"/>
      <c r="AF272" s="63" t="n"/>
      <c r="AG272" s="63" t="n"/>
      <c r="AH272" s="63" t="n"/>
      <c r="AI272" s="63" t="n"/>
      <c r="AJ272" s="73" t="n">
        <v>-3.14</v>
      </c>
      <c r="AK272" s="72" t="n">
        <v>-14.29</v>
      </c>
      <c r="AL272" s="72" t="n">
        <v>13.01</v>
      </c>
      <c r="AM272" s="72" t="n">
        <v>-20.57</v>
      </c>
      <c r="AN272" s="72" t="n">
        <v>-16.57</v>
      </c>
      <c r="AO272" s="72" t="n">
        <v>-34.57</v>
      </c>
      <c r="AP272" s="72" t="n">
        <v>-18</v>
      </c>
      <c r="AQ272" s="72" t="n">
        <v>-13.87</v>
      </c>
      <c r="AR272" s="72" t="n">
        <v>-32.45</v>
      </c>
      <c r="AS272" s="72" t="n">
        <v>-22.1</v>
      </c>
      <c r="AT272" s="72" t="n">
        <v>-10.28</v>
      </c>
      <c r="AU272" s="72" t="n">
        <v>-66.58</v>
      </c>
      <c r="AV272" s="72" t="n">
        <v>-7.42</v>
      </c>
      <c r="AW272" s="72" t="n">
        <v>-6.29</v>
      </c>
      <c r="AX272" s="72" t="n">
        <v>-6.45</v>
      </c>
      <c r="AY272" s="63" t="inlineStr">
        <is>
          <t>HSTECH (Hang Seng TECH ETF)</t>
        </is>
      </c>
      <c r="AZ272" s="72" t="n">
        <v>-78.29000000000001</v>
      </c>
      <c r="BA272" s="64" t="inlineStr">
        <is>
          <t>2026-08-28</t>
        </is>
      </c>
      <c r="BB272" s="65" t="n">
        <v>2377.2</v>
      </c>
      <c r="BC272" s="68" t="n">
        <v>-762.1</v>
      </c>
      <c r="BD272" s="63" t="inlineStr">
        <is>
          <t>N</t>
        </is>
      </c>
      <c r="BE272" s="63" t="inlineStr">
        <is>
          <t>n/m</t>
        </is>
      </c>
      <c r="BF272" s="74" t="n"/>
      <c r="BG272" s="74" t="n"/>
      <c r="BH272" s="74" t="n">
        <v>3</v>
      </c>
      <c r="BI272" s="75">
        <f>IF('BBG Verify'!S272="","not filed — run on terminal",'BBG Verify'!S272)</f>
        <v/>
      </c>
      <c r="BJ272" s="76" t="inlineStr">
        <is>
          <t>N</t>
        </is>
      </c>
      <c r="BK272" s="77">
        <f>IF('BBG Verify'!K272="","not filed — run on terminal",'BBG Verify'!K272)</f>
        <v/>
      </c>
      <c r="BL272" s="63" t="inlineStr">
        <is>
          <t>N/A</t>
        </is>
      </c>
      <c r="BM272" s="63" t="inlineStr">
        <is>
          <t>N/A</t>
        </is>
      </c>
      <c r="BN272" s="63" t="inlineStr">
        <is>
          <t>N/A</t>
        </is>
      </c>
      <c r="BO272" s="63" t="inlineStr">
        <is>
          <t>N/A</t>
        </is>
      </c>
      <c r="BP272" s="63" t="inlineStr">
        <is>
          <t>N/A</t>
        </is>
      </c>
      <c r="BQ272" s="63" t="inlineStr">
        <is>
          <t>N/A</t>
        </is>
      </c>
      <c r="BR272" s="76" t="n"/>
      <c r="BS272" s="63" t="inlineStr">
        <is>
          <t>China International Capital Corporation Hong Kong Securities Limited; Huatai Financial Holdings (Hong Kong) Limited; ABCI Capital Limited</t>
        </is>
      </c>
      <c r="BT272" s="63" t="inlineStr">
        <is>
          <t>Huatai Financial Holdings (Hong Kong) Limited; ABCI Capital Limited; TradeGo Markets Limited; Livermore Holdings Limited</t>
        </is>
      </c>
      <c r="BU272" s="63" t="inlineStr">
        <is>
          <t>ABCI Securities Company Limited; China International Capital Corporation Hong Kong Securities Limited; Huatai Financial Holdings (Hong Kong) Limited; Livermore Holdings Limited; TradeGo Markets Limited</t>
        </is>
      </c>
      <c r="BV272" s="78">
        <f>HYPERLINK("https://www1.hkexnews.hk/listedco/listconews/sehk/2024/0628/2024062800065.pdf","prospectus")</f>
        <v/>
      </c>
      <c r="BW272" s="78">
        <f>HYPERLINK("https://www1.hkexnews.hk/listedco/listconews/sehk/2024/0709/2024070901101.pdf","allotment")</f>
        <v/>
      </c>
      <c r="BX272" s="63" t="n"/>
      <c r="BY272" s="76" t="n"/>
      <c r="BZ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72" t="n"/>
      <c r="AC273" s="66" t="n"/>
      <c r="AD273" s="72" t="n"/>
      <c r="AE273" s="63" t="n"/>
      <c r="AF273" s="63" t="inlineStr">
        <is>
          <t>partial</t>
        </is>
      </c>
      <c r="AG273" s="63" t="inlineStr">
        <is>
          <t>2024-08-08</t>
        </is>
      </c>
      <c r="AH273" s="63" t="inlineStr">
        <is>
          <t>China International Capital Corporation Hong Kong Securities Limited</t>
        </is>
      </c>
      <c r="AI273" s="63" t="inlineStr">
        <is>
          <t>China International</t>
        </is>
      </c>
      <c r="AJ273" s="73" t="n">
        <v>0</v>
      </c>
      <c r="AK273" s="72" t="n">
        <v>0</v>
      </c>
      <c r="AL273" s="72" t="n">
        <v>0</v>
      </c>
      <c r="AM273" s="72" t="n">
        <v>-10.36</v>
      </c>
      <c r="AN273" s="72" t="n">
        <v>-9.640000000000001</v>
      </c>
      <c r="AO273" s="72" t="n">
        <v>-30.18</v>
      </c>
      <c r="AP273" s="72" t="n">
        <v>-10.36</v>
      </c>
      <c r="AQ273" s="72" t="n">
        <v>-9.640000000000001</v>
      </c>
      <c r="AR273" s="72" t="n">
        <v>-30.18</v>
      </c>
      <c r="AS273" s="72" t="n">
        <v>-7.5</v>
      </c>
      <c r="AT273" s="72" t="n">
        <v>-4.28</v>
      </c>
      <c r="AU273" s="72" t="n">
        <v>-46.03</v>
      </c>
      <c r="AV273" s="72" t="n">
        <v>-1.87</v>
      </c>
      <c r="AW273" s="72" t="n">
        <v>-5.36</v>
      </c>
      <c r="AX273" s="72" t="n">
        <v>-7.77</v>
      </c>
      <c r="AY273" s="63" t="inlineStr">
        <is>
          <t>Hang Seng Commerce &amp; Industry sub-index</t>
        </is>
      </c>
      <c r="AZ273" s="72" t="n">
        <v>74.11</v>
      </c>
      <c r="BA273" s="64" t="inlineStr">
        <is>
          <t>2026-08-28</t>
        </is>
      </c>
      <c r="BB273" s="65" t="n"/>
      <c r="BC273" s="68" t="n">
        <v>710.9</v>
      </c>
      <c r="BD273" s="63" t="inlineStr">
        <is>
          <t>Y</t>
        </is>
      </c>
      <c r="BE273" s="74" t="n">
        <v>14.2</v>
      </c>
      <c r="BF273" s="74" t="n"/>
      <c r="BG273" s="74" t="n">
        <v>15.9</v>
      </c>
      <c r="BH273" s="74" t="n"/>
      <c r="BI273" s="75">
        <f>IF('BBG Verify'!S273="","not filed — run on terminal",'BBG Verify'!S273)</f>
        <v/>
      </c>
      <c r="BJ273" s="76" t="inlineStr">
        <is>
          <t>N</t>
        </is>
      </c>
      <c r="BK273" s="77">
        <f>IF('BBG Verify'!K273="","not filed — run on terminal",'BBG Verify'!K273)</f>
        <v/>
      </c>
      <c r="BL273" s="63" t="inlineStr">
        <is>
          <t>N/A</t>
        </is>
      </c>
      <c r="BM273" s="63" t="inlineStr">
        <is>
          <t>N/A</t>
        </is>
      </c>
      <c r="BN273" s="63" t="inlineStr">
        <is>
          <t>N/A</t>
        </is>
      </c>
      <c r="BO273" s="63" t="inlineStr">
        <is>
          <t>N/A</t>
        </is>
      </c>
      <c r="BP273" s="63" t="inlineStr">
        <is>
          <t>N/A</t>
        </is>
      </c>
      <c r="BQ273" s="63" t="inlineStr">
        <is>
          <t>N/A</t>
        </is>
      </c>
      <c r="BR273" s="76" t="n"/>
      <c r="BS273" s="63" t="inlineStr">
        <is>
          <t>China International Capital Corporation Hong Kong Securities Limited</t>
        </is>
      </c>
      <c r="BT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V273" s="78">
        <f>HYPERLINK("https://www1.hkexnews.hk/listedco/listconews/sehk/2024/0628/2024062800343.htm","prospectus")</f>
        <v/>
      </c>
      <c r="BW273" s="78">
        <f>HYPERLINK("https://www1.hkexnews.hk/listedco/listconews/sehk/2024/0711/2024071101139.pdf","allotment")</f>
        <v/>
      </c>
      <c r="BX273" s="78">
        <f>HYPERLINK("https://www1.hkexnews.hk/listedco/listconews/sehk/2024/0808/2024080801148.pdf","stabilisation")</f>
        <v/>
      </c>
      <c r="BY273" s="76" t="n"/>
      <c r="BZ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72" t="n"/>
      <c r="AC274" s="66" t="n"/>
      <c r="AD274" s="72" t="n"/>
      <c r="AE274" s="63" t="n"/>
      <c r="AF274" s="63" t="n"/>
      <c r="AG274" s="63" t="n"/>
      <c r="AH274" s="63" t="n"/>
      <c r="AI274" s="63" t="n"/>
      <c r="AJ274" s="73" t="n">
        <v>2.13</v>
      </c>
      <c r="AK274" s="72" t="n">
        <v>16.6</v>
      </c>
      <c r="AL274" s="72" t="n">
        <v>-12.41</v>
      </c>
      <c r="AM274" s="72" t="n">
        <v>55.96</v>
      </c>
      <c r="AN274" s="72" t="n">
        <v>48.94</v>
      </c>
      <c r="AO274" s="72" t="n">
        <v>228.51</v>
      </c>
      <c r="AP274" s="72" t="n">
        <v>52.71</v>
      </c>
      <c r="AQ274" s="72" t="n">
        <v>45.83</v>
      </c>
      <c r="AR274" s="72" t="n">
        <v>221.66</v>
      </c>
      <c r="AS274" s="72" t="n">
        <v>59.73</v>
      </c>
      <c r="AT274" s="72" t="n">
        <v>56.32</v>
      </c>
      <c r="AU274" s="72" t="n">
        <v>216.28</v>
      </c>
      <c r="AV274" s="72" t="n">
        <v>51.53</v>
      </c>
      <c r="AW274" s="72" t="n">
        <v>-7.38</v>
      </c>
      <c r="AX274" s="72" t="n">
        <v>-5.7</v>
      </c>
      <c r="AY274" s="63" t="inlineStr">
        <is>
          <t>Hang Seng Commerce &amp; Industry sub-index</t>
        </is>
      </c>
      <c r="AZ274" s="72" t="n">
        <v>3.83</v>
      </c>
      <c r="BA274" s="64" t="inlineStr">
        <is>
          <t>2026-08-28</t>
        </is>
      </c>
      <c r="BB274" s="65" t="n">
        <v>616.6</v>
      </c>
      <c r="BC274" s="68" t="n">
        <v>56.7</v>
      </c>
      <c r="BD274" s="63" t="inlineStr">
        <is>
          <t>Y</t>
        </is>
      </c>
      <c r="BE274" s="74" t="n">
        <v>30.4</v>
      </c>
      <c r="BF274" s="74" t="n"/>
      <c r="BG274" s="74" t="n">
        <v>73.90000000000001</v>
      </c>
      <c r="BH274" s="74" t="n">
        <v>2.8</v>
      </c>
      <c r="BI274" s="75">
        <f>IF('BBG Verify'!S274="","not filed — run on terminal",'BBG Verify'!S274)</f>
        <v/>
      </c>
      <c r="BJ274" s="76" t="inlineStr">
        <is>
          <t>N</t>
        </is>
      </c>
      <c r="BK274" s="77">
        <f>IF('BBG Verify'!K274="","not filed — run on terminal",'BBG Verify'!K274)</f>
        <v/>
      </c>
      <c r="BL274" s="63" t="inlineStr">
        <is>
          <t>N/A</t>
        </is>
      </c>
      <c r="BM274" s="63" t="inlineStr">
        <is>
          <t>N/A</t>
        </is>
      </c>
      <c r="BN274" s="63" t="inlineStr">
        <is>
          <t>N/A</t>
        </is>
      </c>
      <c r="BO274" s="63" t="inlineStr">
        <is>
          <t>N/A</t>
        </is>
      </c>
      <c r="BP274" s="63" t="inlineStr">
        <is>
          <t>N/A</t>
        </is>
      </c>
      <c r="BQ274" s="63" t="inlineStr">
        <is>
          <t>N/A</t>
        </is>
      </c>
      <c r="BR274" s="76" t="inlineStr">
        <is>
          <t>CCB International Capital Limited</t>
        </is>
      </c>
      <c r="BS274" s="63" t="inlineStr">
        <is>
          <t>CCB International Capital Limited</t>
        </is>
      </c>
      <c r="BT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U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V274" s="78">
        <f>HYPERLINK("https://www1.hkexnews.hk/listedco/listconews/sehk/2024/0628/2024062800067.pdf","prospectus")</f>
        <v/>
      </c>
      <c r="BW274" s="78">
        <f>HYPERLINK("https://www1.hkexnews.hk/listedco/listconews/sehk/2024/0712/2024071201219.pdf","allotment")</f>
        <v/>
      </c>
      <c r="BX274" s="63" t="n"/>
      <c r="BY274" s="76" t="n"/>
      <c r="BZ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72" t="n">
        <v>3.1</v>
      </c>
      <c r="AC275" s="66" t="n">
        <v>7.22</v>
      </c>
      <c r="AD275" s="72" t="n">
        <v>1.84</v>
      </c>
      <c r="AE275" s="63" t="inlineStr">
        <is>
          <t>Y</t>
        </is>
      </c>
      <c r="AF275" s="63" t="n"/>
      <c r="AG275" s="63" t="inlineStr">
        <is>
          <t>2024-08-31</t>
        </is>
      </c>
      <c r="AH275" s="63" t="n"/>
      <c r="AI275" s="63" t="n"/>
      <c r="AJ275" s="73" t="n">
        <v>5</v>
      </c>
      <c r="AK275" s="72" t="n">
        <v>-1.71</v>
      </c>
      <c r="AL275" s="72" t="n">
        <v>6.83</v>
      </c>
      <c r="AM275" s="72" t="n">
        <v>-19.43</v>
      </c>
      <c r="AN275" s="72" t="n">
        <v>-17.14</v>
      </c>
      <c r="AO275" s="72" t="n">
        <v>-2.71</v>
      </c>
      <c r="AP275" s="72" t="n">
        <v>-23.27</v>
      </c>
      <c r="AQ275" s="72" t="n">
        <v>-21.09</v>
      </c>
      <c r="AR275" s="72" t="n">
        <v>-7.34</v>
      </c>
      <c r="AS275" s="72" t="n">
        <v>-22.39</v>
      </c>
      <c r="AT275" s="72" t="n">
        <v>-21.31</v>
      </c>
      <c r="AU275" s="72" t="n">
        <v>-25.98</v>
      </c>
      <c r="AV275" s="72" t="n">
        <v>-25.54</v>
      </c>
      <c r="AW275" s="72" t="n">
        <v>4.17</v>
      </c>
      <c r="AX275" s="72" t="n">
        <v>4.45</v>
      </c>
      <c r="AY275" s="63" t="inlineStr">
        <is>
          <t>Hang Seng Finance sub-index</t>
        </is>
      </c>
      <c r="AZ275" s="72" t="n">
        <v>16.5</v>
      </c>
      <c r="BA275" s="64" t="inlineStr">
        <is>
          <t>2026-08-28</t>
        </is>
      </c>
      <c r="BB275" s="65" t="n">
        <v>191.4</v>
      </c>
      <c r="BC275" s="68" t="n">
        <v>42.9</v>
      </c>
      <c r="BD275" s="63" t="inlineStr">
        <is>
          <t>Y</t>
        </is>
      </c>
      <c r="BE275" s="74" t="n">
        <v>23</v>
      </c>
      <c r="BF275" s="74" t="n"/>
      <c r="BG275" s="74" t="n">
        <v>17</v>
      </c>
      <c r="BH275" s="74" t="n">
        <v>5.2</v>
      </c>
      <c r="BI275" s="75">
        <f>IF('BBG Verify'!S275="","not filed — run on terminal",'BBG Verify'!S275)</f>
        <v/>
      </c>
      <c r="BJ275" s="76" t="inlineStr">
        <is>
          <t>N</t>
        </is>
      </c>
      <c r="BK275" s="77">
        <f>IF('BBG Verify'!K275="","not filed — run on terminal",'BBG Verify'!K275)</f>
        <v/>
      </c>
      <c r="BL275" s="63" t="inlineStr">
        <is>
          <t>N/A</t>
        </is>
      </c>
      <c r="BM275" s="63" t="inlineStr">
        <is>
          <t>N/A</t>
        </is>
      </c>
      <c r="BN275" s="63" t="inlineStr">
        <is>
          <t>N/A</t>
        </is>
      </c>
      <c r="BO275" s="63" t="inlineStr">
        <is>
          <t>N/A</t>
        </is>
      </c>
      <c r="BP275" s="63" t="inlineStr">
        <is>
          <t>N/A</t>
        </is>
      </c>
      <c r="BQ275" s="63" t="inlineStr">
        <is>
          <t>N/A</t>
        </is>
      </c>
      <c r="BR275" s="76" t="inlineStr">
        <is>
          <t>CITIC Securities (Hong Kong) Limited; Ping An of China Capital (Hong Kong) Company Limited</t>
        </is>
      </c>
      <c r="BS275" s="63" t="inlineStr">
        <is>
          <t>CITIC Securities (Hong Kong) Limited; Ping An of China Capital (Hong Kong) Company Limited</t>
        </is>
      </c>
      <c r="BT275" s="63" t="inlineStr">
        <is>
          <t>China PA Securities (Hong Kong) Company Limited; CLSA Limited; CMB International Capital Limited; Fosun International Securities Limited; Hong Tai Securities Limited</t>
        </is>
      </c>
      <c r="BU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V275" s="78">
        <f>HYPERLINK("https://www1.hkexnews.hk/listedco/listconews/sehk/2024/0729/2024072900013.pdf","prospectus")</f>
        <v/>
      </c>
      <c r="BW275" s="78">
        <f>HYPERLINK("https://www1.hkexnews.hk/listedco/listconews/sehk/2024/0805/2024080502241.pdf","allotment")</f>
        <v/>
      </c>
      <c r="BX275" s="78">
        <f>HYPERLINK("https://www1.hkexnews.hk/listedco/listconews/sehk/2024/0905/2024090501834.pdf","stabilisation")</f>
        <v/>
      </c>
      <c r="BY275" s="76" t="n"/>
      <c r="BZ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72" t="n"/>
      <c r="AC276" s="66" t="n"/>
      <c r="AD276" s="72" t="n"/>
      <c r="AE276" s="63" t="n"/>
      <c r="AF276" s="63" t="inlineStr">
        <is>
          <t>lapsed (no over-allocation)</t>
        </is>
      </c>
      <c r="AG276" s="63" t="inlineStr">
        <is>
          <t>2024-09-04</t>
        </is>
      </c>
      <c r="AH276" s="63" t="inlineStr">
        <is>
          <t>China International Capital Corporation Hong Kong Securities Limited</t>
        </is>
      </c>
      <c r="AI276" s="63" t="inlineStr">
        <is>
          <t>China International</t>
        </is>
      </c>
      <c r="AJ276" s="73" t="n">
        <v>-26.96</v>
      </c>
      <c r="AK276" s="72" t="n">
        <v>-32.86</v>
      </c>
      <c r="AL276" s="72" t="n">
        <v>8.789999999999999</v>
      </c>
      <c r="AM276" s="72" t="n">
        <v>-28.04</v>
      </c>
      <c r="AN276" s="72" t="n">
        <v>-23.57</v>
      </c>
      <c r="AO276" s="72" t="n">
        <v>-7.68</v>
      </c>
      <c r="AP276" s="72" t="n">
        <v>-1.48</v>
      </c>
      <c r="AQ276" s="72" t="n">
        <v>4.64</v>
      </c>
      <c r="AR276" s="72" t="n">
        <v>26.4</v>
      </c>
      <c r="AS276" s="72" t="n">
        <v>-28.4</v>
      </c>
      <c r="AT276" s="72" t="n">
        <v>-25.25</v>
      </c>
      <c r="AU276" s="72" t="n">
        <v>-44.98</v>
      </c>
      <c r="AV276" s="72" t="n">
        <v>2.47</v>
      </c>
      <c r="AW276" s="72" t="n">
        <v>1.68</v>
      </c>
      <c r="AX276" s="72" t="n">
        <v>2.17</v>
      </c>
      <c r="AY276" s="63" t="inlineStr">
        <is>
          <t>HSTECH (Hang Seng TECH ETF)</t>
        </is>
      </c>
      <c r="AZ276" s="72" t="n">
        <v>-61.79</v>
      </c>
      <c r="BA276" s="64" t="inlineStr">
        <is>
          <t>2026-08-28</t>
        </is>
      </c>
      <c r="BB276" s="65" t="n">
        <v>343.6</v>
      </c>
      <c r="BC276" s="68" t="n">
        <v>-5340.6</v>
      </c>
      <c r="BD276" s="63" t="inlineStr">
        <is>
          <t>N</t>
        </is>
      </c>
      <c r="BE276" s="63" t="inlineStr">
        <is>
          <t>n/m</t>
        </is>
      </c>
      <c r="BF276" s="74" t="n"/>
      <c r="BG276" s="74" t="n"/>
      <c r="BH276" s="74" t="n">
        <v>46.4</v>
      </c>
      <c r="BI276" s="75">
        <f>IF('BBG Verify'!S276="","not filed — run on terminal",'BBG Verify'!S276)</f>
        <v/>
      </c>
      <c r="BJ276" s="76" t="inlineStr">
        <is>
          <t>N</t>
        </is>
      </c>
      <c r="BK276" s="77">
        <f>IF('BBG Verify'!K276="","not filed — run on terminal",'BBG Verify'!K276)</f>
        <v/>
      </c>
      <c r="BL276" s="63" t="inlineStr">
        <is>
          <t>N/A</t>
        </is>
      </c>
      <c r="BM276" s="63" t="inlineStr">
        <is>
          <t>N/A</t>
        </is>
      </c>
      <c r="BN276" s="63" t="inlineStr">
        <is>
          <t>N/A</t>
        </is>
      </c>
      <c r="BO276" s="63" t="inlineStr">
        <is>
          <t>N/A</t>
        </is>
      </c>
      <c r="BP276" s="63" t="inlineStr">
        <is>
          <t>N/A</t>
        </is>
      </c>
      <c r="BQ276" s="63" t="inlineStr">
        <is>
          <t>N/A</t>
        </is>
      </c>
      <c r="BR276" s="76" t="n"/>
      <c r="BS276" s="63" t="inlineStr">
        <is>
          <t>China International Capital Corporation Hong Kong Securities Limited; Huatai Financial Holdings (Hong Kong) Limited</t>
        </is>
      </c>
      <c r="BT276" s="63" t="inlineStr">
        <is>
          <t>CCB International Capital Limited; GF Securities (Hong Kong) Brokerage Limited; Futu Securities International (Hong Kong) Limited</t>
        </is>
      </c>
      <c r="BU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V276" s="78">
        <f>HYPERLINK("https://www1.hkexnews.hk/listedco/listconews/sehk/2024/0731/2024073100015.pdf","prospectus")</f>
        <v/>
      </c>
      <c r="BW276" s="78">
        <f>HYPERLINK("https://www1.hkexnews.hk/listedco/listconews/sehk/2024/0807/2024080700994.pdf","allotment")</f>
        <v/>
      </c>
      <c r="BX276" s="78">
        <f>HYPERLINK("https://www1.hkexnews.hk/listedco/listconews/sehk/2024/0904/2024090402176.pdf","stabilisation")</f>
        <v/>
      </c>
      <c r="BY276" s="76" t="n"/>
      <c r="BZ276" s="63" t="inlineStr">
        <is>
          <t>P/E: n/m — loss-making at IPO (use P/S)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72" t="n"/>
      <c r="AC277" s="66" t="n"/>
      <c r="AD277" s="72" t="n"/>
      <c r="AE277" s="63" t="n"/>
      <c r="AF277" s="63" t="n"/>
      <c r="AG277" s="63" t="n"/>
      <c r="AH277" s="63" t="n"/>
      <c r="AI277" s="63" t="n"/>
      <c r="AJ277" s="73" t="n">
        <v>13.22</v>
      </c>
      <c r="AK277" s="72" t="n">
        <v>19.67</v>
      </c>
      <c r="AL277" s="72" t="n">
        <v>-5.39</v>
      </c>
      <c r="AM277" s="72" t="n">
        <v>90.08</v>
      </c>
      <c r="AN277" s="72" t="n">
        <v>135.95</v>
      </c>
      <c r="AO277" s="72" t="n">
        <v>129.75</v>
      </c>
      <c r="AP277" s="72" t="n">
        <v>67.89</v>
      </c>
      <c r="AQ277" s="72" t="n">
        <v>108.4</v>
      </c>
      <c r="AR277" s="72" t="n">
        <v>102.92</v>
      </c>
      <c r="AS277" s="72" t="n">
        <v>92.59</v>
      </c>
      <c r="AT277" s="72" t="n">
        <v>137.89</v>
      </c>
      <c r="AU277" s="72" t="n">
        <v>117.04</v>
      </c>
      <c r="AV277" s="72" t="n">
        <v>109.55</v>
      </c>
      <c r="AW277" s="72" t="n">
        <v>-1.94</v>
      </c>
      <c r="AX277" s="72" t="n">
        <v>-1.15</v>
      </c>
      <c r="AY277" s="63" t="inlineStr">
        <is>
          <t>China Biotech ETF (HS biotech proxy)</t>
        </is>
      </c>
      <c r="AZ277" s="72" t="n">
        <v>-48.18</v>
      </c>
      <c r="BA277" s="64" t="inlineStr">
        <is>
          <t>2026-08-28</t>
        </is>
      </c>
      <c r="BB277" s="65" t="n">
        <v>48.7</v>
      </c>
      <c r="BC277" s="68" t="n">
        <v>-91.5</v>
      </c>
      <c r="BD277" s="63" t="inlineStr">
        <is>
          <t>N</t>
        </is>
      </c>
      <c r="BE277" s="63" t="inlineStr">
        <is>
          <t>n/m</t>
        </is>
      </c>
      <c r="BF277" s="74" t="n"/>
      <c r="BG277" s="74" t="n"/>
      <c r="BH277" s="74" t="n">
        <v>92.09999999999999</v>
      </c>
      <c r="BI277" s="75">
        <f>IF('BBG Verify'!S277="","not filed — run on terminal",'BBG Verify'!S277)</f>
        <v/>
      </c>
      <c r="BJ277" s="76" t="inlineStr">
        <is>
          <t>N</t>
        </is>
      </c>
      <c r="BK277" s="77">
        <f>IF('BBG Verify'!K277="","not filed — run on terminal",'BBG Verify'!K277)</f>
        <v/>
      </c>
      <c r="BL277" s="63" t="inlineStr">
        <is>
          <t>N/A</t>
        </is>
      </c>
      <c r="BM277" s="63" t="inlineStr">
        <is>
          <t>N/A</t>
        </is>
      </c>
      <c r="BN277" s="63" t="inlineStr">
        <is>
          <t>N/A</t>
        </is>
      </c>
      <c r="BO277" s="63" t="inlineStr">
        <is>
          <t>N/A</t>
        </is>
      </c>
      <c r="BP277" s="63" t="inlineStr">
        <is>
          <t>N/A</t>
        </is>
      </c>
      <c r="BQ277" s="63" t="inlineStr">
        <is>
          <t>N/A</t>
        </is>
      </c>
      <c r="BR277" s="76" t="inlineStr">
        <is>
          <t>CITIC Securities (Hong Kong) Limited</t>
        </is>
      </c>
      <c r="BS277" s="63" t="inlineStr">
        <is>
          <t>CITIC Securities (Hong Kong) Limited</t>
        </is>
      </c>
      <c r="BT277" s="63" t="inlineStr">
        <is>
          <t>CLSA Limited; CMB International Capital Limited; Haitong International Securities Company Limited; Deutsche Bank AG, Hong Kong Branch; Livermore Holdings Limited; BOCI Asia Limited</t>
        </is>
      </c>
      <c r="BU277" s="63" t="inlineStr">
        <is>
          <t>BOCI Asia Limited; CLSA Limited; CMB International Capital Limited; Deutsche Bank AG, Hong Kong Branch; Haitong International Securities Company Limited; Livermore Holdings Limited</t>
        </is>
      </c>
      <c r="BV277" s="78">
        <f>HYPERLINK("https://www1.hkexnews.hk/listedco/listconews/sehk/2024/0812/2024081200005.pdf","prospectus")</f>
        <v/>
      </c>
      <c r="BW277" s="78">
        <f>HYPERLINK("https://www1.hkexnews.hk/listedco/listconews/sehk/2024/0819/2024081901642.pdf","allotment")</f>
        <v/>
      </c>
      <c r="BX277" s="63" t="n"/>
      <c r="BY277" s="76" t="n"/>
      <c r="BZ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72" t="n"/>
      <c r="AC278" s="66" t="n"/>
      <c r="AD278" s="72" t="n"/>
      <c r="AE278" s="63" t="n"/>
      <c r="AF278" s="63" t="n"/>
      <c r="AG278" s="63" t="inlineStr">
        <is>
          <t>2024-10-12</t>
        </is>
      </c>
      <c r="AH278" s="63" t="inlineStr">
        <is>
          <t>China International Capital Corporation Hong Kong Securities Limited</t>
        </is>
      </c>
      <c r="AI278" s="63" t="inlineStr">
        <is>
          <t>China International</t>
        </is>
      </c>
      <c r="AJ278" s="73" t="n">
        <v>7.85</v>
      </c>
      <c r="AK278" s="72" t="n">
        <v>8.029999999999999</v>
      </c>
      <c r="AL278" s="72" t="n">
        <v>-0.17</v>
      </c>
      <c r="AM278" s="72" t="n">
        <v>29.01</v>
      </c>
      <c r="AN278" s="72" t="n">
        <v>36.68</v>
      </c>
      <c r="AO278" s="72" t="n">
        <v>38.96</v>
      </c>
      <c r="AP278" s="72" t="n">
        <v>19.62</v>
      </c>
      <c r="AQ278" s="72" t="n">
        <v>26.73</v>
      </c>
      <c r="AR278" s="72" t="n">
        <v>28.85</v>
      </c>
      <c r="AS278" s="72" t="n">
        <v>16.42</v>
      </c>
      <c r="AT278" s="72" t="n">
        <v>7.95</v>
      </c>
      <c r="AU278" s="72" t="n">
        <v>11.57</v>
      </c>
      <c r="AV278" s="72" t="n">
        <v>-0.3</v>
      </c>
      <c r="AW278" s="72" t="n">
        <v>28.73</v>
      </c>
      <c r="AX278" s="72" t="n">
        <v>27.03</v>
      </c>
      <c r="AY278" s="63" t="inlineStr">
        <is>
          <t>HSTECH (Hang Seng TECH ETF)</t>
        </is>
      </c>
      <c r="AZ278" s="72" t="n">
        <v>80.2</v>
      </c>
      <c r="BA278" s="64" t="inlineStr">
        <is>
          <t>2026-08-28</t>
        </is>
      </c>
      <c r="BB278" s="65" t="n">
        <v>411080.8</v>
      </c>
      <c r="BC278" s="68" t="n">
        <v>37020.9</v>
      </c>
      <c r="BD278" s="63" t="inlineStr">
        <is>
          <t>Y</t>
        </is>
      </c>
      <c r="BE278" s="74" t="n">
        <v>11</v>
      </c>
      <c r="BF278" s="74" t="n"/>
      <c r="BG278" s="74" t="n"/>
      <c r="BH278" s="74" t="n">
        <v>1</v>
      </c>
      <c r="BI278" s="75">
        <f>IF('BBG Verify'!S278="","not filed — run on terminal",'BBG Verify'!S278)</f>
        <v/>
      </c>
      <c r="BJ278" s="76" t="inlineStr">
        <is>
          <t>Y</t>
        </is>
      </c>
      <c r="BK278" s="63" t="inlineStr">
        <is>
          <t>000333.SZ</t>
        </is>
      </c>
      <c r="BL278" s="72" t="n">
        <v>27.39</v>
      </c>
      <c r="BM278" s="66" t="n">
        <v>69.807</v>
      </c>
      <c r="BN278" s="80" t="n">
        <v>0.008399999999999999</v>
      </c>
      <c r="BO278" s="68" t="n">
        <v>780971.2</v>
      </c>
      <c r="BP278" s="75">
        <f>IF('BBG Verify'!Q278="","run on terminal",'BBG Verify'!Q278)</f>
        <v/>
      </c>
      <c r="BQ278" s="75">
        <f>IF('BBG Verify'!R278="","run on terminal",'BBG Verify'!R278)</f>
        <v/>
      </c>
      <c r="BR278" s="76" t="inlineStr">
        <is>
          <t>CICC; BofA Securities</t>
        </is>
      </c>
      <c r="BS278" s="63" t="inlineStr">
        <is>
          <t>China International Capital Corporation Hong Kong Securities Limited; Merrill Lynch (Asia Pacific) Limited</t>
        </is>
      </c>
      <c r="BT278" s="63" t="inlineStr">
        <is>
          <t>BNP Paribas Securities (Asia) Limited; China International Capital Corporation Hong Kong Securities Limited; CLSA Limited; CMB International Capital Limited; Futu Securities International (Hong Kong) Limited; GF Securities (Hong Kong) Brokerage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V278" s="63" t="n"/>
      <c r="BW278" s="78">
        <f>HYPERLINK("https://www1.hkexnews.hk/listedco/listconews/sehk/2024/0916/2024091600951.pdf","allotment")</f>
        <v/>
      </c>
      <c r="BX278" s="63" t="n"/>
      <c r="BY278" s="76" t="n"/>
      <c r="BZ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72" t="n">
        <v>77.5</v>
      </c>
      <c r="AC279" s="66" t="n">
        <v>10.26</v>
      </c>
      <c r="AD279" s="72" t="n">
        <v>-10.82</v>
      </c>
      <c r="AE279" s="63" t="inlineStr">
        <is>
          <t>Y</t>
        </is>
      </c>
      <c r="AF279" s="63" t="inlineStr">
        <is>
          <t>full</t>
        </is>
      </c>
      <c r="AG279" s="63" t="inlineStr">
        <is>
          <t>2024-10-26</t>
        </is>
      </c>
      <c r="AH279" s="63" t="inlineStr">
        <is>
          <t>CMB International Global Markets Limited</t>
        </is>
      </c>
      <c r="AI279" s="63" t="inlineStr">
        <is>
          <t>CMB</t>
        </is>
      </c>
      <c r="AJ279" s="73" t="n">
        <v>58.3</v>
      </c>
      <c r="AK279" s="72" t="n">
        <v>64.36</v>
      </c>
      <c r="AL279" s="72" t="n">
        <v>-3.69</v>
      </c>
      <c r="AM279" s="72" t="n">
        <v>17.65</v>
      </c>
      <c r="AN279" s="72" t="n">
        <v>-11.07</v>
      </c>
      <c r="AO279" s="72" t="n">
        <v>-14.01</v>
      </c>
      <c r="AP279" s="72" t="n">
        <v>-25.68</v>
      </c>
      <c r="AQ279" s="72" t="n">
        <v>-43.82</v>
      </c>
      <c r="AR279" s="72" t="n">
        <v>-45.68</v>
      </c>
      <c r="AS279" s="72" t="n">
        <v>19.24</v>
      </c>
      <c r="AT279" s="72" t="n">
        <v>-7.4</v>
      </c>
      <c r="AU279" s="72" t="n">
        <v>-6.67</v>
      </c>
      <c r="AV279" s="72" t="n">
        <v>-33.97</v>
      </c>
      <c r="AW279" s="72" t="n">
        <v>-3.67</v>
      </c>
      <c r="AX279" s="72" t="n">
        <v>-9.85</v>
      </c>
      <c r="AY279" s="63" t="inlineStr">
        <is>
          <t>Hang Seng Commerce &amp; Industry sub-index</t>
        </is>
      </c>
      <c r="AZ279" s="72" t="n">
        <v>-30.8</v>
      </c>
      <c r="BA279" s="64" t="inlineStr">
        <is>
          <t>2026-08-28</t>
        </is>
      </c>
      <c r="BB279" s="65" t="n">
        <v>1741.4</v>
      </c>
      <c r="BC279" s="68" t="n"/>
      <c r="BD279" s="63" t="inlineStr">
        <is>
          <t>Y</t>
        </is>
      </c>
      <c r="BE279" s="75">
        <f>IF('BBG Verify'!O279="","not filed — run on terminal",'BBG Verify'!O279)</f>
        <v/>
      </c>
      <c r="BF279" s="74" t="n"/>
      <c r="BG279" s="74" t="n">
        <v>6.8</v>
      </c>
      <c r="BH279" s="74" t="n">
        <v>1.6</v>
      </c>
      <c r="BI279" s="75">
        <f>IF('BBG Verify'!S279="","not filed — run on terminal",'BBG Verify'!S279)</f>
        <v/>
      </c>
      <c r="BJ279" s="76" t="inlineStr">
        <is>
          <t>N</t>
        </is>
      </c>
      <c r="BK279" s="77">
        <f>IF('BBG Verify'!K279="","not filed — run on terminal",'BBG Verify'!K279)</f>
        <v/>
      </c>
      <c r="BL279" s="63" t="inlineStr">
        <is>
          <t>N/A</t>
        </is>
      </c>
      <c r="BM279" s="63" t="inlineStr">
        <is>
          <t>N/A</t>
        </is>
      </c>
      <c r="BN279" s="63" t="inlineStr">
        <is>
          <t>N/A</t>
        </is>
      </c>
      <c r="BO279" s="63" t="inlineStr">
        <is>
          <t>N/A</t>
        </is>
      </c>
      <c r="BP279" s="63" t="inlineStr">
        <is>
          <t>N/A</t>
        </is>
      </c>
      <c r="BQ279" s="63" t="inlineStr">
        <is>
          <t>N/A</t>
        </is>
      </c>
      <c r="BR279" s="76" t="inlineStr">
        <is>
          <t>BNP Paribas Securities (Asia) Limited; CMB International Capital Limited</t>
        </is>
      </c>
      <c r="BS279" s="63" t="inlineStr">
        <is>
          <t>CMB International Capital Limited; BNP Paribas Securities (Asia) Limited</t>
        </is>
      </c>
      <c r="BT279" s="63" t="inlineStr">
        <is>
          <t>CMB International Capital Limited; BNP Paribas Securities (Asia) Limited</t>
        </is>
      </c>
      <c r="BU279" s="63" t="inlineStr">
        <is>
          <t>BNP Paribas Securities (Asia) Limited; CMB International Capital Limited; Futu Securities International (Hong Kong) Limited; Livermore Holdings Limited; Tiger Brokers (HK) Global Limited; TradeGo Markets Limited</t>
        </is>
      </c>
      <c r="BV279" s="78">
        <f>HYPERLINK("https://www1.hkexnews.hk/listedco/listconews/sehk/2024/0923/2024092300003.pdf","prospectus")</f>
        <v/>
      </c>
      <c r="BW279" s="78">
        <f>HYPERLINK("https://www1.hkexnews.hk/listedco/listconews/sehk/2024/0930/2024093002464.pdf","allotment")</f>
        <v/>
      </c>
      <c r="BX279" s="78">
        <f>HYPERLINK("https://www1.hkexnews.hk/listedco/listconews/sehk/2024/1028/2024102801048.pdf","stabilisation")</f>
        <v/>
      </c>
      <c r="BY279" s="76" t="n"/>
      <c r="BZ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72" t="n">
        <v>-10.6</v>
      </c>
      <c r="AC280" s="66" t="n">
        <v>11.62</v>
      </c>
      <c r="AD280" s="72" t="n">
        <v>-20.84</v>
      </c>
      <c r="AE280" s="63" t="inlineStr">
        <is>
          <t>Y</t>
        </is>
      </c>
      <c r="AF280" s="63" t="inlineStr">
        <is>
          <t>lapsed</t>
        </is>
      </c>
      <c r="AG280" s="63" t="inlineStr">
        <is>
          <t>2024-11-02</t>
        </is>
      </c>
      <c r="AH280" s="63" t="inlineStr">
        <is>
          <t>Morgan Stanley Asia Limited</t>
        </is>
      </c>
      <c r="AI280" s="63" t="inlineStr">
        <is>
          <t>Morgan Stanley</t>
        </is>
      </c>
      <c r="AJ280" s="73" t="n">
        <v>-29.23</v>
      </c>
      <c r="AK280" s="72" t="n">
        <v>-13.54</v>
      </c>
      <c r="AL280" s="72" t="n">
        <v>-18.15</v>
      </c>
      <c r="AM280" s="72" t="n">
        <v>-54.85</v>
      </c>
      <c r="AN280" s="72" t="n">
        <v>-54.62</v>
      </c>
      <c r="AO280" s="72" t="n">
        <v>-70.23</v>
      </c>
      <c r="AP280" s="72" t="n">
        <v>-36.2</v>
      </c>
      <c r="AQ280" s="72" t="n">
        <v>-35.88</v>
      </c>
      <c r="AR280" s="72" t="n">
        <v>-57.93</v>
      </c>
      <c r="AS280" s="72" t="n">
        <v>-36.24</v>
      </c>
      <c r="AT280" s="72" t="n">
        <v>-41.17</v>
      </c>
      <c r="AU280" s="72" t="n">
        <v>-49.7</v>
      </c>
      <c r="AV280" s="72" t="n">
        <v>-35.49</v>
      </c>
      <c r="AW280" s="72" t="n">
        <v>-13.45</v>
      </c>
      <c r="AX280" s="72" t="n">
        <v>-0.39</v>
      </c>
      <c r="AY280" s="63" t="inlineStr">
        <is>
          <t>HSTECH (Hang Seng TECH ETF)</t>
        </is>
      </c>
      <c r="AZ280" s="72" t="n">
        <v>-56.38</v>
      </c>
      <c r="BA280" s="64" t="inlineStr">
        <is>
          <t>2026-08-28</t>
        </is>
      </c>
      <c r="BB280" s="65" t="n">
        <v>630.5</v>
      </c>
      <c r="BC280" s="68" t="n">
        <v>-464.8</v>
      </c>
      <c r="BD280" s="63" t="inlineStr">
        <is>
          <t>N</t>
        </is>
      </c>
      <c r="BE280" s="63" t="inlineStr">
        <is>
          <t>n/m</t>
        </is>
      </c>
      <c r="BF280" s="74" t="n"/>
      <c r="BG280" s="74" t="n"/>
      <c r="BH280" s="74" t="n">
        <v>10.2</v>
      </c>
      <c r="BI280" s="75">
        <f>IF('BBG Verify'!S280="","not filed — run on terminal",'BBG Verify'!S280)</f>
        <v/>
      </c>
      <c r="BJ280" s="76" t="inlineStr">
        <is>
          <t>N</t>
        </is>
      </c>
      <c r="BK280" s="77">
        <f>IF('BBG Verify'!K280="","not filed — run on terminal",'BBG Verify'!K280)</f>
        <v/>
      </c>
      <c r="BL280" s="63" t="inlineStr">
        <is>
          <t>N/A</t>
        </is>
      </c>
      <c r="BM280" s="63" t="inlineStr">
        <is>
          <t>N/A</t>
        </is>
      </c>
      <c r="BN280" s="63" t="inlineStr">
        <is>
          <t>N/A</t>
        </is>
      </c>
      <c r="BO280" s="63" t="inlineStr">
        <is>
          <t>N/A</t>
        </is>
      </c>
      <c r="BP280" s="63" t="inlineStr">
        <is>
          <t>N/A</t>
        </is>
      </c>
      <c r="BQ280" s="63" t="inlineStr">
        <is>
          <t>N/A</t>
        </is>
      </c>
      <c r="BR280" s="76" t="n"/>
      <c r="BS280" s="63" t="inlineStr">
        <is>
          <t>China International Capital Corporation Hong Kong Securities Limited; Morgan Stanley Asia Limited</t>
        </is>
      </c>
      <c r="BT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U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V280" s="78">
        <f>HYPERLINK("https://www1.hkexnews.hk/listedco/listconews/sehk/2024/0927/2024092700025.pdf","prospectus")</f>
        <v/>
      </c>
      <c r="BW280" s="78">
        <f>HYPERLINK("https://www1.hkexnews.hk/listedco/listconews/sehk/2024/1007/2024100701772.pdf","allotment")</f>
        <v/>
      </c>
      <c r="BX280" s="78">
        <f>HYPERLINK("https://www1.hkexnews.hk/listedco/listconews/sehk/2024/1103/2024110300003.pdf","stabilisation")</f>
        <v/>
      </c>
      <c r="BY280" s="76" t="n"/>
      <c r="BZ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72" t="n">
        <v>-21.9</v>
      </c>
      <c r="AC281" s="66" t="n">
        <v>0.57</v>
      </c>
      <c r="AD281" s="72" t="n">
        <v>8.75</v>
      </c>
      <c r="AE281" s="63" t="inlineStr">
        <is>
          <t>Y</t>
        </is>
      </c>
      <c r="AF281" s="63" t="n"/>
      <c r="AG281" s="63" t="n"/>
      <c r="AH281" s="63" t="n"/>
      <c r="AI281" s="63" t="n"/>
      <c r="AJ281" s="73" t="n">
        <v>-15.07</v>
      </c>
      <c r="AK281" s="72" t="n">
        <v>-31.51</v>
      </c>
      <c r="AL281" s="72" t="n">
        <v>24</v>
      </c>
      <c r="AM281" s="72" t="n">
        <v>-39.73</v>
      </c>
      <c r="AN281" s="72" t="n">
        <v>-36.99</v>
      </c>
      <c r="AO281" s="72" t="n">
        <v>-44.52</v>
      </c>
      <c r="AP281" s="72" t="n">
        <v>-29.04</v>
      </c>
      <c r="AQ281" s="72" t="n">
        <v>-25.81</v>
      </c>
      <c r="AR281" s="72" t="n">
        <v>-34.68</v>
      </c>
      <c r="AS281" s="72" t="n">
        <v>-34.14</v>
      </c>
      <c r="AT281" s="72" t="n">
        <v>-34.57</v>
      </c>
      <c r="AU281" s="72" t="n">
        <v>-33.26</v>
      </c>
      <c r="AV281" s="72" t="n">
        <v>-24.6</v>
      </c>
      <c r="AW281" s="72" t="n">
        <v>-2.42</v>
      </c>
      <c r="AX281" s="72" t="n">
        <v>-1.21</v>
      </c>
      <c r="AY281" s="63" t="inlineStr">
        <is>
          <t>Hang Seng Commerce &amp; Industry sub-index</t>
        </is>
      </c>
      <c r="AZ281" s="72" t="n">
        <v>31.51</v>
      </c>
      <c r="BA281" s="64" t="inlineStr">
        <is>
          <t>2026-08-28</t>
        </is>
      </c>
      <c r="BB281" s="65" t="n">
        <v>526.1</v>
      </c>
      <c r="BC281" s="68" t="n">
        <v>76.90000000000001</v>
      </c>
      <c r="BD281" s="63" t="inlineStr">
        <is>
          <t>Y</t>
        </is>
      </c>
      <c r="BE281" s="74" t="n">
        <v>9.5</v>
      </c>
      <c r="BF281" s="74" t="n"/>
      <c r="BG281" s="74" t="n">
        <v>57.2</v>
      </c>
      <c r="BH281" s="74" t="n">
        <v>1.4</v>
      </c>
      <c r="BI281" s="75">
        <f>IF('BBG Verify'!S281="","not filed — run on terminal",'BBG Verify'!S281)</f>
        <v/>
      </c>
      <c r="BJ281" s="76" t="inlineStr">
        <is>
          <t>N</t>
        </is>
      </c>
      <c r="BK281" s="77">
        <f>IF('BBG Verify'!K281="","not filed — run on terminal",'BBG Verify'!K281)</f>
        <v/>
      </c>
      <c r="BL281" s="63" t="inlineStr">
        <is>
          <t>N/A</t>
        </is>
      </c>
      <c r="BM281" s="63" t="inlineStr">
        <is>
          <t>N/A</t>
        </is>
      </c>
      <c r="BN281" s="63" t="inlineStr">
        <is>
          <t>N/A</t>
        </is>
      </c>
      <c r="BO281" s="63" t="inlineStr">
        <is>
          <t>N/A</t>
        </is>
      </c>
      <c r="BP281" s="63" t="inlineStr">
        <is>
          <t>N/A</t>
        </is>
      </c>
      <c r="BQ281" s="63" t="inlineStr">
        <is>
          <t>N/A</t>
        </is>
      </c>
      <c r="BR281" s="76" t="inlineStr">
        <is>
          <t>Alliance Capital Partners Limited</t>
        </is>
      </c>
      <c r="BS281" s="63" t="inlineStr">
        <is>
          <t>Alliance Capital Partners Limited</t>
        </is>
      </c>
      <c r="BT281" s="63" t="inlineStr">
        <is>
          <t>Alliance Capital Partners Limited; China Galaxy International Securities (Hong Kong) Co., Limited; CMBC Securities Company Limited; ABCI Capital Limited; China Industrial Securities International Capital Limited</t>
        </is>
      </c>
      <c r="BU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V281" s="78">
        <f>HYPERLINK("https://www1.hkexnews.hk/listedco/listconews/sehk/2024/0927/2024092700039.pdf","prospectus")</f>
        <v/>
      </c>
      <c r="BW281" s="78">
        <f>HYPERLINK("https://www1.hkexnews.hk/listedco/listconews/sehk/2024/1008/2024100801016.pdf","allotment")</f>
        <v/>
      </c>
      <c r="BX281" s="63" t="n"/>
      <c r="BY281" s="76" t="n"/>
      <c r="BZ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72" t="n">
        <v>-33.1</v>
      </c>
      <c r="AC282" s="66" t="n">
        <v>1.84</v>
      </c>
      <c r="AD282" s="72" t="n">
        <v>-35.32</v>
      </c>
      <c r="AE282" s="63" t="inlineStr">
        <is>
          <t>Y</t>
        </is>
      </c>
      <c r="AF282" s="63" t="inlineStr">
        <is>
          <t>lapsed (no over-allocation)</t>
        </is>
      </c>
      <c r="AG282" s="63" t="n"/>
      <c r="AH282" s="63" t="inlineStr">
        <is>
          <t>Shenwan Hongyuan Securities</t>
        </is>
      </c>
      <c r="AI282" s="63" t="inlineStr">
        <is>
          <t>Shenwan Hongyuan</t>
        </is>
      </c>
      <c r="AJ282" s="73" t="n">
        <v>-56.73</v>
      </c>
      <c r="AK282" s="72" t="n">
        <v>-41.82</v>
      </c>
      <c r="AL282" s="72" t="n">
        <v>-25.63</v>
      </c>
      <c r="AM282" s="72" t="n">
        <v>-56.73</v>
      </c>
      <c r="AN282" s="72" t="n">
        <v>-62.55</v>
      </c>
      <c r="AO282" s="72" t="n">
        <v>-75.27</v>
      </c>
      <c r="AP282" s="72" t="n">
        <v>0</v>
      </c>
      <c r="AQ282" s="72" t="n">
        <v>-13.45</v>
      </c>
      <c r="AR282" s="72" t="n">
        <v>-42.85</v>
      </c>
      <c r="AS282" s="72" t="n">
        <v>-60.39</v>
      </c>
      <c r="AT282" s="72" t="n">
        <v>-59.44</v>
      </c>
      <c r="AU282" s="72" t="n">
        <v>-74.34999999999999</v>
      </c>
      <c r="AV282" s="72" t="n">
        <v>-11.42</v>
      </c>
      <c r="AW282" s="72" t="n">
        <v>-3.11</v>
      </c>
      <c r="AX282" s="72" t="n">
        <v>-2.03</v>
      </c>
      <c r="AY282" s="63" t="inlineStr">
        <is>
          <t>HSTECH (Hang Seng TECH ETF)</t>
        </is>
      </c>
      <c r="AZ282" s="72" t="n">
        <v>-87.45</v>
      </c>
      <c r="BA282" s="64" t="inlineStr">
        <is>
          <t>2026-08-28</t>
        </is>
      </c>
      <c r="BB282" s="65" t="n">
        <v>1467.4</v>
      </c>
      <c r="BC282" s="68" t="n">
        <v>-356.5</v>
      </c>
      <c r="BD282" s="63" t="inlineStr">
        <is>
          <t>N</t>
        </is>
      </c>
      <c r="BE282" s="63" t="inlineStr">
        <is>
          <t>n/m</t>
        </is>
      </c>
      <c r="BF282" s="74" t="n"/>
      <c r="BG282" s="74" t="n"/>
      <c r="BH282" s="74" t="n">
        <v>3.7</v>
      </c>
      <c r="BI282" s="75">
        <f>IF('BBG Verify'!S282="","not filed — run on terminal",'BBG Verify'!S282)</f>
        <v/>
      </c>
      <c r="BJ282" s="76" t="inlineStr">
        <is>
          <t>N</t>
        </is>
      </c>
      <c r="BK282" s="77">
        <f>IF('BBG Verify'!K282="","not filed — run on terminal",'BBG Verify'!K282)</f>
        <v/>
      </c>
      <c r="BL282" s="63" t="inlineStr">
        <is>
          <t>N/A</t>
        </is>
      </c>
      <c r="BM282" s="63" t="inlineStr">
        <is>
          <t>N/A</t>
        </is>
      </c>
      <c r="BN282" s="63" t="inlineStr">
        <is>
          <t>N/A</t>
        </is>
      </c>
      <c r="BO282" s="63" t="inlineStr">
        <is>
          <t>N/A</t>
        </is>
      </c>
      <c r="BP282" s="63" t="inlineStr">
        <is>
          <t>N/A</t>
        </is>
      </c>
      <c r="BQ282" s="63" t="inlineStr">
        <is>
          <t>N/A</t>
        </is>
      </c>
      <c r="BR282" s="76" t="inlineStr">
        <is>
          <t>Shenwan Hongyuan Capital (H.K.) Limited; BOCOM International (Asia) Limited</t>
        </is>
      </c>
      <c r="BS282" s="63" t="inlineStr">
        <is>
          <t>Shenwan Hongyuan Capital (H.K.) Limited</t>
        </is>
      </c>
      <c r="BT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U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V282" s="78">
        <f>HYPERLINK("https://www1.hkexnews.hk/listedco/listconews/sehk/2024/0930/2024093000011.pdf","prospectus")</f>
        <v/>
      </c>
      <c r="BW282" s="78">
        <f>HYPERLINK("https://www1.hkexnews.hk/listedco/listconews/sehk/2024/1015/2024101500998.pdf","allotment")</f>
        <v/>
      </c>
      <c r="BX282" s="78">
        <f>HYPERLINK("https://www1.hkexnews.hk/listedco/listconews/sehk/2024/1111/2024111100811.pdf","stabilisation")</f>
        <v/>
      </c>
      <c r="BY282" s="76" t="n"/>
      <c r="BZ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72" t="n"/>
      <c r="AC283" s="66" t="n"/>
      <c r="AD283" s="72" t="n"/>
      <c r="AE283" s="63" t="n"/>
      <c r="AF283" s="63" t="inlineStr">
        <is>
          <t>partial</t>
        </is>
      </c>
      <c r="AG283" s="63" t="inlineStr">
        <is>
          <t>2024-11-17</t>
        </is>
      </c>
      <c r="AH283" s="63" t="inlineStr">
        <is>
          <t>UBS AG Hong Kong Branch</t>
        </is>
      </c>
      <c r="AI283" s="63" t="inlineStr">
        <is>
          <t>UBS</t>
        </is>
      </c>
      <c r="AJ283" s="73" t="n">
        <v>15.03</v>
      </c>
      <c r="AK283" s="72" t="n">
        <v>13.52</v>
      </c>
      <c r="AL283" s="72" t="n">
        <v>1.33</v>
      </c>
      <c r="AM283" s="72" t="n">
        <v>6.62</v>
      </c>
      <c r="AN283" s="72" t="n">
        <v>-15.03</v>
      </c>
      <c r="AO283" s="72" t="n">
        <v>-18.07</v>
      </c>
      <c r="AP283" s="72" t="n">
        <v>-7.31</v>
      </c>
      <c r="AQ283" s="72" t="n">
        <v>-26.13</v>
      </c>
      <c r="AR283" s="72" t="n">
        <v>-28.78</v>
      </c>
      <c r="AS283" s="72" t="n">
        <v>7.43</v>
      </c>
      <c r="AT283" s="72" t="n">
        <v>-9.75</v>
      </c>
      <c r="AU283" s="72" t="n">
        <v>-12.42</v>
      </c>
      <c r="AV283" s="72" t="n">
        <v>-19.27</v>
      </c>
      <c r="AW283" s="72" t="n">
        <v>-5.28</v>
      </c>
      <c r="AX283" s="72" t="n">
        <v>-6.86</v>
      </c>
      <c r="AY283" s="63" t="inlineStr">
        <is>
          <t>Hang Seng Commerce &amp; Industry sub-index</t>
        </is>
      </c>
      <c r="AZ283" s="72" t="n">
        <v>-49.69</v>
      </c>
      <c r="BA283" s="64" t="inlineStr">
        <is>
          <t>2026-08-28</t>
        </is>
      </c>
      <c r="BB283" s="65" t="n">
        <v>14866.2</v>
      </c>
      <c r="BC283" s="68" t="n">
        <v>1464.5</v>
      </c>
      <c r="BD283" s="63" t="inlineStr">
        <is>
          <t>Y</t>
        </is>
      </c>
      <c r="BE283" s="74" t="n">
        <v>23.3</v>
      </c>
      <c r="BF283" s="74" t="n">
        <v>23.2</v>
      </c>
      <c r="BG283" s="74" t="n">
        <v>16</v>
      </c>
      <c r="BH283" s="74" t="n">
        <v>2.3</v>
      </c>
      <c r="BI283" s="75">
        <f>IF('BBG Verify'!S283="","not filed — run on terminal",'BBG Verify'!S283)</f>
        <v/>
      </c>
      <c r="BJ283" s="76" t="inlineStr">
        <is>
          <t>N</t>
        </is>
      </c>
      <c r="BK283" s="77">
        <f>IF('BBG Verify'!K283="","not filed — run on terminal",'BBG Verify'!K283)</f>
        <v/>
      </c>
      <c r="BL283" s="63" t="inlineStr">
        <is>
          <t>N/A</t>
        </is>
      </c>
      <c r="BM283" s="63" t="inlineStr">
        <is>
          <t>N/A</t>
        </is>
      </c>
      <c r="BN283" s="63" t="inlineStr">
        <is>
          <t>N/A</t>
        </is>
      </c>
      <c r="BO283" s="63" t="inlineStr">
        <is>
          <t>N/A</t>
        </is>
      </c>
      <c r="BP283" s="63" t="inlineStr">
        <is>
          <t>N/A</t>
        </is>
      </c>
      <c r="BQ283" s="63" t="inlineStr">
        <is>
          <t>N/A</t>
        </is>
      </c>
      <c r="BR283" s="76" t="inlineStr">
        <is>
          <t>UBS Securities Hong Kong Limited; BOCI Asia Limited; CITIC Securities (Hong Kong) Limited; Merrill Lynch (Asia Pacific) Limited</t>
        </is>
      </c>
      <c r="BS283" s="63" t="inlineStr">
        <is>
          <t>UBS Securities Hong Kong Limited; Merrill Lynch (Asia Pacific) Limited; CITIC Securities (Hong Kong) Limited; BOCI Asia Limited</t>
        </is>
      </c>
      <c r="BT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U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V283" s="78">
        <f>HYPERLINK("https://www1.hkexnews.hk/listedco/listconews/sehk/2024/1015/2024101500009.pdf","prospectus")</f>
        <v/>
      </c>
      <c r="BW283" s="78">
        <f>HYPERLINK("https://www1.hkexnews.hk/listedco/listconews/sehk/2024/1022/2024102201053.pdf","allotment")</f>
        <v/>
      </c>
      <c r="BX283" s="78">
        <f>HYPERLINK("https://www1.hkexnews.hk/listedco/listconews/sehk/2024/1118/2024111801006.pdf","stabilisation")</f>
        <v/>
      </c>
      <c r="BY283" s="76" t="n"/>
      <c r="BZ283"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72" t="n"/>
      <c r="AC284" s="66" t="n"/>
      <c r="AD284" s="72" t="n"/>
      <c r="AE284" s="63" t="n"/>
      <c r="AF284" s="63" t="inlineStr">
        <is>
          <t>partial</t>
        </is>
      </c>
      <c r="AG284" s="63" t="n"/>
      <c r="AH284" s="63" t="inlineStr">
        <is>
          <t>Goldman Sachs</t>
        </is>
      </c>
      <c r="AI284" s="63" t="inlineStr">
        <is>
          <t>Goldman Sachs</t>
        </is>
      </c>
      <c r="AJ284" s="73" t="n">
        <v>2.76</v>
      </c>
      <c r="AK284" s="72" t="n">
        <v>28.32</v>
      </c>
      <c r="AL284" s="72" t="n">
        <v>-19.92</v>
      </c>
      <c r="AM284" s="72" t="n">
        <v>19.55</v>
      </c>
      <c r="AN284" s="72" t="n">
        <v>-4.76</v>
      </c>
      <c r="AO284" s="72" t="n">
        <v>10.03</v>
      </c>
      <c r="AP284" s="72" t="n">
        <v>16.34</v>
      </c>
      <c r="AQ284" s="72" t="n">
        <v>-7.32</v>
      </c>
      <c r="AR284" s="72" t="n">
        <v>7.07</v>
      </c>
      <c r="AS284" s="72" t="n">
        <v>22.2</v>
      </c>
      <c r="AT284" s="72" t="n">
        <v>3.41</v>
      </c>
      <c r="AU284" s="72" t="n">
        <v>9.32</v>
      </c>
      <c r="AV284" s="72" t="n">
        <v>-1.74</v>
      </c>
      <c r="AW284" s="72" t="n">
        <v>-8.17</v>
      </c>
      <c r="AX284" s="72" t="n">
        <v>-5.58</v>
      </c>
      <c r="AY284" s="63" t="inlineStr">
        <is>
          <t>HSTECH (Hang Seng TECH ETF)</t>
        </is>
      </c>
      <c r="AZ284" s="72" t="n">
        <v>18.92</v>
      </c>
      <c r="BA284" s="64" t="inlineStr">
        <is>
          <t>2026-08-28</t>
        </is>
      </c>
      <c r="BB284" s="65" t="n">
        <v>1706.8</v>
      </c>
      <c r="BC284" s="68" t="n">
        <v>-7413</v>
      </c>
      <c r="BD284" s="63" t="inlineStr">
        <is>
          <t>N</t>
        </is>
      </c>
      <c r="BE284" s="63" t="inlineStr">
        <is>
          <t>n/m</t>
        </is>
      </c>
      <c r="BF284" s="74" t="n"/>
      <c r="BG284" s="74" t="n"/>
      <c r="BH284" s="74" t="n">
        <v>30.5</v>
      </c>
      <c r="BI284" s="75">
        <f>IF('BBG Verify'!S284="","not filed — run on terminal",'BBG Verify'!S284)</f>
        <v/>
      </c>
      <c r="BJ284" s="76" t="inlineStr">
        <is>
          <t>N</t>
        </is>
      </c>
      <c r="BK284" s="77">
        <f>IF('BBG Verify'!K284="","not filed — run on terminal",'BBG Verify'!K284)</f>
        <v/>
      </c>
      <c r="BL284" s="63" t="inlineStr">
        <is>
          <t>N/A</t>
        </is>
      </c>
      <c r="BM284" s="63" t="inlineStr">
        <is>
          <t>N/A</t>
        </is>
      </c>
      <c r="BN284" s="63" t="inlineStr">
        <is>
          <t>N/A</t>
        </is>
      </c>
      <c r="BO284" s="63" t="inlineStr">
        <is>
          <t>N/A</t>
        </is>
      </c>
      <c r="BP284" s="63" t="inlineStr">
        <is>
          <t>N/A</t>
        </is>
      </c>
      <c r="BQ284" s="63" t="inlineStr">
        <is>
          <t>N/A</t>
        </is>
      </c>
      <c r="BR284" s="76" t="n"/>
      <c r="BS284" s="63" t="inlineStr">
        <is>
          <t>Morgan Stanley Asia Limited; Goldman Sachs (Asia) L.L.C.; China Securities (International) Corporate Finance Company Limited</t>
        </is>
      </c>
      <c r="BT284" s="63" t="inlineStr">
        <is>
          <t>ABCI Securities Company Limited; BOCI Asia Limited; BOCOM International Securities Limited; CCB International Capital Limited; CEB International Capital Corporation Limited; China Galaxy International Securities (Hong Kong)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V284" s="78">
        <f>HYPERLINK("https://www1.hkexnews.hk/listedco/listconews/sehk/2024/1016/2024101600024.htm","prospectus")</f>
        <v/>
      </c>
      <c r="BW284" s="78">
        <f>HYPERLINK("https://www1.hkexnews.hk/listedco/listconews/sehk/2024/1023/2024102300943.pdf","allotment")</f>
        <v/>
      </c>
      <c r="BX284" s="78">
        <f>HYPERLINK("https://www1.hkexnews.hk/listedco/listconews/sehk/2024/1120/2024112001092.pdf","stabilisation")</f>
        <v/>
      </c>
      <c r="BY284" s="76" t="n"/>
      <c r="BZ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72" t="n"/>
      <c r="AC285" s="66" t="n"/>
      <c r="AD285" s="72" t="n"/>
      <c r="AE285" s="63" t="n"/>
      <c r="AF285" s="63" t="inlineStr">
        <is>
          <t>lapsed</t>
        </is>
      </c>
      <c r="AG285" s="63" t="n"/>
      <c r="AH285" s="63" t="inlineStr">
        <is>
          <t>Guotai Junan Securities</t>
        </is>
      </c>
      <c r="AI285" s="63" t="inlineStr">
        <is>
          <t>Guotai Junan</t>
        </is>
      </c>
      <c r="AJ285" s="73" t="n">
        <v>-13.64</v>
      </c>
      <c r="AK285" s="72" t="n">
        <v>-7.64</v>
      </c>
      <c r="AL285" s="72" t="n">
        <v>-6.5</v>
      </c>
      <c r="AM285" s="72" t="n">
        <v>-17.45</v>
      </c>
      <c r="AN285" s="72" t="n">
        <v>8.18</v>
      </c>
      <c r="AO285" s="72" t="n">
        <v>-17.45</v>
      </c>
      <c r="AP285" s="72" t="n">
        <v>-4.41</v>
      </c>
      <c r="AQ285" s="72" t="n">
        <v>25.27</v>
      </c>
      <c r="AR285" s="72" t="n">
        <v>-4.41</v>
      </c>
      <c r="AS285" s="72" t="n">
        <v>-16.12</v>
      </c>
      <c r="AT285" s="72" t="n">
        <v>15.56</v>
      </c>
      <c r="AU285" s="72" t="n">
        <v>-17.9</v>
      </c>
      <c r="AV285" s="72" t="n">
        <v>30.97</v>
      </c>
      <c r="AW285" s="72" t="n">
        <v>-7.38</v>
      </c>
      <c r="AX285" s="72" t="n">
        <v>-5.7</v>
      </c>
      <c r="AY285" s="63" t="inlineStr">
        <is>
          <t>Hang Seng Commerce &amp; Industry sub-index</t>
        </is>
      </c>
      <c r="AZ285" s="72" t="n">
        <v>84.55</v>
      </c>
      <c r="BA285" s="64" t="inlineStr">
        <is>
          <t>2026-08-28</t>
        </is>
      </c>
      <c r="BB285" s="65" t="n">
        <v>13466.1</v>
      </c>
      <c r="BC285" s="68" t="n">
        <v>-2013.6</v>
      </c>
      <c r="BD285" s="63" t="inlineStr">
        <is>
          <t>N</t>
        </is>
      </c>
      <c r="BE285" s="63" t="inlineStr">
        <is>
          <t>n/m</t>
        </is>
      </c>
      <c r="BF285" s="74" t="n"/>
      <c r="BG285" s="74" t="n">
        <v>94.3</v>
      </c>
      <c r="BH285" s="74" t="n">
        <v>0.3</v>
      </c>
      <c r="BI285" s="75">
        <f>IF('BBG Verify'!S285="","not filed — run on terminal",'BBG Verify'!S285)</f>
        <v/>
      </c>
      <c r="BJ285" s="76" t="inlineStr">
        <is>
          <t>Y</t>
        </is>
      </c>
      <c r="BK285" s="63" t="inlineStr">
        <is>
          <t>603906.SS</t>
        </is>
      </c>
      <c r="BL285" s="72" t="n">
        <v>103.17</v>
      </c>
      <c r="BM285" s="66" t="n">
        <v>11.1743</v>
      </c>
      <c r="BN285" s="80" t="n">
        <v>1.2624</v>
      </c>
      <c r="BO285" s="68" t="n">
        <v>17900.2</v>
      </c>
      <c r="BP285" s="75">
        <f>IF('BBG Verify'!Q285="","run on terminal",'BBG Verify'!Q285)</f>
        <v/>
      </c>
      <c r="BQ285" s="75">
        <f>IF('BBG Verify'!R285="","run on terminal",'BBG Verify'!R285)</f>
        <v/>
      </c>
      <c r="BR285" s="76" t="inlineStr">
        <is>
          <t>Guotai Junan Capital Limited; Halcyon Capital Limited</t>
        </is>
      </c>
      <c r="BS285" s="63" t="inlineStr">
        <is>
          <t>Guotai Junan Capital Limited; Halcyon Capital Limited</t>
        </is>
      </c>
      <c r="BT285" s="63" t="inlineStr">
        <is>
          <t>ABCI Securities Company Limited</t>
        </is>
      </c>
      <c r="BU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V285" s="78">
        <f>HYPERLINK("https://www1.hkexnews.hk/listedco/listconews/sehk/2024/1022/2024102200007.pdf","prospectus")</f>
        <v/>
      </c>
      <c r="BW285" s="78">
        <f>HYPERLINK("https://www1.hkexnews.hk/listedco/listconews/sehk/2024/1029/2024102901308.pdf","allotment")</f>
        <v/>
      </c>
      <c r="BX285" s="78">
        <f>HYPERLINK("https://www1.hkexnews.hk/listedco/listconews/sehk/2024/1125/2024112500279.pdf","stabilisation")</f>
        <v/>
      </c>
      <c r="BY285" s="76" t="n"/>
      <c r="BZ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no grey-market headline on file for this deal — AAStocks publishes one per listing but keeps only recent items on the stock's news page, and no public archive of past evening sessions exists; captured from this run onward</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72" t="n"/>
      <c r="AC286" s="66" t="n"/>
      <c r="AD286" s="72" t="n"/>
      <c r="AE286" s="63" t="n"/>
      <c r="AF286" s="63" t="n"/>
      <c r="AG286" s="63" t="n"/>
      <c r="AH286" s="63" t="n"/>
      <c r="AI286" s="63" t="n"/>
      <c r="AJ286" s="73" t="n">
        <v>30</v>
      </c>
      <c r="AK286" s="72" t="n">
        <v>34.38</v>
      </c>
      <c r="AL286" s="72" t="n">
        <v>-3.26</v>
      </c>
      <c r="AM286" s="72" t="n">
        <v>75</v>
      </c>
      <c r="AN286" s="72" t="n">
        <v>74.69</v>
      </c>
      <c r="AO286" s="72" t="n">
        <v>-2.88</v>
      </c>
      <c r="AP286" s="72" t="n">
        <v>34.62</v>
      </c>
      <c r="AQ286" s="72" t="n">
        <v>34.38</v>
      </c>
      <c r="AR286" s="72" t="n">
        <v>-25.29</v>
      </c>
      <c r="AS286" s="72" t="n">
        <v>70.58</v>
      </c>
      <c r="AT286" s="72" t="n">
        <v>73.83</v>
      </c>
      <c r="AU286" s="72" t="n">
        <v>0.74</v>
      </c>
      <c r="AV286" s="72" t="n">
        <v>32.32</v>
      </c>
      <c r="AW286" s="72" t="n">
        <v>0.86</v>
      </c>
      <c r="AX286" s="72" t="n">
        <v>2.06</v>
      </c>
      <c r="AY286" s="63" t="inlineStr">
        <is>
          <t>China Biotech ETF (HS biotech proxy)</t>
        </is>
      </c>
      <c r="AZ286" s="72" t="n">
        <v>-76.62</v>
      </c>
      <c r="BA286" s="64" t="inlineStr">
        <is>
          <t>2026-08-28</t>
        </is>
      </c>
      <c r="BB286" s="65" t="n">
        <v>73.3</v>
      </c>
      <c r="BC286" s="68" t="n">
        <v>-91.8</v>
      </c>
      <c r="BD286" s="63" t="inlineStr">
        <is>
          <t>N</t>
        </is>
      </c>
      <c r="BE286" s="63" t="inlineStr">
        <is>
          <t>n/m</t>
        </is>
      </c>
      <c r="BF286" s="74" t="n"/>
      <c r="BG286" s="74" t="n"/>
      <c r="BH286" s="74" t="n">
        <v>79.59999999999999</v>
      </c>
      <c r="BI286" s="75">
        <f>IF('BBG Verify'!S286="","not filed — run on terminal",'BBG Verify'!S286)</f>
        <v/>
      </c>
      <c r="BJ286" s="76" t="inlineStr">
        <is>
          <t>N</t>
        </is>
      </c>
      <c r="BK286" s="77">
        <f>IF('BBG Verify'!K286="","not filed — run on terminal",'BBG Verify'!K286)</f>
        <v/>
      </c>
      <c r="BL286" s="63" t="inlineStr">
        <is>
          <t>N/A</t>
        </is>
      </c>
      <c r="BM286" s="63" t="inlineStr">
        <is>
          <t>N/A</t>
        </is>
      </c>
      <c r="BN286" s="63" t="inlineStr">
        <is>
          <t>N/A</t>
        </is>
      </c>
      <c r="BO286" s="63" t="inlineStr">
        <is>
          <t>N/A</t>
        </is>
      </c>
      <c r="BP286" s="63" t="inlineStr">
        <is>
          <t>N/A</t>
        </is>
      </c>
      <c r="BQ286" s="63" t="inlineStr">
        <is>
          <t>N/A</t>
        </is>
      </c>
      <c r="BR286" s="76" t="n"/>
      <c r="BS286" s="63" t="inlineStr">
        <is>
          <t>CCB International Capital Limited; China Securities (International) Corporate Finance Company Limited</t>
        </is>
      </c>
      <c r="BT286" s="63" t="inlineStr">
        <is>
          <t>CCB International Capital Limited; CGS International Securities Hong Kong Limited; Citrus Securities Limited; CMBC Securities Company Limited; China Securities (International) Corporate Finance Company Limited; Fosun International Securities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V286" s="78">
        <f>HYPERLINK("https://www1.hkexnews.hk/listedco/listconews/sehk/2024/1023/2024102300015.pdf","prospectus")</f>
        <v/>
      </c>
      <c r="BW286" s="78">
        <f>HYPERLINK("https://www1.hkexnews.hk/listedco/listconews/sehk/2024/1030/2024103002007.pdf","allotment")</f>
        <v/>
      </c>
      <c r="BX286" s="63" t="n"/>
      <c r="BY286" s="76" t="n"/>
      <c r="BZ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72" t="n"/>
      <c r="AC287" s="66" t="n"/>
      <c r="AD287" s="72" t="n"/>
      <c r="AE287" s="63" t="n"/>
      <c r="AF287" s="63" t="inlineStr">
        <is>
          <t>partial</t>
        </is>
      </c>
      <c r="AG287" s="63" t="inlineStr">
        <is>
          <t>2024-11-28</t>
        </is>
      </c>
      <c r="AH287" s="63" t="inlineStr">
        <is>
          <t>J.P. Morgan Securities</t>
        </is>
      </c>
      <c r="AI287" s="63" t="inlineStr">
        <is>
          <t>JP Morgan</t>
        </is>
      </c>
      <c r="AJ287" s="73" t="n">
        <v>-1.91</v>
      </c>
      <c r="AK287" s="72" t="n">
        <v>0</v>
      </c>
      <c r="AL287" s="72" t="n">
        <v>-1.91</v>
      </c>
      <c r="AM287" s="72" t="n">
        <v>-0</v>
      </c>
      <c r="AN287" s="72" t="n">
        <v>7.66</v>
      </c>
      <c r="AO287" s="72" t="n">
        <v>3.35</v>
      </c>
      <c r="AP287" s="72" t="n">
        <v>1.95</v>
      </c>
      <c r="AQ287" s="72" t="n">
        <v>9.76</v>
      </c>
      <c r="AR287" s="72" t="n">
        <v>5.36</v>
      </c>
      <c r="AS287" s="72" t="n">
        <v>-1.93</v>
      </c>
      <c r="AT287" s="72" t="n">
        <v>11.61</v>
      </c>
      <c r="AU287" s="72" t="n">
        <v>-0.68</v>
      </c>
      <c r="AV287" s="72" t="n">
        <v>14.67</v>
      </c>
      <c r="AW287" s="72" t="n">
        <v>-3.95</v>
      </c>
      <c r="AX287" s="72" t="n">
        <v>-4.91</v>
      </c>
      <c r="AY287" s="63" t="inlineStr">
        <is>
          <t>Hang Seng Commerce &amp; Industry sub-index</t>
        </is>
      </c>
      <c r="AZ287" s="72" t="n">
        <v>228.95</v>
      </c>
      <c r="BA287" s="64" t="inlineStr">
        <is>
          <t>2026-08-28</t>
        </is>
      </c>
      <c r="BB287" s="65" t="n">
        <v>6821.9</v>
      </c>
      <c r="BC287" s="68" t="n">
        <v>-245.9</v>
      </c>
      <c r="BD287" s="63" t="inlineStr">
        <is>
          <t>N</t>
        </is>
      </c>
      <c r="BE287" s="63" t="inlineStr">
        <is>
          <t>n/m</t>
        </is>
      </c>
      <c r="BF287" s="74" t="n"/>
      <c r="BG287" s="74" t="n">
        <v>6.7</v>
      </c>
      <c r="BH287" s="74" t="n">
        <v>1</v>
      </c>
      <c r="BI287" s="75">
        <f>IF('BBG Verify'!S287="","not filed — run on terminal",'BBG Verify'!S287)</f>
        <v/>
      </c>
      <c r="BJ287" s="76" t="inlineStr">
        <is>
          <t>N</t>
        </is>
      </c>
      <c r="BK287" s="77">
        <f>IF('BBG Verify'!K287="","not filed — run on terminal",'BBG Verify'!K287)</f>
        <v/>
      </c>
      <c r="BL287" s="63" t="inlineStr">
        <is>
          <t>N/A</t>
        </is>
      </c>
      <c r="BM287" s="63" t="inlineStr">
        <is>
          <t>N/A</t>
        </is>
      </c>
      <c r="BN287" s="63" t="inlineStr">
        <is>
          <t>N/A</t>
        </is>
      </c>
      <c r="BO287" s="63" t="inlineStr">
        <is>
          <t>N/A</t>
        </is>
      </c>
      <c r="BP287" s="63" t="inlineStr">
        <is>
          <t>N/A</t>
        </is>
      </c>
      <c r="BQ287" s="63" t="inlineStr">
        <is>
          <t>N/A</t>
        </is>
      </c>
      <c r="BR287" s="76" t="inlineStr">
        <is>
          <t>J.P. Morgan Securities (Far East) Limited; China Merchants Securities (HK) Co., Limited</t>
        </is>
      </c>
      <c r="BS287" s="63" t="inlineStr">
        <is>
          <t>J.P. Morgan Securities (Far East) Limited; China Merchants Securities (HK) Company Limited</t>
        </is>
      </c>
      <c r="BT287" s="63" t="inlineStr">
        <is>
          <t>J.P. Morgan Securities (Asia Pacific) Limited; China Merchants Securities (HK) Co., Limited; Futu Securities International (Hong Kong) Limited; Yuanta Securities (Hong Kong) Company Limited; Livermore Holdings Limited</t>
        </is>
      </c>
      <c r="BU287" s="63" t="inlineStr">
        <is>
          <t>China Merchants Securities (HK) Company Limited; Futu Securities International (Hong Kong) Limited; J.P. Morgan Securities (Asia Pacific) Limited; Livermore Holdings Limited; Yuanta Securities (Hong Kong) Company Limited</t>
        </is>
      </c>
      <c r="BV287" s="78">
        <f>HYPERLINK("https://www1.hkexnews.hk/listedco/listconews/sehk/2024/1024/2024102400036.pdf","prospectus")</f>
        <v/>
      </c>
      <c r="BW287" s="78">
        <f>HYPERLINK("https://www1.hkexnews.hk/listedco/listconews/sehk/2024/1031/2024103101844.pdf","allotment")</f>
        <v/>
      </c>
      <c r="BX287" s="78">
        <f>HYPERLINK("https://www1.hkexnews.hk/listedco/listconews/sehk/2024/1128/2024112802025.pdf","stabilisation")</f>
        <v/>
      </c>
      <c r="BY287" s="76" t="n"/>
      <c r="BZ287" s="63" t="inlineStr">
        <is>
          <t>P/E: n/m — loss-making at IPO (use P/S) · A/H: no A-share listing · cornerstone: AAStocks institutional table includes non-cornerstone orders (superset) — cornerstone % is from the prospectus · grey market: no grey-market headline on file for this deal — AAStocks publishes one per listing but keeps only recent items on the stock's news page, and no public archive of past evening sessions exists; captured from this run onward</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72" t="n">
        <v>-11.4</v>
      </c>
      <c r="AC288" s="66" t="n">
        <v>13.82</v>
      </c>
      <c r="AD288" s="72" t="n">
        <v>-0.01</v>
      </c>
      <c r="AE288" s="63" t="inlineStr">
        <is>
          <t>Y</t>
        </is>
      </c>
      <c r="AF288" s="63" t="inlineStr">
        <is>
          <t>lapsed</t>
        </is>
      </c>
      <c r="AG288" s="63" t="inlineStr">
        <is>
          <t>2024-12-05</t>
        </is>
      </c>
      <c r="AH288" s="63" t="inlineStr">
        <is>
          <t>Huatai Financial Holdings</t>
        </is>
      </c>
      <c r="AI288" s="63" t="inlineStr">
        <is>
          <t>Huatai</t>
        </is>
      </c>
      <c r="AJ288" s="73" t="n">
        <v>-11.41</v>
      </c>
      <c r="AK288" s="72" t="n">
        <v>-11.03</v>
      </c>
      <c r="AL288" s="72" t="n">
        <v>-0.43</v>
      </c>
      <c r="AM288" s="72" t="n">
        <v>-22.82</v>
      </c>
      <c r="AN288" s="72" t="n">
        <v>-19.23</v>
      </c>
      <c r="AO288" s="72" t="n">
        <v>-23.97</v>
      </c>
      <c r="AP288" s="72" t="n">
        <v>-12.88</v>
      </c>
      <c r="AQ288" s="72" t="n">
        <v>-8.83</v>
      </c>
      <c r="AR288" s="72" t="n">
        <v>-14.18</v>
      </c>
      <c r="AS288" s="72" t="n">
        <v>-15.16</v>
      </c>
      <c r="AT288" s="72" t="n">
        <v>-16.55</v>
      </c>
      <c r="AU288" s="72" t="n">
        <v>-29.84</v>
      </c>
      <c r="AV288" s="72" t="n">
        <v>-7.44</v>
      </c>
      <c r="AW288" s="72" t="n">
        <v>-2.68</v>
      </c>
      <c r="AX288" s="72" t="n">
        <v>-1.39</v>
      </c>
      <c r="AY288" s="63" t="inlineStr">
        <is>
          <t>Hang Seng Commerce &amp; Industry sub-index</t>
        </is>
      </c>
      <c r="AZ288" s="72" t="n">
        <v>-75.03</v>
      </c>
      <c r="BA288" s="64" t="inlineStr">
        <is>
          <t>2026-08-28</t>
        </is>
      </c>
      <c r="BB288" s="65" t="n">
        <v>9551.299999999999</v>
      </c>
      <c r="BC288" s="68" t="n">
        <v>572.1</v>
      </c>
      <c r="BD288" s="63" t="inlineStr">
        <is>
          <t>Y</t>
        </is>
      </c>
      <c r="BE288" s="74" t="n">
        <v>11.3</v>
      </c>
      <c r="BF288" s="74" t="n">
        <v>9.300000000000001</v>
      </c>
      <c r="BG288" s="74" t="n">
        <v>8.300000000000001</v>
      </c>
      <c r="BH288" s="74" t="n">
        <v>0.7</v>
      </c>
      <c r="BI288" s="75">
        <f>IF('BBG Verify'!S288="","not filed — run on terminal",'BBG Verify'!S288)</f>
        <v/>
      </c>
      <c r="BJ288" s="76" t="inlineStr">
        <is>
          <t>N</t>
        </is>
      </c>
      <c r="BK288" s="77">
        <f>IF('BBG Verify'!K288="","not filed — run on terminal",'BBG Verify'!K288)</f>
        <v/>
      </c>
      <c r="BL288" s="63" t="inlineStr">
        <is>
          <t>N/A</t>
        </is>
      </c>
      <c r="BM288" s="63" t="inlineStr">
        <is>
          <t>N/A</t>
        </is>
      </c>
      <c r="BN288" s="63" t="inlineStr">
        <is>
          <t>N/A</t>
        </is>
      </c>
      <c r="BO288" s="63" t="inlineStr">
        <is>
          <t>N/A</t>
        </is>
      </c>
      <c r="BP288" s="63" t="inlineStr">
        <is>
          <t>N/A</t>
        </is>
      </c>
      <c r="BQ288" s="63" t="inlineStr">
        <is>
          <t>N/A</t>
        </is>
      </c>
      <c r="BR288" s="76" t="inlineStr">
        <is>
          <t>Huatai Financial Holdings (Hong Kong) Limited</t>
        </is>
      </c>
      <c r="BS288" s="63" t="inlineStr">
        <is>
          <t>Huatai Financial Holdings (Hong Kong) Limited</t>
        </is>
      </c>
      <c r="BT288" s="63" t="inlineStr">
        <is>
          <t>Huatai Financial Holdings (Hong Kong) Limited; CLSA Limited; DBS Asia Capital Limited; Livermore Holdings Limited</t>
        </is>
      </c>
      <c r="BU288" s="63" t="inlineStr">
        <is>
          <t>CLSA Limited; DBS Asia Capital Limited; Huatai Financial Holdings (Hong Kong) Limited; Livermore Holdings Limited</t>
        </is>
      </c>
      <c r="BV288" s="78">
        <f>HYPERLINK("https://www1.hkexnews.hk/listedco/listconews/sehk/2024/1031/2024103100187.pdf","prospectus")</f>
        <v/>
      </c>
      <c r="BW288" s="78">
        <f>HYPERLINK("https://www1.hkexnews.hk/listedco/listconews/sehk/2024/1107/2024110701104.pdf","allotment")</f>
        <v/>
      </c>
      <c r="BX288" s="78">
        <f>HYPERLINK("https://www1.hkexnews.hk/listedco/listconews/sehk/2024/1205/2024120500586.pdf","stabilisation")</f>
        <v/>
      </c>
      <c r="BY288" s="76" t="n"/>
      <c r="BZ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72" t="n"/>
      <c r="AC289" s="66" t="n"/>
      <c r="AD289" s="72" t="n"/>
      <c r="AE289" s="63" t="n"/>
      <c r="AF289" s="63" t="n"/>
      <c r="AG289" s="63" t="n"/>
      <c r="AH289" s="63" t="n"/>
      <c r="AI289" s="63" t="n"/>
      <c r="AJ289" s="73" t="n">
        <v>47.65</v>
      </c>
      <c r="AK289" s="72" t="n">
        <v>16.34</v>
      </c>
      <c r="AL289" s="72" t="n">
        <v>26.91</v>
      </c>
      <c r="AM289" s="72" t="n">
        <v>25.21</v>
      </c>
      <c r="AN289" s="72" t="n">
        <v>-1.94</v>
      </c>
      <c r="AO289" s="72" t="n">
        <v>16.9</v>
      </c>
      <c r="AP289" s="72" t="n">
        <v>-15.2</v>
      </c>
      <c r="AQ289" s="72" t="n">
        <v>-33.59</v>
      </c>
      <c r="AR289" s="72" t="n">
        <v>-20.83</v>
      </c>
      <c r="AS289" s="72" t="n">
        <v>32.91</v>
      </c>
      <c r="AT289" s="72" t="n">
        <v>-1.5</v>
      </c>
      <c r="AU289" s="72" t="n">
        <v>5.72</v>
      </c>
      <c r="AV289" s="72" t="n">
        <v>-33.37</v>
      </c>
      <c r="AW289" s="72" t="n">
        <v>-0.44</v>
      </c>
      <c r="AX289" s="72" t="n">
        <v>-0.22</v>
      </c>
      <c r="AY289" s="63" t="inlineStr">
        <is>
          <t>HSTECH (Hang Seng TECH ETF)</t>
        </is>
      </c>
      <c r="AZ289" s="72" t="n">
        <v>-58.17</v>
      </c>
      <c r="BA289" s="64" t="inlineStr">
        <is>
          <t>2026-08-28</t>
        </is>
      </c>
      <c r="BB289" s="65" t="n">
        <v>2043.8</v>
      </c>
      <c r="BC289" s="68" t="n">
        <v>79.2</v>
      </c>
      <c r="BD289" s="63" t="inlineStr">
        <is>
          <t>Y</t>
        </is>
      </c>
      <c r="BE289" s="74" t="n">
        <v>24.5</v>
      </c>
      <c r="BF289" s="74" t="n">
        <v>30.8</v>
      </c>
      <c r="BG289" s="74" t="n">
        <v>11.1</v>
      </c>
      <c r="BH289" s="74" t="n">
        <v>0.9</v>
      </c>
      <c r="BI289" s="75">
        <f>IF('BBG Verify'!S289="","not filed — run on terminal",'BBG Verify'!S289)</f>
        <v/>
      </c>
      <c r="BJ289" s="76" t="inlineStr">
        <is>
          <t>N</t>
        </is>
      </c>
      <c r="BK289" s="77">
        <f>IF('BBG Verify'!K289="","not filed — run on terminal",'BBG Verify'!K289)</f>
        <v/>
      </c>
      <c r="BL289" s="63" t="inlineStr">
        <is>
          <t>N/A</t>
        </is>
      </c>
      <c r="BM289" s="63" t="inlineStr">
        <is>
          <t>N/A</t>
        </is>
      </c>
      <c r="BN289" s="63" t="inlineStr">
        <is>
          <t>N/A</t>
        </is>
      </c>
      <c r="BO289" s="63" t="inlineStr">
        <is>
          <t>N/A</t>
        </is>
      </c>
      <c r="BP289" s="63" t="inlineStr">
        <is>
          <t>N/A</t>
        </is>
      </c>
      <c r="BQ289" s="63" t="inlineStr">
        <is>
          <t>N/A</t>
        </is>
      </c>
      <c r="BR289" s="76" t="n"/>
      <c r="BS289" s="63" t="inlineStr">
        <is>
          <t>CITIC Securities (Hong Kong) Limited</t>
        </is>
      </c>
      <c r="BT289" s="63" t="inlineStr">
        <is>
          <t>ABCI Securities Company Limited; BOCI Asia Limited; China Galaxy International Securities (Hong Kong) Company Limited; CLSA Limited; China Sunrise Securities (International) Limited; Futu Securities International (Hong Kong) Limited</t>
        </is>
      </c>
      <c r="BU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V289" s="78">
        <f>HYPERLINK("https://www1.hkexnews.hk/listedco/listconews/sehk/2024/1031/2024103100078.htm","prospectus")</f>
        <v/>
      </c>
      <c r="BW289" s="78">
        <f>HYPERLINK("https://www1.hkexnews.hk/listedco/listconews/sehk/2024/1107/2024110701242.pdf","allotment")</f>
        <v/>
      </c>
      <c r="BX289" s="63" t="n"/>
      <c r="BY289" s="76" t="n"/>
      <c r="BZ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72" t="n"/>
      <c r="AC290" s="66" t="n"/>
      <c r="AD290" s="72" t="n"/>
      <c r="AE290" s="63" t="n"/>
      <c r="AF290" s="63" t="n"/>
      <c r="AG290" s="63" t="n"/>
      <c r="AH290" s="63" t="n"/>
      <c r="AI290" s="63" t="n"/>
      <c r="AJ290" s="73" t="n">
        <v>20</v>
      </c>
      <c r="AK290" s="72" t="n">
        <v>26.62</v>
      </c>
      <c r="AL290" s="72" t="n">
        <v>-5.23</v>
      </c>
      <c r="AM290" s="72" t="n">
        <v>48.54</v>
      </c>
      <c r="AN290" s="72" t="n">
        <v>69.84999999999999</v>
      </c>
      <c r="AO290" s="72" t="n">
        <v>132.15</v>
      </c>
      <c r="AP290" s="72" t="n">
        <v>23.78</v>
      </c>
      <c r="AQ290" s="72" t="n">
        <v>41.54</v>
      </c>
      <c r="AR290" s="72" t="n">
        <v>93.45999999999999</v>
      </c>
      <c r="AS290" s="72" t="n">
        <v>49.64</v>
      </c>
      <c r="AT290" s="72" t="n">
        <v>68.18000000000001</v>
      </c>
      <c r="AU290" s="72" t="n">
        <v>111.97</v>
      </c>
      <c r="AV290" s="72" t="n">
        <v>39.99</v>
      </c>
      <c r="AW290" s="72" t="n">
        <v>1.67</v>
      </c>
      <c r="AX290" s="72" t="n">
        <v>1.55</v>
      </c>
      <c r="AY290" s="63" t="inlineStr">
        <is>
          <t>Hang Seng Commerce &amp; Industry sub-index</t>
        </is>
      </c>
      <c r="AZ290" s="72" t="n">
        <v>-86.40000000000001</v>
      </c>
      <c r="BA290" s="64" t="inlineStr">
        <is>
          <t>2026-08-28</t>
        </is>
      </c>
      <c r="BB290" s="65" t="n">
        <v>574.7</v>
      </c>
      <c r="BC290" s="68" t="n">
        <v>-82.5</v>
      </c>
      <c r="BD290" s="63" t="inlineStr">
        <is>
          <t>N</t>
        </is>
      </c>
      <c r="BE290" s="63" t="inlineStr">
        <is>
          <t>n/m</t>
        </is>
      </c>
      <c r="BF290" s="74" t="n"/>
      <c r="BG290" s="74" t="n"/>
      <c r="BH290" s="74" t="n">
        <v>11.8</v>
      </c>
      <c r="BI290" s="75">
        <f>IF('BBG Verify'!S290="","not filed — run on terminal",'BBG Verify'!S290)</f>
        <v/>
      </c>
      <c r="BJ290" s="76" t="inlineStr">
        <is>
          <t>N</t>
        </is>
      </c>
      <c r="BK290" s="77">
        <f>IF('BBG Verify'!K290="","not filed — run on terminal",'BBG Verify'!K290)</f>
        <v/>
      </c>
      <c r="BL290" s="63" t="inlineStr">
        <is>
          <t>N/A</t>
        </is>
      </c>
      <c r="BM290" s="63" t="inlineStr">
        <is>
          <t>N/A</t>
        </is>
      </c>
      <c r="BN290" s="63" t="inlineStr">
        <is>
          <t>N/A</t>
        </is>
      </c>
      <c r="BO290" s="63" t="inlineStr">
        <is>
          <t>N/A</t>
        </is>
      </c>
      <c r="BP290" s="63" t="inlineStr">
        <is>
          <t>N/A</t>
        </is>
      </c>
      <c r="BQ290" s="63" t="inlineStr">
        <is>
          <t>N/A</t>
        </is>
      </c>
      <c r="BR290" s="76" t="inlineStr">
        <is>
          <t>Haitong International Capital Limited; CITIC Securities (Hong Kong) Limited</t>
        </is>
      </c>
      <c r="BS290" s="63" t="inlineStr">
        <is>
          <t>Haitong International Capital Limited; CITIC Securities (Hong Kong) Limited</t>
        </is>
      </c>
      <c r="BT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U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V290" s="78">
        <f>HYPERLINK("https://www1.hkexnews.hk/listedco/listconews/sehk/2024/1107/2024110700009.pdf","prospectus")</f>
        <v/>
      </c>
      <c r="BW290" s="78">
        <f>HYPERLINK("https://www1.hkexnews.hk/listedco/listconews/sehk/2024/1114/2024111400951.pdf","allotment")</f>
        <v/>
      </c>
      <c r="BX290" s="63" t="n"/>
      <c r="BY290" s="76" t="n"/>
      <c r="BZ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72" t="n"/>
      <c r="AC291" s="66" t="n"/>
      <c r="AD291" s="72" t="n"/>
      <c r="AE291" s="63" t="n"/>
      <c r="AF291" s="63" t="inlineStr">
        <is>
          <t>lapsed</t>
        </is>
      </c>
      <c r="AG291" s="63" t="inlineStr">
        <is>
          <t>2024-12-22</t>
        </is>
      </c>
      <c r="AH291" s="63" t="inlineStr">
        <is>
          <t>J.P. Morgan Securities</t>
        </is>
      </c>
      <c r="AI291" s="63" t="inlineStr">
        <is>
          <t>JP Morgan</t>
        </is>
      </c>
      <c r="AJ291" s="73" t="n">
        <v>0</v>
      </c>
      <c r="AK291" s="72" t="n">
        <v>0</v>
      </c>
      <c r="AL291" s="72" t="n">
        <v>0</v>
      </c>
      <c r="AM291" s="72" t="n">
        <v>-4.96</v>
      </c>
      <c r="AN291" s="72" t="n">
        <v>-1.31</v>
      </c>
      <c r="AO291" s="72" t="n">
        <v>10.93</v>
      </c>
      <c r="AP291" s="72" t="n">
        <v>-4.96</v>
      </c>
      <c r="AQ291" s="72" t="n">
        <v>-1.31</v>
      </c>
      <c r="AR291" s="72" t="n">
        <v>10.93</v>
      </c>
      <c r="AS291" s="72" t="n">
        <v>-8.140000000000001</v>
      </c>
      <c r="AT291" s="72" t="n">
        <v>-5.57</v>
      </c>
      <c r="AU291" s="72" t="n">
        <v>-12.2</v>
      </c>
      <c r="AV291" s="72" t="n">
        <v>-2.59</v>
      </c>
      <c r="AW291" s="72" t="n">
        <v>4.26</v>
      </c>
      <c r="AX291" s="72" t="n">
        <v>1.28</v>
      </c>
      <c r="AY291" s="63" t="inlineStr">
        <is>
          <t>Hang Seng Commerce &amp; Industry sub-index</t>
        </is>
      </c>
      <c r="AZ291" s="72" t="n">
        <v>-4.31</v>
      </c>
      <c r="BA291" s="64" t="inlineStr">
        <is>
          <t>2026-08-28</t>
        </is>
      </c>
      <c r="BB291" s="65" t="n">
        <v>284250.3</v>
      </c>
      <c r="BC291" s="68" t="n">
        <v>8702.799999999999</v>
      </c>
      <c r="BD291" s="63" t="inlineStr">
        <is>
          <t>Y</t>
        </is>
      </c>
      <c r="BE291" s="74" t="n">
        <v>17.2</v>
      </c>
      <c r="BF291" s="74" t="n">
        <v>16.1</v>
      </c>
      <c r="BG291" s="74" t="n">
        <v>12.1</v>
      </c>
      <c r="BH291" s="74" t="n">
        <v>0.5</v>
      </c>
      <c r="BI291" s="75">
        <f>IF('BBG Verify'!S291="","not filed — run on terminal",'BBG Verify'!S291)</f>
        <v/>
      </c>
      <c r="BJ291" s="76" t="inlineStr">
        <is>
          <t>Y</t>
        </is>
      </c>
      <c r="BK291" s="63" t="inlineStr">
        <is>
          <t>002352.SZ</t>
        </is>
      </c>
      <c r="BL291" s="72" t="n">
        <v>31.72</v>
      </c>
      <c r="BM291" s="66" t="n">
        <v>45.1814</v>
      </c>
      <c r="BN291" s="80" t="n">
        <v>0.1965</v>
      </c>
      <c r="BO291" s="68" t="n">
        <v>195385.7</v>
      </c>
      <c r="BP291" s="75">
        <f>IF('BBG Verify'!Q291="","run on terminal",'BBG Verify'!Q291)</f>
        <v/>
      </c>
      <c r="BQ291" s="75">
        <f>IF('BBG Verify'!R291="","run on terminal",'BBG Verify'!R291)</f>
        <v/>
      </c>
      <c r="BR291" s="76" t="inlineStr">
        <is>
          <t>Goldman Sachs (Asia) L.L.C; Huatai Financial Holdings (Hong Kong) Limited; J.P. Morgan Securities (Far East) Limited</t>
        </is>
      </c>
      <c r="BS291" s="63" t="inlineStr">
        <is>
          <t>J.P. Morgan Securities (Far East) Limited; Goldman Sachs (Asia) L.L.C.; Huatai Financial Holdings (Hong Kong) Limited</t>
        </is>
      </c>
      <c r="BT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U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V291" s="78">
        <f>HYPERLINK("https://www1.hkexnews.hk/listedco/listconews/sehk/2024/1119/2024111900011.pdf","prospectus")</f>
        <v/>
      </c>
      <c r="BW291" s="78">
        <f>HYPERLINK("https://www1.hkexnews.hk/listedco/listconews/sehk/2024/1126/2024112601132.pdf","allotment")</f>
        <v/>
      </c>
      <c r="BX291" s="78">
        <f>HYPERLINK("https://www1.hkexnews.hk/listedco/listconews/sehk/2024/1223/2024122300065.pdf","stabilisation")</f>
        <v/>
      </c>
      <c r="BY291" s="76" t="n"/>
      <c r="BZ291" s="63" t="inlineStr">
        <is>
          <t>range low: cap-only pricing — the filing publishes a Maximum Offer Price and no indicative floor · A/H: Nov 2024, ~US$750m; first A+H express logistics name · grey market: no grey-market headline on file for this deal — AAStocks publishes one per listing but keeps only recent items on the stock's news page, and no public archive of past evening sessions exists; captured from this run onward</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72" t="n"/>
      <c r="AC292" s="66" t="n"/>
      <c r="AD292" s="72" t="n"/>
      <c r="AE292" s="63" t="n"/>
      <c r="AF292" s="63" t="n"/>
      <c r="AG292" s="63" t="n"/>
      <c r="AH292" s="63" t="inlineStr">
        <is>
          <t>Huatai Financial Holdings</t>
        </is>
      </c>
      <c r="AI292" s="63" t="inlineStr">
        <is>
          <t>Huatai</t>
        </is>
      </c>
      <c r="AJ292" s="73" t="n">
        <v>-38.41</v>
      </c>
      <c r="AK292" s="72" t="n">
        <v>-39.61</v>
      </c>
      <c r="AL292" s="72" t="n">
        <v>1.99</v>
      </c>
      <c r="AM292" s="72" t="n">
        <v>-35.35</v>
      </c>
      <c r="AN292" s="72" t="n">
        <v>-46.86</v>
      </c>
      <c r="AO292" s="72" t="n">
        <v>-47.42</v>
      </c>
      <c r="AP292" s="72" t="n">
        <v>4.97</v>
      </c>
      <c r="AQ292" s="72" t="n">
        <v>-13.72</v>
      </c>
      <c r="AR292" s="72" t="n">
        <v>-14.63</v>
      </c>
      <c r="AS292" s="72" t="n">
        <v>-34.84</v>
      </c>
      <c r="AT292" s="72" t="n">
        <v>-43.8</v>
      </c>
      <c r="AU292" s="72" t="n">
        <v>-54.93</v>
      </c>
      <c r="AV292" s="72" t="n">
        <v>-11.73</v>
      </c>
      <c r="AW292" s="72" t="n">
        <v>-3.06</v>
      </c>
      <c r="AX292" s="72" t="n">
        <v>-1.99</v>
      </c>
      <c r="AY292" s="63" t="inlineStr">
        <is>
          <t>China Biotech ETF (HS biotech proxy)</t>
        </is>
      </c>
      <c r="AZ292" s="72" t="n">
        <v>-56.92</v>
      </c>
      <c r="BA292" s="64" t="inlineStr">
        <is>
          <t>2026-08-28</t>
        </is>
      </c>
      <c r="BB292" s="65" t="n">
        <v>1416.1</v>
      </c>
      <c r="BC292" s="68" t="n">
        <v>131.8</v>
      </c>
      <c r="BD292" s="63" t="inlineStr">
        <is>
          <t>Y</t>
        </is>
      </c>
      <c r="BE292" s="74" t="n">
        <v>23.1</v>
      </c>
      <c r="BF292" s="74" t="n"/>
      <c r="BG292" s="74" t="n">
        <v>8.1</v>
      </c>
      <c r="BH292" s="74" t="n">
        <v>2.2</v>
      </c>
      <c r="BI292" s="75">
        <f>IF('BBG Verify'!S292="","not filed — run on terminal",'BBG Verify'!S292)</f>
        <v/>
      </c>
      <c r="BJ292" s="76" t="inlineStr">
        <is>
          <t>N</t>
        </is>
      </c>
      <c r="BK292" s="77">
        <f>IF('BBG Verify'!K292="","not filed — run on terminal",'BBG Verify'!K292)</f>
        <v/>
      </c>
      <c r="BL292" s="63" t="inlineStr">
        <is>
          <t>N/A</t>
        </is>
      </c>
      <c r="BM292" s="63" t="inlineStr">
        <is>
          <t>N/A</t>
        </is>
      </c>
      <c r="BN292" s="63" t="inlineStr">
        <is>
          <t>N/A</t>
        </is>
      </c>
      <c r="BO292" s="63" t="inlineStr">
        <is>
          <t>N/A</t>
        </is>
      </c>
      <c r="BP292" s="63" t="inlineStr">
        <is>
          <t>N/A</t>
        </is>
      </c>
      <c r="BQ292" s="63" t="inlineStr">
        <is>
          <t>N/A</t>
        </is>
      </c>
      <c r="BR292" s="76" t="inlineStr">
        <is>
          <t>Huatai Financial Holdings (Hong Kong) Limited</t>
        </is>
      </c>
      <c r="BS292" s="63" t="inlineStr">
        <is>
          <t>Huatai Financial Holdings (Hong Kong) Limited</t>
        </is>
      </c>
      <c r="BT292" s="63" t="inlineStr">
        <is>
          <t>Huatai Financial Holdings (Hong Kong) Limited; CLSA Limited</t>
        </is>
      </c>
      <c r="BU292" s="63" t="inlineStr">
        <is>
          <t>CLSA Limited; CMB International Capital Limited; Huatai Financial Holdings (Hong Kong) Limited; Patrons Securities Limited; Ruibang Securities Limited</t>
        </is>
      </c>
      <c r="BV292" s="78">
        <f>HYPERLINK("https://www1.hkexnews.hk/listedco/listconews/sehk/2024/1120/2024112000019.pdf","prospectus")</f>
        <v/>
      </c>
      <c r="BW292" s="78">
        <f>HYPERLINK("https://www1.hkexnews.hk/listedco/listconews/sehk/2024/1127/2024112701177.pdf","allotment")</f>
        <v/>
      </c>
      <c r="BX292" s="63" t="n"/>
      <c r="BY292" s="76" t="n"/>
      <c r="BZ292" s="63" t="inlineStr">
        <is>
          <t>greenshoe: end-of-stabilisation notice not located · A/H: no A-share listing · grey market: no grey-market headline on file for this deal — AAStocks publishes one per listing but keeps only recent items on the stock's news page, and no public archive of past evening sessions exists; captured from this run onward</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72" t="n"/>
      <c r="AC293" s="66" t="n"/>
      <c r="AD293" s="72" t="n"/>
      <c r="AE293" s="63" t="n"/>
      <c r="AF293" s="63" t="n"/>
      <c r="AG293" s="63" t="n"/>
      <c r="AH293" s="63" t="n"/>
      <c r="AI293" s="63" t="n"/>
      <c r="AJ293" s="73" t="n">
        <v>7.5</v>
      </c>
      <c r="AK293" s="72" t="n">
        <v>4.17</v>
      </c>
      <c r="AL293" s="72" t="n">
        <v>3.2</v>
      </c>
      <c r="AM293" s="72" t="n">
        <v>-3.33</v>
      </c>
      <c r="AN293" s="72" t="n">
        <v>13.5</v>
      </c>
      <c r="AO293" s="72" t="n">
        <v>48.67</v>
      </c>
      <c r="AP293" s="72" t="n">
        <v>-10.07</v>
      </c>
      <c r="AQ293" s="72" t="n">
        <v>5.58</v>
      </c>
      <c r="AR293" s="72" t="n">
        <v>38.3</v>
      </c>
      <c r="AS293" s="72" t="n">
        <v>-5.69</v>
      </c>
      <c r="AT293" s="72" t="n">
        <v>12.42</v>
      </c>
      <c r="AU293" s="72" t="n">
        <v>17.28</v>
      </c>
      <c r="AV293" s="72" t="n">
        <v>4.8</v>
      </c>
      <c r="AW293" s="72" t="n">
        <v>1.08</v>
      </c>
      <c r="AX293" s="72" t="n">
        <v>0.78</v>
      </c>
      <c r="AY293" s="63" t="inlineStr">
        <is>
          <t>Hang Seng Commerce &amp; Industry sub-index</t>
        </is>
      </c>
      <c r="AZ293" s="72" t="n">
        <v>133.17</v>
      </c>
      <c r="BA293" s="64" t="inlineStr">
        <is>
          <t>2026-08-28</t>
        </is>
      </c>
      <c r="BB293" s="65" t="n">
        <v>22229.5</v>
      </c>
      <c r="BC293" s="68" t="n">
        <v>256.8</v>
      </c>
      <c r="BD293" s="63" t="inlineStr">
        <is>
          <t>Y</t>
        </is>
      </c>
      <c r="BE293" s="74" t="n">
        <v>12.8</v>
      </c>
      <c r="BF293" s="74" t="n">
        <v>15.8</v>
      </c>
      <c r="BG293" s="74" t="n">
        <v>65.7</v>
      </c>
      <c r="BH293" s="74" t="n">
        <v>0.1</v>
      </c>
      <c r="BI293" s="75">
        <f>IF('BBG Verify'!S293="","not filed — run on terminal",'BBG Verify'!S293)</f>
        <v/>
      </c>
      <c r="BJ293" s="76" t="inlineStr">
        <is>
          <t>N</t>
        </is>
      </c>
      <c r="BK293" s="77">
        <f>IF('BBG Verify'!K293="","not filed — run on terminal",'BBG Verify'!K293)</f>
        <v/>
      </c>
      <c r="BL293" s="63" t="inlineStr">
        <is>
          <t>N/A</t>
        </is>
      </c>
      <c r="BM293" s="63" t="inlineStr">
        <is>
          <t>N/A</t>
        </is>
      </c>
      <c r="BN293" s="63" t="inlineStr">
        <is>
          <t>N/A</t>
        </is>
      </c>
      <c r="BO293" s="63" t="inlineStr">
        <is>
          <t>N/A</t>
        </is>
      </c>
      <c r="BP293" s="63" t="inlineStr">
        <is>
          <t>N/A</t>
        </is>
      </c>
      <c r="BQ293" s="63" t="inlineStr">
        <is>
          <t>N/A</t>
        </is>
      </c>
      <c r="BR293" s="76" t="inlineStr">
        <is>
          <t>CITIC Securities (Hong Kong) Limited</t>
        </is>
      </c>
      <c r="BS293" s="63" t="inlineStr">
        <is>
          <t>CITIC Securities (Hong Kong) Limited</t>
        </is>
      </c>
      <c r="BT293" s="63" t="inlineStr">
        <is>
          <t>CLSA Limited; ABCI Capital Limited; China Everbright Securities (HK) Limited; Futu Securities International (Hong Kong) Limited; ICBC International Securities Limited; TradeGo Markets Limited</t>
        </is>
      </c>
      <c r="BU293" s="63" t="inlineStr">
        <is>
          <t>ABCI Securities Company Limited; China Everbright Securities (HK) Limited; CLSA Limited; Futu Securities International (Hong Kong) Limited; ICBC International Securities Limited; TradeGo Markets Limited</t>
        </is>
      </c>
      <c r="BV293" s="78">
        <f>HYPERLINK("https://www1.hkexnews.hk/listedco/listconews/sehk/2024/1121/2024112100017.pdf","prospectus")</f>
        <v/>
      </c>
      <c r="BW293" s="78">
        <f>HYPERLINK("https://www1.hkexnews.hk/listedco/listconews/sehk/2024/1128/2024112801779.pdf","allotment")</f>
        <v/>
      </c>
      <c r="BX293" s="78">
        <f>HYPERLINK("https://www1.hkexnews.hk/listedco/listconews/sehk/2024/1227/2024122700111.pdf","stabilisation")</f>
        <v/>
      </c>
      <c r="BY293" s="76" t="n"/>
      <c r="BZ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72" t="n"/>
      <c r="AC294" s="66" t="n"/>
      <c r="AD294" s="72" t="n"/>
      <c r="AE294" s="63" t="n"/>
      <c r="AF294" s="63" t="inlineStr">
        <is>
          <t>lapsed (no over-allocation)</t>
        </is>
      </c>
      <c r="AG294" s="63" t="inlineStr">
        <is>
          <t>2025-01-02</t>
        </is>
      </c>
      <c r="AH294" s="63" t="inlineStr">
        <is>
          <t>UBS AG Hong Kong Branch</t>
        </is>
      </c>
      <c r="AI294" s="63" t="inlineStr">
        <is>
          <t>UBS</t>
        </is>
      </c>
      <c r="AJ294" s="73" t="n">
        <v>-54.32</v>
      </c>
      <c r="AK294" s="72" t="n">
        <v>-28.17</v>
      </c>
      <c r="AL294" s="72" t="n">
        <v>-36.41</v>
      </c>
      <c r="AM294" s="72" t="n">
        <v>-79.18000000000001</v>
      </c>
      <c r="AN294" s="72" t="n">
        <v>-80.17</v>
      </c>
      <c r="AO294" s="72" t="n">
        <v>-56.97</v>
      </c>
      <c r="AP294" s="72" t="n">
        <v>-54.42</v>
      </c>
      <c r="AQ294" s="72" t="n">
        <v>-56.59</v>
      </c>
      <c r="AR294" s="72" t="n">
        <v>-5.8</v>
      </c>
      <c r="AS294" s="72" t="n">
        <v>-81.37</v>
      </c>
      <c r="AT294" s="72" t="n">
        <v>-78.68000000000001</v>
      </c>
      <c r="AU294" s="72" t="n">
        <v>-88.04000000000001</v>
      </c>
      <c r="AV294" s="72" t="n">
        <v>-52.99</v>
      </c>
      <c r="AW294" s="72" t="n">
        <v>-1.49</v>
      </c>
      <c r="AX294" s="72" t="n">
        <v>-3.6</v>
      </c>
      <c r="AY294" s="63" t="inlineStr">
        <is>
          <t>HSTECH (Hang Seng TECH ETF)</t>
        </is>
      </c>
      <c r="AZ294" s="72" t="n">
        <v>-86.15000000000001</v>
      </c>
      <c r="BA294" s="64" t="inlineStr">
        <is>
          <t>2026-08-28</t>
        </is>
      </c>
      <c r="BB294" s="65" t="n">
        <v>1743.9</v>
      </c>
      <c r="BC294" s="68" t="n">
        <v>-924.6</v>
      </c>
      <c r="BD294" s="63" t="inlineStr">
        <is>
          <t>N</t>
        </is>
      </c>
      <c r="BE294" s="63" t="inlineStr">
        <is>
          <t>n/m</t>
        </is>
      </c>
      <c r="BF294" s="74" t="n"/>
      <c r="BG294" s="74" t="n">
        <v>24.2</v>
      </c>
      <c r="BH294" s="74" t="n">
        <v>15.4</v>
      </c>
      <c r="BI294" s="75">
        <f>IF('BBG Verify'!S294="","not filed — run on terminal",'BBG Verify'!S294)</f>
        <v/>
      </c>
      <c r="BJ294" s="76" t="inlineStr">
        <is>
          <t>N</t>
        </is>
      </c>
      <c r="BK294" s="77">
        <f>IF('BBG Verify'!K294="","not filed — run on terminal",'BBG Verify'!K294)</f>
        <v/>
      </c>
      <c r="BL294" s="63" t="inlineStr">
        <is>
          <t>N/A</t>
        </is>
      </c>
      <c r="BM294" s="63" t="inlineStr">
        <is>
          <t>N/A</t>
        </is>
      </c>
      <c r="BN294" s="63" t="inlineStr">
        <is>
          <t>N/A</t>
        </is>
      </c>
      <c r="BO294" s="63" t="inlineStr">
        <is>
          <t>N/A</t>
        </is>
      </c>
      <c r="BP294" s="63" t="inlineStr">
        <is>
          <t>N/A</t>
        </is>
      </c>
      <c r="BQ294" s="63" t="inlineStr">
        <is>
          <t>N/A</t>
        </is>
      </c>
      <c r="BR294" s="76" t="n"/>
      <c r="BS294" s="63" t="inlineStr">
        <is>
          <t>UBS Securities Hong Kong Limited; CMB International Capital Limited; China Merchants Securities (HK) Company Limited</t>
        </is>
      </c>
      <c r="BT294" s="63" t="inlineStr">
        <is>
          <t>ABCI Securities Company Limited; BOCI Asia Limited; BOCOM International Securities Limited; CCB International Capital Limited; Central China International Securities Co., Limited; China Galaxy International Securities (Hong Kong)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V294" s="78">
        <f>HYPERLINK("https://www1.hkexnews.hk/listedco/listconews/sehk/2024/1128/2024112800056.htm","prospectus")</f>
        <v/>
      </c>
      <c r="BW294" s="78">
        <f>HYPERLINK("https://www1.hkexnews.hk/listedco/listconews/sehk/2024/1205/2024120501922.pdf","allotment")</f>
        <v/>
      </c>
      <c r="BX294" s="78">
        <f>HYPERLINK("https://www1.hkexnews.hk/listedco/listconews/sehk/2025/0102/2025010202824.pdf","stabilisation")</f>
        <v/>
      </c>
      <c r="BY294" s="76" t="n"/>
      <c r="BZ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no grey-market headline on file for this deal — AAStocks publishes one per listing but keeps only recent items on the stock's news page, and no public archive of past evening sessions exists; captured from this run onward</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72" t="n"/>
      <c r="AC295" s="66" t="n"/>
      <c r="AD295" s="72" t="n"/>
      <c r="AE295" s="63" t="n"/>
      <c r="AF295" s="63" t="inlineStr">
        <is>
          <t>partial</t>
        </is>
      </c>
      <c r="AG295" s="63" t="inlineStr">
        <is>
          <t>2025-01-02</t>
        </is>
      </c>
      <c r="AH295" s="63" t="inlineStr">
        <is>
          <t>China International Capital Corporation Hong Kong Securities Limited</t>
        </is>
      </c>
      <c r="AI295" s="63" t="inlineStr">
        <is>
          <t>China International</t>
        </is>
      </c>
      <c r="AJ295" s="73" t="n">
        <v>0.07000000000000001</v>
      </c>
      <c r="AK295" s="72" t="n">
        <v>1.29</v>
      </c>
      <c r="AL295" s="72" t="n">
        <v>-1.2</v>
      </c>
      <c r="AM295" s="72" t="n">
        <v>11.02</v>
      </c>
      <c r="AN295" s="72" t="n">
        <v>30.82</v>
      </c>
      <c r="AO295" s="72" t="n">
        <v>68.98</v>
      </c>
      <c r="AP295" s="72" t="n">
        <v>10.94</v>
      </c>
      <c r="AQ295" s="72" t="n">
        <v>30.73</v>
      </c>
      <c r="AR295" s="72" t="n">
        <v>68.86</v>
      </c>
      <c r="AS295" s="72" t="n">
        <v>8.470000000000001</v>
      </c>
      <c r="AT295" s="72" t="n">
        <v>32.7</v>
      </c>
      <c r="AU295" s="72" t="n">
        <v>44.13</v>
      </c>
      <c r="AV295" s="72" t="n">
        <v>34.25</v>
      </c>
      <c r="AW295" s="72" t="n">
        <v>-1.88</v>
      </c>
      <c r="AX295" s="72" t="n">
        <v>-3.52</v>
      </c>
      <c r="AY295" s="63" t="inlineStr">
        <is>
          <t>Hang Seng Commerce &amp; Industry sub-index</t>
        </is>
      </c>
      <c r="AZ295" s="72" t="n">
        <v>-90.27</v>
      </c>
      <c r="BA295" s="64" t="inlineStr">
        <is>
          <t>2026-08-28</t>
        </is>
      </c>
      <c r="BB295" s="65" t="n">
        <v>984.8</v>
      </c>
      <c r="BC295" s="68" t="n">
        <v>-582.4</v>
      </c>
      <c r="BD295" s="63" t="inlineStr">
        <is>
          <t>N</t>
        </is>
      </c>
      <c r="BE295" s="63" t="inlineStr">
        <is>
          <t>n/m</t>
        </is>
      </c>
      <c r="BF295" s="74" t="n"/>
      <c r="BG295" s="74" t="n"/>
      <c r="BH295" s="74" t="n">
        <v>11.3</v>
      </c>
      <c r="BI295" s="75">
        <f>IF('BBG Verify'!S295="","not filed — run on terminal",'BBG Verify'!S295)</f>
        <v/>
      </c>
      <c r="BJ295" s="76" t="inlineStr">
        <is>
          <t>N</t>
        </is>
      </c>
      <c r="BK295" s="77">
        <f>IF('BBG Verify'!K295="","not filed — run on terminal",'BBG Verify'!K295)</f>
        <v/>
      </c>
      <c r="BL295" s="63" t="inlineStr">
        <is>
          <t>N/A</t>
        </is>
      </c>
      <c r="BM295" s="63" t="inlineStr">
        <is>
          <t>N/A</t>
        </is>
      </c>
      <c r="BN295" s="63" t="inlineStr">
        <is>
          <t>N/A</t>
        </is>
      </c>
      <c r="BO295" s="63" t="inlineStr">
        <is>
          <t>N/A</t>
        </is>
      </c>
      <c r="BP295" s="63" t="inlineStr">
        <is>
          <t>N/A</t>
        </is>
      </c>
      <c r="BQ295" s="63" t="inlineStr">
        <is>
          <t>N/A</t>
        </is>
      </c>
      <c r="BR295" s="76" t="n"/>
      <c r="BS295" s="63" t="inlineStr">
        <is>
          <t>China International Capital Corporation Hong Kong Securities Limited</t>
        </is>
      </c>
      <c r="BT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U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V295" s="78">
        <f>HYPERLINK("https://www1.hkexnews.hk/listedco/listconews/sehk/2024/1128/2024112800011.pdf","prospectus")</f>
        <v/>
      </c>
      <c r="BW295" s="78">
        <f>HYPERLINK("https://www1.hkexnews.hk/listedco/listconews/sehk/2024/1205/2024120501926.pdf","allotment")</f>
        <v/>
      </c>
      <c r="BX295" s="78">
        <f>HYPERLINK("https://www1.hkexnews.hk/listedco/listconews/sehk/2025/0102/2025010203561.pdf","stabilisation")</f>
        <v/>
      </c>
      <c r="BY295" s="76" t="n"/>
      <c r="BZ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72" t="n"/>
      <c r="AC296" s="66" t="n"/>
      <c r="AD296" s="72" t="n"/>
      <c r="AE296" s="63" t="n"/>
      <c r="AF296" s="63" t="n"/>
      <c r="AG296" s="63" t="inlineStr">
        <is>
          <t>2025-01-04</t>
        </is>
      </c>
      <c r="AH296" s="63" t="inlineStr">
        <is>
          <t>China International Capital Corporation Hong Kong Securities Limited</t>
        </is>
      </c>
      <c r="AI296" s="63" t="inlineStr">
        <is>
          <t>China International</t>
        </is>
      </c>
      <c r="AJ296" s="73" t="n">
        <v>76.51000000000001</v>
      </c>
      <c r="AK296" s="72" t="n">
        <v>59.9</v>
      </c>
      <c r="AL296" s="72" t="n">
        <v>10.39</v>
      </c>
      <c r="AM296" s="72" t="n">
        <v>96.31</v>
      </c>
      <c r="AN296" s="72" t="n">
        <v>97.98999999999999</v>
      </c>
      <c r="AO296" s="72" t="n">
        <v>270.47</v>
      </c>
      <c r="AP296" s="72" t="n">
        <v>11.22</v>
      </c>
      <c r="AQ296" s="72" t="n">
        <v>12.17</v>
      </c>
      <c r="AR296" s="72" t="n">
        <v>109.89</v>
      </c>
      <c r="AS296" s="72" t="n">
        <v>100.54</v>
      </c>
      <c r="AT296" s="72" t="n">
        <v>106.68</v>
      </c>
      <c r="AU296" s="72" t="n">
        <v>247.76</v>
      </c>
      <c r="AV296" s="72" t="n">
        <v>20.14</v>
      </c>
      <c r="AW296" s="72" t="n">
        <v>-8.69</v>
      </c>
      <c r="AX296" s="72" t="n">
        <v>-7.97</v>
      </c>
      <c r="AY296" s="63" t="inlineStr">
        <is>
          <t>Hang Seng Commerce &amp; Industry sub-index</t>
        </is>
      </c>
      <c r="AZ296" s="72" t="n">
        <v>67.45</v>
      </c>
      <c r="BA296" s="64" t="inlineStr">
        <is>
          <t>2026-08-28</t>
        </is>
      </c>
      <c r="BB296" s="65" t="n">
        <v>3174.6</v>
      </c>
      <c r="BC296" s="68" t="n">
        <v>728.1</v>
      </c>
      <c r="BD296" s="63" t="inlineStr">
        <is>
          <t>Y</t>
        </is>
      </c>
      <c r="BE296" s="74" t="n">
        <v>18.9</v>
      </c>
      <c r="BF296" s="74" t="n">
        <v>12.2</v>
      </c>
      <c r="BG296" s="74" t="n">
        <v>17.7</v>
      </c>
      <c r="BH296" s="74" t="n">
        <v>4.3</v>
      </c>
      <c r="BI296" s="75">
        <f>IF('BBG Verify'!S296="","not filed — run on terminal",'BBG Verify'!S296)</f>
        <v/>
      </c>
      <c r="BJ296" s="76" t="inlineStr">
        <is>
          <t>N</t>
        </is>
      </c>
      <c r="BK296" s="77">
        <f>IF('BBG Verify'!K296="","not filed — run on terminal",'BBG Verify'!K296)</f>
        <v/>
      </c>
      <c r="BL296" s="63" t="inlineStr">
        <is>
          <t>N/A</t>
        </is>
      </c>
      <c r="BM296" s="63" t="inlineStr">
        <is>
          <t>N/A</t>
        </is>
      </c>
      <c r="BN296" s="63" t="inlineStr">
        <is>
          <t>N/A</t>
        </is>
      </c>
      <c r="BO296" s="63" t="inlineStr">
        <is>
          <t>N/A</t>
        </is>
      </c>
      <c r="BP296" s="63" t="inlineStr">
        <is>
          <t>N/A</t>
        </is>
      </c>
      <c r="BQ296" s="63" t="inlineStr">
        <is>
          <t>N/A</t>
        </is>
      </c>
      <c r="BR296" s="76" t="n"/>
      <c r="BS296" s="63" t="inlineStr">
        <is>
          <t>China International Capital Corporation Hong Kong Securities Limited</t>
        </is>
      </c>
      <c r="BT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V296" s="63" t="n"/>
      <c r="BW296" s="78">
        <f>HYPERLINK("https://www1.hkexnews.hk/listedco/listconews/sehk/2024/1209/2024120901607.pdf","allotment")</f>
        <v/>
      </c>
      <c r="BX296" s="63" t="n"/>
      <c r="BY296" s="76" t="n"/>
      <c r="BZ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72" t="n"/>
      <c r="AC297" s="66" t="n"/>
      <c r="AD297" s="72" t="n"/>
      <c r="AE297" s="63" t="n"/>
      <c r="AF297" s="63" t="n"/>
      <c r="AG297" s="63" t="n"/>
      <c r="AH297" s="63" t="n"/>
      <c r="AI297" s="63" t="n"/>
      <c r="AJ297" s="73" t="n">
        <v>10.4</v>
      </c>
      <c r="AK297" s="72" t="n">
        <v>25.07</v>
      </c>
      <c r="AL297" s="72" t="n">
        <v>-11.73</v>
      </c>
      <c r="AM297" s="72" t="n">
        <v>-24.27</v>
      </c>
      <c r="AN297" s="72" t="n">
        <v>-45.07</v>
      </c>
      <c r="AO297" s="72" t="n">
        <v>-54.93</v>
      </c>
      <c r="AP297" s="72" t="n">
        <v>-31.4</v>
      </c>
      <c r="AQ297" s="72" t="n">
        <v>-50.24</v>
      </c>
      <c r="AR297" s="72" t="n">
        <v>-59.18</v>
      </c>
      <c r="AS297" s="72" t="n">
        <v>-22.77</v>
      </c>
      <c r="AT297" s="72" t="n">
        <v>-39.32</v>
      </c>
      <c r="AU297" s="72" t="n">
        <v>-63.87</v>
      </c>
      <c r="AV297" s="72" t="n">
        <v>-44.97</v>
      </c>
      <c r="AW297" s="72" t="n">
        <v>-5.75</v>
      </c>
      <c r="AX297" s="72" t="n">
        <v>-5.27</v>
      </c>
      <c r="AY297" s="63" t="inlineStr">
        <is>
          <t>China Biotech ETF (HS biotech proxy)</t>
        </is>
      </c>
      <c r="AZ297" s="72" t="n">
        <v>-75.06999999999999</v>
      </c>
      <c r="BA297" s="64" t="inlineStr">
        <is>
          <t>2026-08-28</t>
        </is>
      </c>
      <c r="BB297" s="65" t="n">
        <v>251.2</v>
      </c>
      <c r="BC297" s="68" t="n">
        <v>39.5</v>
      </c>
      <c r="BD297" s="63" t="inlineStr">
        <is>
          <t>Y</t>
        </is>
      </c>
      <c r="BE297" s="74" t="n">
        <v>12.7</v>
      </c>
      <c r="BF297" s="74" t="n"/>
      <c r="BG297" s="74" t="n"/>
      <c r="BH297" s="74" t="n">
        <v>2</v>
      </c>
      <c r="BI297" s="75">
        <f>IF('BBG Verify'!S297="","not filed — run on terminal",'BBG Verify'!S297)</f>
        <v/>
      </c>
      <c r="BJ297" s="76" t="inlineStr">
        <is>
          <t>N</t>
        </is>
      </c>
      <c r="BK297" s="77">
        <f>IF('BBG Verify'!K297="","not filed — run on terminal",'BBG Verify'!K297)</f>
        <v/>
      </c>
      <c r="BL297" s="63" t="inlineStr">
        <is>
          <t>N/A</t>
        </is>
      </c>
      <c r="BM297" s="63" t="inlineStr">
        <is>
          <t>N/A</t>
        </is>
      </c>
      <c r="BN297" s="63" t="inlineStr">
        <is>
          <t>N/A</t>
        </is>
      </c>
      <c r="BO297" s="63" t="inlineStr">
        <is>
          <t>N/A</t>
        </is>
      </c>
      <c r="BP297" s="63" t="inlineStr">
        <is>
          <t>N/A</t>
        </is>
      </c>
      <c r="BQ297" s="63" t="inlineStr">
        <is>
          <t>N/A</t>
        </is>
      </c>
      <c r="BR297" s="76" t="n"/>
      <c r="BS297" s="63" t="inlineStr">
        <is>
          <t>ABCI Capital Limited</t>
        </is>
      </c>
      <c r="BT297" s="63" t="inlineStr">
        <is>
          <t>ABCI Capital Limited</t>
        </is>
      </c>
      <c r="BU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V297" s="78">
        <f>HYPERLINK("https://www1.hkexnews.hk/listedco/listconews/sehk/2024/1211/2024121100009.pdf","prospectus")</f>
        <v/>
      </c>
      <c r="BW297" s="78">
        <f>HYPERLINK("https://www1.hkexnews.hk/listedco/listconews/sehk/2024/1218/2024121801165.pdf","allotment")</f>
        <v/>
      </c>
      <c r="BX297" s="63" t="n"/>
      <c r="BY297" s="76" t="n"/>
      <c r="BZ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72" t="n"/>
      <c r="AC298" s="66" t="n"/>
      <c r="AD298" s="72" t="n"/>
      <c r="AE298" s="63" t="n"/>
      <c r="AF298" s="63" t="n"/>
      <c r="AG298" s="63" t="inlineStr">
        <is>
          <t>2025-01-16</t>
        </is>
      </c>
      <c r="AH298" s="63" t="inlineStr">
        <is>
          <t>UBS AG Hong Kong Branch</t>
        </is>
      </c>
      <c r="AI298" s="63" t="inlineStr">
        <is>
          <t>UBS</t>
        </is>
      </c>
      <c r="AJ298" s="73" t="n">
        <v>13.65</v>
      </c>
      <c r="AK298" s="72" t="n">
        <v>5.88</v>
      </c>
      <c r="AL298" s="72" t="n">
        <v>7.34</v>
      </c>
      <c r="AM298" s="72" t="n">
        <v>7.41</v>
      </c>
      <c r="AN298" s="72" t="n">
        <v>5.18</v>
      </c>
      <c r="AO298" s="72" t="n">
        <v>25.18</v>
      </c>
      <c r="AP298" s="72" t="n">
        <v>-5.49</v>
      </c>
      <c r="AQ298" s="72" t="n">
        <v>-7.45</v>
      </c>
      <c r="AR298" s="72" t="n">
        <v>10.15</v>
      </c>
      <c r="AS298" s="72" t="n">
        <v>6.62</v>
      </c>
      <c r="AT298" s="72" t="n">
        <v>6.36</v>
      </c>
      <c r="AU298" s="72" t="n">
        <v>1.54</v>
      </c>
      <c r="AV298" s="72" t="n">
        <v>-6.38</v>
      </c>
      <c r="AW298" s="72" t="n">
        <v>-1.18</v>
      </c>
      <c r="AX298" s="72" t="n">
        <v>-1.07</v>
      </c>
      <c r="AY298" s="63" t="inlineStr">
        <is>
          <t>Hang Seng Commerce &amp; Industry sub-index</t>
        </is>
      </c>
      <c r="AZ298" s="72" t="n">
        <v>-9.470000000000001</v>
      </c>
      <c r="BA298" s="64" t="inlineStr">
        <is>
          <t>2026-08-28</t>
        </is>
      </c>
      <c r="BB298" s="65" t="n">
        <v>5004.4</v>
      </c>
      <c r="BC298" s="68" t="n">
        <v>585.3</v>
      </c>
      <c r="BD298" s="63" t="inlineStr">
        <is>
          <t>Y</t>
        </is>
      </c>
      <c r="BE298" s="74" t="n">
        <v>17.1</v>
      </c>
      <c r="BF298" s="74" t="n"/>
      <c r="BG298" s="74" t="n"/>
      <c r="BH298" s="74" t="n">
        <v>2</v>
      </c>
      <c r="BI298" s="75">
        <f>IF('BBG Verify'!S298="","not filed — run on terminal",'BBG Verify'!S298)</f>
        <v/>
      </c>
      <c r="BJ298" s="76" t="inlineStr">
        <is>
          <t>N</t>
        </is>
      </c>
      <c r="BK298" s="77">
        <f>IF('BBG Verify'!K298="","not filed — run on terminal",'BBG Verify'!K298)</f>
        <v/>
      </c>
      <c r="BL298" s="63" t="inlineStr">
        <is>
          <t>N/A</t>
        </is>
      </c>
      <c r="BM298" s="63" t="inlineStr">
        <is>
          <t>N/A</t>
        </is>
      </c>
      <c r="BN298" s="63" t="inlineStr">
        <is>
          <t>N/A</t>
        </is>
      </c>
      <c r="BO298" s="63" t="inlineStr">
        <is>
          <t>N/A</t>
        </is>
      </c>
      <c r="BP298" s="63" t="inlineStr">
        <is>
          <t>N/A</t>
        </is>
      </c>
      <c r="BQ298" s="63" t="inlineStr">
        <is>
          <t>N/A</t>
        </is>
      </c>
      <c r="BR298" s="76" t="n"/>
      <c r="BS298" s="63" t="inlineStr">
        <is>
          <t>UBS Securities Hong Kong Limited; Huatai Financial Holdings (Hong Kong) Limited</t>
        </is>
      </c>
      <c r="BT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V298" s="63" t="n"/>
      <c r="BW298" s="78">
        <f>HYPERLINK("https://www1.hkexnews.hk/listedco/listconews/sehk/2024/1219/2024121901317.pdf","allotment")</f>
        <v/>
      </c>
      <c r="BX298" s="63" t="n"/>
      <c r="BY298" s="76" t="n"/>
      <c r="BZ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72" t="n"/>
      <c r="AC299" s="66" t="n"/>
      <c r="AD299" s="72" t="n"/>
      <c r="AE299" s="63" t="n"/>
      <c r="AF299" s="63" t="inlineStr">
        <is>
          <t>partial</t>
        </is>
      </c>
      <c r="AG299" s="63" t="inlineStr">
        <is>
          <t>2025-01-17</t>
        </is>
      </c>
      <c r="AH299" s="63" t="inlineStr">
        <is>
          <t>Guotai Junan Securities</t>
        </is>
      </c>
      <c r="AI299" s="63" t="inlineStr">
        <is>
          <t>Guotai Junan</t>
        </is>
      </c>
      <c r="AJ299" s="73" t="n">
        <v>0.74</v>
      </c>
      <c r="AK299" s="72" t="n">
        <v>4.79</v>
      </c>
      <c r="AL299" s="72" t="n">
        <v>-3.86</v>
      </c>
      <c r="AM299" s="72" t="n">
        <v>1.6</v>
      </c>
      <c r="AN299" s="72" t="n">
        <v>22.87</v>
      </c>
      <c r="AO299" s="72" t="n">
        <v>217.82</v>
      </c>
      <c r="AP299" s="72" t="n">
        <v>0.85</v>
      </c>
      <c r="AQ299" s="72" t="n">
        <v>21.97</v>
      </c>
      <c r="AR299" s="72" t="n">
        <v>215.49</v>
      </c>
      <c r="AS299" s="72" t="n">
        <v>3.67</v>
      </c>
      <c r="AT299" s="72" t="n">
        <v>18.14</v>
      </c>
      <c r="AU299" s="72" t="n">
        <v>193.85</v>
      </c>
      <c r="AV299" s="72" t="n">
        <v>17.63</v>
      </c>
      <c r="AW299" s="72" t="n">
        <v>4.73</v>
      </c>
      <c r="AX299" s="72" t="n">
        <v>4.34</v>
      </c>
      <c r="AY299" s="63" t="inlineStr">
        <is>
          <t>HSTECH (Hang Seng TECH ETF)</t>
        </is>
      </c>
      <c r="AZ299" s="72" t="n">
        <v>26.49</v>
      </c>
      <c r="BA299" s="64" t="inlineStr">
        <is>
          <t>2026-08-28</t>
        </is>
      </c>
      <c r="BB299" s="65" t="n">
        <v>315.4</v>
      </c>
      <c r="BC299" s="68" t="n">
        <v>-113.6</v>
      </c>
      <c r="BD299" s="63" t="inlineStr">
        <is>
          <t>N</t>
        </is>
      </c>
      <c r="BE299" s="63" t="inlineStr">
        <is>
          <t>n/m</t>
        </is>
      </c>
      <c r="BF299" s="74" t="n"/>
      <c r="BG299" s="74" t="n"/>
      <c r="BH299" s="74" t="n">
        <v>21.1</v>
      </c>
      <c r="BI299" s="75">
        <f>IF('BBG Verify'!S299="","not filed — run on terminal",'BBG Verify'!S299)</f>
        <v/>
      </c>
      <c r="BJ299" s="76" t="inlineStr">
        <is>
          <t>N</t>
        </is>
      </c>
      <c r="BK299" s="77">
        <f>IF('BBG Verify'!K299="","not filed — run on terminal",'BBG Verify'!K299)</f>
        <v/>
      </c>
      <c r="BL299" s="63" t="inlineStr">
        <is>
          <t>N/A</t>
        </is>
      </c>
      <c r="BM299" s="63" t="inlineStr">
        <is>
          <t>N/A</t>
        </is>
      </c>
      <c r="BN299" s="63" t="inlineStr">
        <is>
          <t>N/A</t>
        </is>
      </c>
      <c r="BO299" s="63" t="inlineStr">
        <is>
          <t>N/A</t>
        </is>
      </c>
      <c r="BP299" s="63" t="inlineStr">
        <is>
          <t>N/A</t>
        </is>
      </c>
      <c r="BQ299" s="63" t="inlineStr">
        <is>
          <t>N/A</t>
        </is>
      </c>
      <c r="BR299" s="76" t="inlineStr">
        <is>
          <t>Guotai Junan Capital Limited; ABCI Capital Limited; OCs Guotai Junan Securities (Hong Kong) Limited</t>
        </is>
      </c>
      <c r="BS299" s="63" t="inlineStr">
        <is>
          <t>Guotai Junan Capital Limited; ABCI Capital Limited</t>
        </is>
      </c>
      <c r="BT299" s="63" t="inlineStr">
        <is>
          <t>Guotai Junan Securities (Hong Kong) Limited; ABCI Capital Limited; Shenwan Hongyuan Securities (H.K.) Limited; TradeGo Markets Limited</t>
        </is>
      </c>
      <c r="BU299" s="63" t="inlineStr">
        <is>
          <t>ABCI Securities Company Limited; China PA Securities (Hong Kong) Company Limited; Guotai Junan Securities (Hong Kong) Limited; Shenwan Hongyuan Securities (H.K.) Limited; TradeGo Markets Limited</t>
        </is>
      </c>
      <c r="BV299" s="78">
        <f>HYPERLINK("https://www1.hkexnews.hk/listedco/listconews/sehk/2024/1213/2024121300029.pdf","prospectus")</f>
        <v/>
      </c>
      <c r="BW299" s="78">
        <f>HYPERLINK("https://www1.hkexnews.hk/listedco/listconews/sehk/2024/1220/2024122001962.pdf","allotment")</f>
        <v/>
      </c>
      <c r="BX299" s="78">
        <f>HYPERLINK("https://www1.hkexnews.hk/listedco/listconews/sehk/2025/0117/2025011701078.pdf","stabilisation")</f>
        <v/>
      </c>
      <c r="BY299" s="76" t="n"/>
      <c r="BZ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72" t="n"/>
      <c r="AC300" s="66" t="n"/>
      <c r="AD300" s="72" t="n"/>
      <c r="AE300" s="63" t="n"/>
      <c r="AF300" s="63" t="inlineStr">
        <is>
          <t>partial</t>
        </is>
      </c>
      <c r="AG300" s="63" t="inlineStr">
        <is>
          <t>2025-01-19</t>
        </is>
      </c>
      <c r="AH300" s="63" t="inlineStr">
        <is>
          <t>CLSA Limited</t>
        </is>
      </c>
      <c r="AI300" s="63" t="inlineStr">
        <is>
          <t>CLSA</t>
        </is>
      </c>
      <c r="AJ300" s="73" t="n">
        <v>14.12</v>
      </c>
      <c r="AK300" s="72" t="n">
        <v>9.41</v>
      </c>
      <c r="AL300" s="72" t="n">
        <v>4.3</v>
      </c>
      <c r="AM300" s="72" t="n">
        <v>2.94</v>
      </c>
      <c r="AN300" s="72" t="n">
        <v>22.94</v>
      </c>
      <c r="AO300" s="72" t="n">
        <v>88.53</v>
      </c>
      <c r="AP300" s="72" t="n">
        <v>-9.800000000000001</v>
      </c>
      <c r="AQ300" s="72" t="n">
        <v>7.73</v>
      </c>
      <c r="AR300" s="72" t="n">
        <v>65.2</v>
      </c>
      <c r="AS300" s="72" t="n">
        <v>5.52</v>
      </c>
      <c r="AT300" s="72" t="n">
        <v>18.33</v>
      </c>
      <c r="AU300" s="72" t="n">
        <v>69.06999999999999</v>
      </c>
      <c r="AV300" s="72" t="n">
        <v>3.83</v>
      </c>
      <c r="AW300" s="72" t="n">
        <v>4.61</v>
      </c>
      <c r="AX300" s="72" t="n">
        <v>3.9</v>
      </c>
      <c r="AY300" s="63" t="inlineStr">
        <is>
          <t>HSTECH (Hang Seng TECH ETF)</t>
        </is>
      </c>
      <c r="AZ300" s="72" t="n">
        <v>-79.03</v>
      </c>
      <c r="BA300" s="64" t="inlineStr">
        <is>
          <t>2026-08-28</t>
        </is>
      </c>
      <c r="BB300" s="65" t="n">
        <v>523.8</v>
      </c>
      <c r="BC300" s="68" t="n">
        <v>-227.9</v>
      </c>
      <c r="BD300" s="63" t="inlineStr">
        <is>
          <t>N</t>
        </is>
      </c>
      <c r="BE300" s="63" t="inlineStr">
        <is>
          <t>n/m</t>
        </is>
      </c>
      <c r="BF300" s="74" t="n"/>
      <c r="BG300" s="74" t="n"/>
      <c r="BH300" s="74" t="n">
        <v>11.5</v>
      </c>
      <c r="BI300" s="75">
        <f>IF('BBG Verify'!S300="","not filed — run on terminal",'BBG Verify'!S300)</f>
        <v/>
      </c>
      <c r="BJ300" s="76" t="inlineStr">
        <is>
          <t>N</t>
        </is>
      </c>
      <c r="BK300" s="77">
        <f>IF('BBG Verify'!K300="","not filed — run on terminal",'BBG Verify'!K300)</f>
        <v/>
      </c>
      <c r="BL300" s="63" t="inlineStr">
        <is>
          <t>N/A</t>
        </is>
      </c>
      <c r="BM300" s="63" t="inlineStr">
        <is>
          <t>N/A</t>
        </is>
      </c>
      <c r="BN300" s="63" t="inlineStr">
        <is>
          <t>N/A</t>
        </is>
      </c>
      <c r="BO300" s="63" t="inlineStr">
        <is>
          <t>N/A</t>
        </is>
      </c>
      <c r="BP300" s="63" t="inlineStr">
        <is>
          <t>N/A</t>
        </is>
      </c>
      <c r="BQ300" s="63" t="inlineStr">
        <is>
          <t>N/A</t>
        </is>
      </c>
      <c r="BR300" s="76" t="inlineStr">
        <is>
          <t>CITIC Securities (Hong Kong) Limited; China International Capital Corporation Hong Kong Securities Limited</t>
        </is>
      </c>
      <c r="BS300" s="63" t="inlineStr">
        <is>
          <t>China International Capital Corporation Hong Kong Securities Limited; CITIC Securities (Hong Kong) Limited</t>
        </is>
      </c>
      <c r="BT300" s="63" t="inlineStr">
        <is>
          <t>BOCI Asia Limited; CMBC Securities Company Limited; Futu Securities International (Hong Kong) Limited; Phillip Securities (Hong Kong) Limited; Shenwan Hongyuan Securities (H.K.) Limited; SPDB International Capital Limited; Tiger Brokers (HK) Global Limited</t>
        </is>
      </c>
      <c r="BU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V300" s="78">
        <f>HYPERLINK("https://www1.hkexnews.hk/listedco/listconews/sehk/2024/1217/2024121700015.pdf","prospectus")</f>
        <v/>
      </c>
      <c r="BW300" s="78">
        <f>HYPERLINK("https://www1.hkexnews.hk/listedco/listconews/sehk/2024/1224/2024122401190.pdf","allotment")</f>
        <v/>
      </c>
      <c r="BX300" s="78">
        <f>HYPERLINK("https://www1.hkexnews.hk/listedco/listconews/sehk/2025/0120/2025012000812.pdf","stabilisation")</f>
        <v/>
      </c>
      <c r="BY300" s="76" t="n"/>
      <c r="BZ300" s="63" t="inlineStr">
        <is>
          <t>P/E: n/m — loss-making at IPO (use P/S) · A/H: no A-share listing · grey market: no grey-market headline on file for this deal — AAStocks publishes one per listing but keeps only recent items on the stock's news page, and no public archive of past evening sessions exists; captured from this run onward</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72" t="n"/>
      <c r="AC301" s="66" t="n"/>
      <c r="AD301" s="72" t="n"/>
      <c r="AE301" s="63" t="n"/>
      <c r="AF301" s="63" t="n"/>
      <c r="AG301" s="63" t="n"/>
      <c r="AH301" s="63" t="n"/>
      <c r="AI301" s="63" t="n"/>
      <c r="AJ301" s="73" t="n">
        <v>36.67</v>
      </c>
      <c r="AK301" s="72" t="n">
        <v>27.56</v>
      </c>
      <c r="AL301" s="72" t="n">
        <v>7.14</v>
      </c>
      <c r="AM301" s="72" t="n">
        <v>97.95</v>
      </c>
      <c r="AN301" s="72" t="n">
        <v>71.79000000000001</v>
      </c>
      <c r="AO301" s="72" t="n">
        <v>303.21</v>
      </c>
      <c r="AP301" s="72" t="n">
        <v>44.84</v>
      </c>
      <c r="AQ301" s="72" t="n">
        <v>25.7</v>
      </c>
      <c r="AR301" s="72" t="n">
        <v>195.02</v>
      </c>
      <c r="AS301" s="72" t="n">
        <v>102.77</v>
      </c>
      <c r="AT301" s="72" t="n">
        <v>74.68000000000001</v>
      </c>
      <c r="AU301" s="72" t="n">
        <v>282.84</v>
      </c>
      <c r="AV301" s="72" t="n">
        <v>29.24</v>
      </c>
      <c r="AW301" s="72" t="n">
        <v>-2.89</v>
      </c>
      <c r="AX301" s="72" t="n">
        <v>-3.54</v>
      </c>
      <c r="AY301" s="63" t="inlineStr">
        <is>
          <t>China Biotech ETF (HS biotech proxy)</t>
        </is>
      </c>
      <c r="AZ301" s="72" t="n">
        <v>-78.20999999999999</v>
      </c>
      <c r="BA301" s="64" t="inlineStr">
        <is>
          <t>2026-08-28</t>
        </is>
      </c>
      <c r="BB301" s="65" t="n">
        <v>1320.9</v>
      </c>
      <c r="BC301" s="68" t="n">
        <v>-345.3</v>
      </c>
      <c r="BD301" s="63" t="inlineStr">
        <is>
          <t>N</t>
        </is>
      </c>
      <c r="BE301" s="63" t="inlineStr">
        <is>
          <t>n/m</t>
        </is>
      </c>
      <c r="BF301" s="74" t="n"/>
      <c r="BG301" s="74" t="n">
        <v>26.7</v>
      </c>
      <c r="BH301" s="74" t="n">
        <v>5.2</v>
      </c>
      <c r="BI301" s="75">
        <f>IF('BBG Verify'!S301="","not filed — run on terminal",'BBG Verify'!S301)</f>
        <v/>
      </c>
      <c r="BJ301" s="76" t="inlineStr">
        <is>
          <t>N</t>
        </is>
      </c>
      <c r="BK301" s="77">
        <f>IF('BBG Verify'!K301="","not filed — run on terminal",'BBG Verify'!K301)</f>
        <v/>
      </c>
      <c r="BL301" s="63" t="inlineStr">
        <is>
          <t>N/A</t>
        </is>
      </c>
      <c r="BM301" s="63" t="inlineStr">
        <is>
          <t>N/A</t>
        </is>
      </c>
      <c r="BN301" s="63" t="inlineStr">
        <is>
          <t>N/A</t>
        </is>
      </c>
      <c r="BO301" s="63" t="inlineStr">
        <is>
          <t>N/A</t>
        </is>
      </c>
      <c r="BP301" s="63" t="inlineStr">
        <is>
          <t>N/A</t>
        </is>
      </c>
      <c r="BQ301" s="63" t="inlineStr">
        <is>
          <t>N/A</t>
        </is>
      </c>
      <c r="BR301" s="76" t="inlineStr">
        <is>
          <t>CCB Intern ational Capital Limited; Financial Advisor (Note) Bristol Capital Limited</t>
        </is>
      </c>
      <c r="BS301" s="63" t="inlineStr">
        <is>
          <t>CCB International Capital Limited</t>
        </is>
      </c>
      <c r="BT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U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V301" s="78">
        <f>HYPERLINK("https://www1.hkexnews.hk/listedco/listconews/sehk/2024/1218/2024121800023.pdf","prospectus")</f>
        <v/>
      </c>
      <c r="BW301" s="78">
        <f>HYPERLINK("https://www1.hkexnews.hk/listedco/listconews/sehk/2024/1227/2024122701758.pdf","allotment")</f>
        <v/>
      </c>
      <c r="BX301" s="63" t="n"/>
      <c r="BY301" s="76" t="n"/>
      <c r="BZ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72" t="n"/>
      <c r="AC302" s="66" t="n"/>
      <c r="AD302" s="72" t="n"/>
      <c r="AE302" s="63" t="n"/>
      <c r="AF302" s="63" t="inlineStr">
        <is>
          <t>partial</t>
        </is>
      </c>
      <c r="AG302" s="63" t="n"/>
      <c r="AH302" s="63" t="inlineStr">
        <is>
          <t>China International Capital Corporation Hong Kong Securities Limited</t>
        </is>
      </c>
      <c r="AI302" s="63" t="inlineStr">
        <is>
          <t>China International</t>
        </is>
      </c>
      <c r="AJ302" s="73" t="n">
        <v>0.45</v>
      </c>
      <c r="AK302" s="72" t="n">
        <v>0.45</v>
      </c>
      <c r="AL302" s="72" t="n">
        <v>0</v>
      </c>
      <c r="AM302" s="72" t="n">
        <v>-0.03</v>
      </c>
      <c r="AN302" s="72" t="n">
        <v>32.7</v>
      </c>
      <c r="AO302" s="72" t="n">
        <v>44.2</v>
      </c>
      <c r="AP302" s="72" t="n">
        <v>-0.48</v>
      </c>
      <c r="AQ302" s="72" t="n">
        <v>32.11</v>
      </c>
      <c r="AR302" s="72" t="n">
        <v>43.55</v>
      </c>
      <c r="AS302" s="72" t="n">
        <v>4.01</v>
      </c>
      <c r="AT302" s="72" t="n">
        <v>28.3</v>
      </c>
      <c r="AU302" s="72" t="n">
        <v>24.98</v>
      </c>
      <c r="AV302" s="72" t="n">
        <v>26.81</v>
      </c>
      <c r="AW302" s="72" t="n">
        <v>4.4</v>
      </c>
      <c r="AX302" s="72" t="n">
        <v>5.3</v>
      </c>
      <c r="AY302" s="63" t="inlineStr">
        <is>
          <t>HSTECH (Hang Seng TECH ETF)</t>
        </is>
      </c>
      <c r="AZ302" s="72" t="n">
        <v>49.97</v>
      </c>
      <c r="BA302" s="64" t="inlineStr">
        <is>
          <t>2026-08-28</t>
        </is>
      </c>
      <c r="BB302" s="65" t="n">
        <v>652</v>
      </c>
      <c r="BC302" s="68" t="n">
        <v>-1212.1</v>
      </c>
      <c r="BD302" s="63" t="inlineStr">
        <is>
          <t>N</t>
        </is>
      </c>
      <c r="BE302" s="63" t="inlineStr">
        <is>
          <t>n/m</t>
        </is>
      </c>
      <c r="BF302" s="74" t="n"/>
      <c r="BG302" s="74" t="n"/>
      <c r="BH302" s="74" t="n">
        <v>38.1</v>
      </c>
      <c r="BI302" s="75">
        <f>IF('BBG Verify'!S302="","not filed — run on terminal",'BBG Verify'!S302)</f>
        <v/>
      </c>
      <c r="BJ302" s="76" t="inlineStr">
        <is>
          <t>N</t>
        </is>
      </c>
      <c r="BK302" s="77">
        <f>IF('BBG Verify'!K302="","not filed — run on terminal",'BBG Verify'!K302)</f>
        <v/>
      </c>
      <c r="BL302" s="63" t="inlineStr">
        <is>
          <t>N/A</t>
        </is>
      </c>
      <c r="BM302" s="63" t="inlineStr">
        <is>
          <t>N/A</t>
        </is>
      </c>
      <c r="BN302" s="63" t="inlineStr">
        <is>
          <t>N/A</t>
        </is>
      </c>
      <c r="BO302" s="63" t="inlineStr">
        <is>
          <t>N/A</t>
        </is>
      </c>
      <c r="BP302" s="63" t="inlineStr">
        <is>
          <t>N/A</t>
        </is>
      </c>
      <c r="BQ302" s="63" t="inlineStr">
        <is>
          <t>N/A</t>
        </is>
      </c>
      <c r="BR302" s="76" t="inlineStr">
        <is>
          <t>CMB International Capital Limited</t>
        </is>
      </c>
      <c r="BS302" s="63" t="inlineStr">
        <is>
          <t>China International Capital Corporation Hong Kong Securities Limited; CMB International Capital Corporation Limited</t>
        </is>
      </c>
      <c r="BT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U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V302" s="78">
        <f>HYPERLINK("https://www1.hkexnews.hk/listedco/listconews/sehk/2024/1218/2024121800031.pdf","prospectus")</f>
        <v/>
      </c>
      <c r="BW302" s="78">
        <f>HYPERLINK("https://www1.hkexnews.hk/listedco/listconews/sehk/2024/1227/2024122701822.pdf","allotment")</f>
        <v/>
      </c>
      <c r="BX302" s="78">
        <f>HYPERLINK("https://www1.hkexnews.hk/listedco/listconews/sehk/2025/0122/2025012200846.pdf","stabilisation")</f>
        <v/>
      </c>
      <c r="BY302" s="76" t="n"/>
      <c r="BZ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no grey-market headline on file for this deal — AAStocks publishes one per listing but keeps only recent items on the stock's news page, and no public archive of past evening sessions exists; captured from this run onward</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72" t="n"/>
      <c r="AC303" s="66" t="n"/>
      <c r="AD303" s="72" t="n"/>
      <c r="AE303" s="63" t="n"/>
      <c r="AF303" s="63" t="inlineStr">
        <is>
          <t>lapsed (no over-allocation)</t>
        </is>
      </c>
      <c r="AG303" s="63" t="n"/>
      <c r="AH303" s="63" t="inlineStr">
        <is>
          <t>Huatai Financial Holdings</t>
        </is>
      </c>
      <c r="AI303" s="63" t="inlineStr">
        <is>
          <t>Huatai</t>
        </is>
      </c>
      <c r="AJ303" s="73" t="n">
        <v>5.07</v>
      </c>
      <c r="AK303" s="72" t="n">
        <v>8.390000000000001</v>
      </c>
      <c r="AL303" s="72" t="n">
        <v>-3.06</v>
      </c>
      <c r="AM303" s="72" t="n">
        <v>2.17</v>
      </c>
      <c r="AN303" s="72" t="n">
        <v>5.43</v>
      </c>
      <c r="AO303" s="72" t="n">
        <v>60.75</v>
      </c>
      <c r="AP303" s="72" t="n">
        <v>-2.76</v>
      </c>
      <c r="AQ303" s="72" t="n">
        <v>0.34</v>
      </c>
      <c r="AR303" s="72" t="n">
        <v>52.99</v>
      </c>
      <c r="AS303" s="72" t="n">
        <v>6.99</v>
      </c>
      <c r="AT303" s="72" t="n">
        <v>8.32</v>
      </c>
      <c r="AU303" s="72" t="n">
        <v>40.38</v>
      </c>
      <c r="AV303" s="72" t="n">
        <v>3.88</v>
      </c>
      <c r="AW303" s="72" t="n">
        <v>-2.89</v>
      </c>
      <c r="AX303" s="72" t="n">
        <v>-3.54</v>
      </c>
      <c r="AY303" s="63" t="inlineStr">
        <is>
          <t>China Biotech ETF (HS biotech proxy)</t>
        </is>
      </c>
      <c r="AZ303" s="72" t="n">
        <v>-10.27</v>
      </c>
      <c r="BA303" s="64" t="inlineStr">
        <is>
          <t>2026-08-28</t>
        </is>
      </c>
      <c r="BB303" s="65" t="n">
        <v>611.6</v>
      </c>
      <c r="BC303" s="68" t="n">
        <v>-169.4</v>
      </c>
      <c r="BD303" s="63" t="inlineStr">
        <is>
          <t>N</t>
        </is>
      </c>
      <c r="BE303" s="63" t="inlineStr">
        <is>
          <t>n/m</t>
        </is>
      </c>
      <c r="BF303" s="74" t="n"/>
      <c r="BG303" s="74" t="n"/>
      <c r="BH303" s="74" t="n">
        <v>16.4</v>
      </c>
      <c r="BI303" s="75">
        <f>IF('BBG Verify'!S303="","not filed — run on terminal",'BBG Verify'!S303)</f>
        <v/>
      </c>
      <c r="BJ303" s="76" t="inlineStr">
        <is>
          <t>N</t>
        </is>
      </c>
      <c r="BK303" s="77">
        <f>IF('BBG Verify'!K303="","not filed — run on terminal",'BBG Verify'!K303)</f>
        <v/>
      </c>
      <c r="BL303" s="63" t="inlineStr">
        <is>
          <t>N/A</t>
        </is>
      </c>
      <c r="BM303" s="63" t="inlineStr">
        <is>
          <t>N/A</t>
        </is>
      </c>
      <c r="BN303" s="63" t="inlineStr">
        <is>
          <t>N/A</t>
        </is>
      </c>
      <c r="BO303" s="63" t="inlineStr">
        <is>
          <t>N/A</t>
        </is>
      </c>
      <c r="BP303" s="63" t="inlineStr">
        <is>
          <t>N/A</t>
        </is>
      </c>
      <c r="BQ303" s="63" t="inlineStr">
        <is>
          <t>N/A</t>
        </is>
      </c>
      <c r="BR303" s="76" t="inlineStr">
        <is>
          <t>Huatai Financial Holdings (Hong Kong) Limited; GF Capital (Hong Kong) Limited; CCB International Capital Limited</t>
        </is>
      </c>
      <c r="BS303" s="63" t="inlineStr">
        <is>
          <t>CCB International Capital Limited; Huatai Financial Holdings (Hong Kong) Limited; GF Capital (Hong Kong) Limited</t>
        </is>
      </c>
      <c r="BT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U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V303" s="78">
        <f>HYPERLINK("https://www1.hkexnews.hk/listedco/listconews/sehk/2024/1218/2024121800019.pdf","prospectus")</f>
        <v/>
      </c>
      <c r="BW303" s="78">
        <f>HYPERLINK("https://www1.hkexnews.hk/listedco/listconews/sehk/2024/1227/2024122701834.pdf","allotment")</f>
        <v/>
      </c>
      <c r="BX303" s="78">
        <f>HYPERLINK("https://www1.hkexnews.hk/listedco/listconews/sehk/2025/0122/2025012200840.pdf","stabilisation")</f>
        <v/>
      </c>
      <c r="BY303" s="76" t="n"/>
      <c r="BZ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72" t="n"/>
      <c r="AC304" s="66" t="n"/>
      <c r="AD304" s="72" t="n"/>
      <c r="AE304" s="63" t="n"/>
      <c r="AF304" s="63" t="inlineStr">
        <is>
          <t>lapsed (no over-allocation)</t>
        </is>
      </c>
      <c r="AG304" s="63" t="n"/>
      <c r="AH304" s="63" t="inlineStr">
        <is>
          <t>China International Capital Corporation Hong Kong Securities Limited</t>
        </is>
      </c>
      <c r="AI304" s="63" t="inlineStr">
        <is>
          <t>China International</t>
        </is>
      </c>
      <c r="AJ304" s="73" t="n">
        <v>3.42</v>
      </c>
      <c r="AK304" s="72" t="n">
        <v>0</v>
      </c>
      <c r="AL304" s="72" t="n">
        <v>3.42</v>
      </c>
      <c r="AM304" s="72" t="n">
        <v>14.91</v>
      </c>
      <c r="AN304" s="72" t="n">
        <v>73.91</v>
      </c>
      <c r="AO304" s="72" t="n">
        <v>89.75</v>
      </c>
      <c r="AP304" s="72" t="n">
        <v>11.11</v>
      </c>
      <c r="AQ304" s="72" t="n">
        <v>68.16</v>
      </c>
      <c r="AR304" s="72" t="n">
        <v>83.48</v>
      </c>
      <c r="AS304" s="72" t="n">
        <v>15.58</v>
      </c>
      <c r="AT304" s="72" t="n">
        <v>66.81999999999999</v>
      </c>
      <c r="AU304" s="72" t="n">
        <v>74.26000000000001</v>
      </c>
      <c r="AV304" s="72" t="n">
        <v>60.09</v>
      </c>
      <c r="AW304" s="72" t="n">
        <v>7.09</v>
      </c>
      <c r="AX304" s="72" t="n">
        <v>8.07</v>
      </c>
      <c r="AY304" s="63" t="inlineStr">
        <is>
          <t>China Biotech ETF (HS biotech proxy)</t>
        </is>
      </c>
      <c r="AZ304" s="72" t="n">
        <v>-53.26</v>
      </c>
      <c r="BA304" s="64" t="inlineStr">
        <is>
          <t>2026-08-28</t>
        </is>
      </c>
      <c r="BB304" s="65" t="n">
        <v>73.90000000000001</v>
      </c>
      <c r="BC304" s="68" t="n">
        <v>-395</v>
      </c>
      <c r="BD304" s="63" t="inlineStr">
        <is>
          <t>N</t>
        </is>
      </c>
      <c r="BE304" s="63" t="inlineStr">
        <is>
          <t>n/m</t>
        </is>
      </c>
      <c r="BF304" s="74" t="n"/>
      <c r="BG304" s="74" t="n"/>
      <c r="BH304" s="74" t="n">
        <v>55.2</v>
      </c>
      <c r="BI304" s="75">
        <f>IF('BBG Verify'!S304="","not filed — run on terminal",'BBG Verify'!S304)</f>
        <v/>
      </c>
      <c r="BJ304" s="76" t="inlineStr">
        <is>
          <t>N</t>
        </is>
      </c>
      <c r="BK304" s="77">
        <f>IF('BBG Verify'!K304="","not filed — run on terminal",'BBG Verify'!K304)</f>
        <v/>
      </c>
      <c r="BL304" s="63" t="inlineStr">
        <is>
          <t>N/A</t>
        </is>
      </c>
      <c r="BM304" s="63" t="inlineStr">
        <is>
          <t>N/A</t>
        </is>
      </c>
      <c r="BN304" s="63" t="inlineStr">
        <is>
          <t>N/A</t>
        </is>
      </c>
      <c r="BO304" s="63" t="inlineStr">
        <is>
          <t>N/A</t>
        </is>
      </c>
      <c r="BP304" s="63" t="inlineStr">
        <is>
          <t>N/A</t>
        </is>
      </c>
      <c r="BQ304" s="63" t="inlineStr">
        <is>
          <t>N/A</t>
        </is>
      </c>
      <c r="BR304" s="76" t="inlineStr">
        <is>
          <t>China International Capital Corporation Hong Kong Securities Limited; SPDB International Capital Limited</t>
        </is>
      </c>
      <c r="BS304" s="63" t="inlineStr">
        <is>
          <t>China International Capital Corporation Hong Kong Securities Limited; SPDB International Capital Limited</t>
        </is>
      </c>
      <c r="BT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U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V304" s="78">
        <f>HYPERLINK("https://www1.hkexnews.hk/listedco/listconews/sehk/2024/1230/2024123000045.pdf","prospectus")</f>
        <v/>
      </c>
      <c r="BW304" s="78">
        <f>HYPERLINK("https://www1.hkexnews.hk/listedco/listconews/sehk/2025/0107/2025010701660.pdf","allotment")</f>
        <v/>
      </c>
      <c r="BX304" s="78">
        <f>HYPERLINK("https://www1.hkexnews.hk/listedco/listconews/sehk/2025/0202/2025020200065.pdf","stabilisation")</f>
        <v/>
      </c>
      <c r="BY304" s="76" t="n"/>
      <c r="BZ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72" t="n">
        <v>-31.3</v>
      </c>
      <c r="AC305" s="66" t="n">
        <v>2.06</v>
      </c>
      <c r="AD305" s="72" t="n">
        <v>-23.83</v>
      </c>
      <c r="AE305" s="63" t="inlineStr">
        <is>
          <t>Y</t>
        </is>
      </c>
      <c r="AF305" s="63" t="n"/>
      <c r="AG305" s="63" t="n"/>
      <c r="AH305" s="63" t="inlineStr">
        <is>
          <t>China Securities</t>
        </is>
      </c>
      <c r="AI305" s="63" t="inlineStr">
        <is>
          <t>China Securities</t>
        </is>
      </c>
      <c r="AJ305" s="73" t="n">
        <v>-47.67</v>
      </c>
      <c r="AK305" s="72" t="n">
        <v>-40</v>
      </c>
      <c r="AL305" s="72" t="n">
        <v>-12.78</v>
      </c>
      <c r="AM305" s="72" t="n">
        <v>-51.67</v>
      </c>
      <c r="AN305" s="72" t="n">
        <v>-54.67</v>
      </c>
      <c r="AO305" s="72" t="n">
        <v>-41.33</v>
      </c>
      <c r="AP305" s="72" t="n">
        <v>-7.64</v>
      </c>
      <c r="AQ305" s="72" t="n">
        <v>-13.38</v>
      </c>
      <c r="AR305" s="72" t="n">
        <v>12.12</v>
      </c>
      <c r="AS305" s="72" t="n">
        <v>-53.25</v>
      </c>
      <c r="AT305" s="72" t="n">
        <v>-71.84</v>
      </c>
      <c r="AU305" s="72" t="n">
        <v>-55.83</v>
      </c>
      <c r="AV305" s="72" t="n">
        <v>-30.32</v>
      </c>
      <c r="AW305" s="72" t="n">
        <v>17.17</v>
      </c>
      <c r="AX305" s="72" t="n">
        <v>16.94</v>
      </c>
      <c r="AY305" s="63" t="inlineStr">
        <is>
          <t>Hang Seng Commerce &amp; Industry sub-index</t>
        </is>
      </c>
      <c r="AZ305" s="72" t="n">
        <v>-49.67</v>
      </c>
      <c r="BA305" s="64" t="inlineStr">
        <is>
          <t>2026-08-28</t>
        </is>
      </c>
      <c r="BB305" s="65" t="n">
        <v>2635.1</v>
      </c>
      <c r="BC305" s="68" t="n"/>
      <c r="BD305" s="63" t="inlineStr">
        <is>
          <t>Y</t>
        </is>
      </c>
      <c r="BE305" s="74" t="n">
        <v>5.1</v>
      </c>
      <c r="BF305" s="74" t="n">
        <v>5.1</v>
      </c>
      <c r="BG305" s="74" t="n">
        <v>6.5</v>
      </c>
      <c r="BH305" s="74" t="n">
        <v>0.7</v>
      </c>
      <c r="BI305" s="75">
        <f>IF('BBG Verify'!S305="","not filed — run on terminal",'BBG Verify'!S305)</f>
        <v/>
      </c>
      <c r="BJ305" s="76" t="inlineStr">
        <is>
          <t>N</t>
        </is>
      </c>
      <c r="BK305" s="77">
        <f>IF('BBG Verify'!K305="","not filed — run on terminal",'BBG Verify'!K305)</f>
        <v/>
      </c>
      <c r="BL305" s="63" t="inlineStr">
        <is>
          <t>N/A</t>
        </is>
      </c>
      <c r="BM305" s="63" t="inlineStr">
        <is>
          <t>N/A</t>
        </is>
      </c>
      <c r="BN305" s="63" t="inlineStr">
        <is>
          <t>N/A</t>
        </is>
      </c>
      <c r="BO305" s="63" t="inlineStr">
        <is>
          <t>N/A</t>
        </is>
      </c>
      <c r="BP305" s="63" t="inlineStr">
        <is>
          <t>N/A</t>
        </is>
      </c>
      <c r="BQ305" s="63" t="inlineStr">
        <is>
          <t>N/A</t>
        </is>
      </c>
      <c r="BR305" s="76" t="inlineStr">
        <is>
          <t>China Securities (International) Corporate Finance Company Limited</t>
        </is>
      </c>
      <c r="BS305" s="63" t="inlineStr">
        <is>
          <t>China Securities (International) Corporate Finance Company Limited</t>
        </is>
      </c>
      <c r="BT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U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V305" s="78">
        <f>HYPERLINK("https://www1.hkexnews.hk/listedco/listconews/sehk/2024/1231/2024123100162.pdf","prospectus")</f>
        <v/>
      </c>
      <c r="BW305" s="78">
        <f>HYPERLINK("https://www1.hkexnews.hk/listedco/listconews/sehk/2025/0108/2025010801080.pdf","allotment")</f>
        <v/>
      </c>
      <c r="BX305" s="63" t="n"/>
      <c r="BY305" s="76" t="n"/>
      <c r="BZ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72" t="n">
        <v>6.4</v>
      </c>
      <c r="AC306" s="66" t="n">
        <v>33.85</v>
      </c>
      <c r="AD306" s="72" t="n">
        <v>-0.1</v>
      </c>
      <c r="AE306" s="63" t="inlineStr">
        <is>
          <t>Y</t>
        </is>
      </c>
      <c r="AF306" s="63" t="n"/>
      <c r="AG306" s="63" t="n"/>
      <c r="AH306" s="63" t="n"/>
      <c r="AI306" s="63" t="n"/>
      <c r="AJ306" s="73" t="n">
        <v>6.29</v>
      </c>
      <c r="AK306" s="72" t="n">
        <v>6.76</v>
      </c>
      <c r="AL306" s="72" t="n">
        <v>-0.44</v>
      </c>
      <c r="AM306" s="72" t="n">
        <v>-5.66</v>
      </c>
      <c r="AN306" s="72" t="n">
        <v>-4.09</v>
      </c>
      <c r="AO306" s="72" t="n">
        <v>-8.65</v>
      </c>
      <c r="AP306" s="72" t="n">
        <v>-11.24</v>
      </c>
      <c r="AQ306" s="72" t="n">
        <v>-9.77</v>
      </c>
      <c r="AR306" s="72" t="n">
        <v>-14.06</v>
      </c>
      <c r="AS306" s="72" t="n">
        <v>-7.24</v>
      </c>
      <c r="AT306" s="72" t="n">
        <v>-21.26</v>
      </c>
      <c r="AU306" s="72" t="n">
        <v>-23.15</v>
      </c>
      <c r="AV306" s="72" t="n">
        <v>-26.71</v>
      </c>
      <c r="AW306" s="72" t="n">
        <v>17.17</v>
      </c>
      <c r="AX306" s="72" t="n">
        <v>16.94</v>
      </c>
      <c r="AY306" s="63" t="inlineStr">
        <is>
          <t>Hang Seng Commerce &amp; Industry sub-index</t>
        </is>
      </c>
      <c r="AZ306" s="72" t="n">
        <v>-2.52</v>
      </c>
      <c r="BA306" s="64" t="inlineStr">
        <is>
          <t>2026-08-28</t>
        </is>
      </c>
      <c r="BB306" s="65" t="n">
        <v>561.3</v>
      </c>
      <c r="BC306" s="68" t="n">
        <v>132.6</v>
      </c>
      <c r="BD306" s="63" t="inlineStr">
        <is>
          <t>Y</t>
        </is>
      </c>
      <c r="BE306" s="74" t="n">
        <v>9.6</v>
      </c>
      <c r="BF306" s="74" t="n"/>
      <c r="BG306" s="74" t="n">
        <v>186.7</v>
      </c>
      <c r="BH306" s="74" t="n">
        <v>2.3</v>
      </c>
      <c r="BI306" s="75">
        <f>IF('BBG Verify'!S306="","not filed — run on terminal",'BBG Verify'!S306)</f>
        <v/>
      </c>
      <c r="BJ306" s="76" t="inlineStr">
        <is>
          <t>N</t>
        </is>
      </c>
      <c r="BK306" s="77">
        <f>IF('BBG Verify'!K306="","not filed — run on terminal",'BBG Verify'!K306)</f>
        <v/>
      </c>
      <c r="BL306" s="63" t="inlineStr">
        <is>
          <t>N/A</t>
        </is>
      </c>
      <c r="BM306" s="63" t="inlineStr">
        <is>
          <t>N/A</t>
        </is>
      </c>
      <c r="BN306" s="63" t="inlineStr">
        <is>
          <t>N/A</t>
        </is>
      </c>
      <c r="BO306" s="63" t="inlineStr">
        <is>
          <t>N/A</t>
        </is>
      </c>
      <c r="BP306" s="63" t="inlineStr">
        <is>
          <t>N/A</t>
        </is>
      </c>
      <c r="BQ306" s="63" t="inlineStr">
        <is>
          <t>N/A</t>
        </is>
      </c>
      <c r="BR306" s="76" t="inlineStr">
        <is>
          <t>CITIC Securities (Hong Kong) Limited; China Galaxy International Securities (Hong Kong) Co., Limited</t>
        </is>
      </c>
      <c r="BS306" s="63" t="inlineStr">
        <is>
          <t>CITIC Securities (Hong Kong) Limited; China Galaxy International Securities (Hong Kong) Company Limited</t>
        </is>
      </c>
      <c r="BT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U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V306" s="78">
        <f>HYPERLINK("https://www1.hkexnews.hk/listedco/listconews/sehk/2024/1231/2024123100011.pdf","prospectus")</f>
        <v/>
      </c>
      <c r="BW306" s="78">
        <f>HYPERLINK("https://www1.hkexnews.hk/listedco/listconews/sehk/2025/0108/2025010801098.pdf","allotment")</f>
        <v/>
      </c>
      <c r="BX306" s="63" t="n"/>
      <c r="BY306" s="76" t="n"/>
      <c r="BZ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72" t="n"/>
      <c r="AC307" s="66" t="n"/>
      <c r="AD307" s="72" t="n"/>
      <c r="AE307" s="63" t="n"/>
      <c r="AF307" s="63" t="n"/>
      <c r="AG307" s="63" t="inlineStr">
        <is>
          <t>2025-02-06</t>
        </is>
      </c>
      <c r="AH307" s="63" t="inlineStr">
        <is>
          <t>Goldman Sachs</t>
        </is>
      </c>
      <c r="AI307" s="63" t="inlineStr">
        <is>
          <t>Goldman Sachs</t>
        </is>
      </c>
      <c r="AJ307" s="73" t="n">
        <v>40.85</v>
      </c>
      <c r="AK307" s="72" t="n">
        <v>81.61</v>
      </c>
      <c r="AL307" s="72" t="n">
        <v>-22.44</v>
      </c>
      <c r="AM307" s="72" t="n">
        <v>49.63</v>
      </c>
      <c r="AN307" s="72" t="n">
        <v>40.18</v>
      </c>
      <c r="AO307" s="72" t="n">
        <v>101.66</v>
      </c>
      <c r="AP307" s="72" t="n">
        <v>6.23</v>
      </c>
      <c r="AQ307" s="72" t="n">
        <v>-0.48</v>
      </c>
      <c r="AR307" s="72" t="n">
        <v>43.17</v>
      </c>
      <c r="AS307" s="72" t="n">
        <v>47.69</v>
      </c>
      <c r="AT307" s="72" t="n">
        <v>23.64</v>
      </c>
      <c r="AU307" s="72" t="n">
        <v>87.13</v>
      </c>
      <c r="AV307" s="72" t="n">
        <v>-18.44</v>
      </c>
      <c r="AW307" s="72" t="n">
        <v>16.54</v>
      </c>
      <c r="AX307" s="72" t="n">
        <v>17.96</v>
      </c>
      <c r="AY307" s="63" t="inlineStr">
        <is>
          <t>Hang Seng Commerce &amp; Industry sub-index</t>
        </is>
      </c>
      <c r="AZ307" s="72" t="n">
        <v>25.35</v>
      </c>
      <c r="BA307" s="64" t="inlineStr">
        <is>
          <t>2026-08-28</t>
        </is>
      </c>
      <c r="BB307" s="65" t="n">
        <v>2465</v>
      </c>
      <c r="BC307" s="68" t="n">
        <v>-441.2</v>
      </c>
      <c r="BD307" s="63" t="inlineStr">
        <is>
          <t>N</t>
        </is>
      </c>
      <c r="BE307" s="63" t="inlineStr">
        <is>
          <t>n/m</t>
        </is>
      </c>
      <c r="BF307" s="74" t="n"/>
      <c r="BG307" s="74" t="n"/>
      <c r="BH307" s="74" t="n">
        <v>5.9</v>
      </c>
      <c r="BI307" s="75">
        <f>IF('BBG Verify'!S307="","not filed — run on terminal",'BBG Verify'!S307)</f>
        <v/>
      </c>
      <c r="BJ307" s="76" t="inlineStr">
        <is>
          <t>N</t>
        </is>
      </c>
      <c r="BK307" s="77">
        <f>IF('BBG Verify'!K307="","not filed — run on terminal",'BBG Verify'!K307)</f>
        <v/>
      </c>
      <c r="BL307" s="63" t="inlineStr">
        <is>
          <t>N/A</t>
        </is>
      </c>
      <c r="BM307" s="63" t="inlineStr">
        <is>
          <t>N/A</t>
        </is>
      </c>
      <c r="BN307" s="63" t="inlineStr">
        <is>
          <t>N/A</t>
        </is>
      </c>
      <c r="BO307" s="63" t="inlineStr">
        <is>
          <t>N/A</t>
        </is>
      </c>
      <c r="BP307" s="63" t="inlineStr">
        <is>
          <t>N/A</t>
        </is>
      </c>
      <c r="BQ307" s="63" t="inlineStr">
        <is>
          <t>N/A</t>
        </is>
      </c>
      <c r="BR307" s="76" t="n"/>
      <c r="BS307" s="63" t="inlineStr">
        <is>
          <t>Goldman Sachs (Asia) L.L.C.; Huatai Financial Holdings (Hong Kong) Limited</t>
        </is>
      </c>
      <c r="BT307" s="63" t="inlineStr">
        <is>
          <t>Futu Securities International (Hong Kong) Limited; Goldman Sachs (Asia) L.L.C.; Huatai Financial Holdings (Hong Kong) Limited</t>
        </is>
      </c>
      <c r="BU307" s="63" t="inlineStr">
        <is>
          <t>Futu Securities International (Hong Kong) Limited; Goldman Sachs (Asia) L.L.C.; Huatai Financial Holdings (Hong Kong) Limited</t>
        </is>
      </c>
      <c r="BV307" s="63" t="n"/>
      <c r="BW307" s="78">
        <f>HYPERLINK("https://www1.hkexnews.hk/listedco/listconews/sehk/2025/0109/2025010900829.pdf","allotment")</f>
        <v/>
      </c>
      <c r="BX307" s="63" t="n"/>
      <c r="BY307" s="76" t="n"/>
      <c r="BZ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72" t="n"/>
      <c r="AC308" s="66" t="n"/>
      <c r="AD308" s="72" t="n"/>
      <c r="AE308" s="63" t="n"/>
      <c r="AF308" s="63" t="n"/>
      <c r="AG308" s="63" t="n"/>
      <c r="AH308" s="63" t="n"/>
      <c r="AI308" s="63" t="n"/>
      <c r="AJ308" s="73" t="n">
        <v>-13.75</v>
      </c>
      <c r="AK308" s="72" t="n">
        <v>-1.25</v>
      </c>
      <c r="AL308" s="72" t="n">
        <v>-12.66</v>
      </c>
      <c r="AM308" s="72" t="n">
        <v>-15</v>
      </c>
      <c r="AN308" s="72" t="n">
        <v>-13.75</v>
      </c>
      <c r="AO308" s="72" t="n">
        <v>-16.25</v>
      </c>
      <c r="AP308" s="72" t="n">
        <v>-1.45</v>
      </c>
      <c r="AQ308" s="72" t="n">
        <v>0</v>
      </c>
      <c r="AR308" s="72" t="n">
        <v>-2.9</v>
      </c>
      <c r="AS308" s="72" t="n">
        <v>-16.94</v>
      </c>
      <c r="AT308" s="72" t="n">
        <v>-30.29</v>
      </c>
      <c r="AU308" s="72" t="n">
        <v>-30.78</v>
      </c>
      <c r="AV308" s="72" t="n">
        <v>-17.96</v>
      </c>
      <c r="AW308" s="72" t="n">
        <v>16.54</v>
      </c>
      <c r="AX308" s="72" t="n">
        <v>17.96</v>
      </c>
      <c r="AY308" s="63" t="inlineStr">
        <is>
          <t>Hang Seng Commerce &amp; Industry sub-index</t>
        </is>
      </c>
      <c r="AZ308" s="72" t="n">
        <v>-9.380000000000001</v>
      </c>
      <c r="BA308" s="64" t="inlineStr">
        <is>
          <t>2026-08-28</t>
        </is>
      </c>
      <c r="BB308" s="65" t="n">
        <v>469.2</v>
      </c>
      <c r="BC308" s="68" t="n">
        <v>175.3</v>
      </c>
      <c r="BD308" s="63" t="inlineStr">
        <is>
          <t>Y</t>
        </is>
      </c>
      <c r="BE308" s="74" t="n">
        <v>4.6</v>
      </c>
      <c r="BF308" s="74" t="n"/>
      <c r="BG308" s="74" t="n">
        <v>115.6</v>
      </c>
      <c r="BH308" s="74" t="n">
        <v>1.7</v>
      </c>
      <c r="BI308" s="75">
        <f>IF('BBG Verify'!S308="","not filed — run on terminal",'BBG Verify'!S308)</f>
        <v/>
      </c>
      <c r="BJ308" s="76" t="inlineStr">
        <is>
          <t>N</t>
        </is>
      </c>
      <c r="BK308" s="77">
        <f>IF('BBG Verify'!K308="","not filed — run on terminal",'BBG Verify'!K308)</f>
        <v/>
      </c>
      <c r="BL308" s="63" t="inlineStr">
        <is>
          <t>N/A</t>
        </is>
      </c>
      <c r="BM308" s="63" t="inlineStr">
        <is>
          <t>N/A</t>
        </is>
      </c>
      <c r="BN308" s="63" t="inlineStr">
        <is>
          <t>N/A</t>
        </is>
      </c>
      <c r="BO308" s="63" t="inlineStr">
        <is>
          <t>N/A</t>
        </is>
      </c>
      <c r="BP308" s="63" t="inlineStr">
        <is>
          <t>N/A</t>
        </is>
      </c>
      <c r="BQ308" s="63" t="inlineStr">
        <is>
          <t>N/A</t>
        </is>
      </c>
      <c r="BR308" s="76" t="inlineStr">
        <is>
          <t>Caitong International Capital Co., Limited</t>
        </is>
      </c>
      <c r="BS308" s="63" t="inlineStr">
        <is>
          <t>Caitong International Capital Co.</t>
        </is>
      </c>
      <c r="BT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U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V308" s="78">
        <f>HYPERLINK("https://www1.hkexnews.hk/listedco/listconews/sehk/2024/1230/2024123000005.pdf","prospectus")</f>
        <v/>
      </c>
      <c r="BW308" s="78">
        <f>HYPERLINK("https://www1.hkexnews.hk/listedco/listconews/sehk/2025/0109/2025010901059.pdf","allotment")</f>
        <v/>
      </c>
      <c r="BX308" s="63" t="n"/>
      <c r="BY308" s="76" t="n"/>
      <c r="BZ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72" t="n">
        <v>-1.5</v>
      </c>
      <c r="AC309" s="66" t="n">
        <v>2.55</v>
      </c>
      <c r="AD309" s="72" t="n">
        <v>2.3</v>
      </c>
      <c r="AE309" s="63" t="inlineStr">
        <is>
          <t>N</t>
        </is>
      </c>
      <c r="AF309" s="63" t="inlineStr">
        <is>
          <t>lapsed</t>
        </is>
      </c>
      <c r="AG309" s="63" t="n"/>
      <c r="AH309" s="63" t="inlineStr">
        <is>
          <t>CCB International Capital Limited</t>
        </is>
      </c>
      <c r="AI309" s="63" t="inlineStr">
        <is>
          <t>CCB</t>
        </is>
      </c>
      <c r="AJ309" s="73" t="n">
        <v>0.77</v>
      </c>
      <c r="AK309" s="72" t="n">
        <v>0</v>
      </c>
      <c r="AL309" s="72" t="n">
        <v>0.77</v>
      </c>
      <c r="AM309" s="72" t="n">
        <v>0.39</v>
      </c>
      <c r="AN309" s="72" t="n">
        <v>0.39</v>
      </c>
      <c r="AO309" s="72" t="n">
        <v>1.16</v>
      </c>
      <c r="AP309" s="72" t="n">
        <v>-0.38</v>
      </c>
      <c r="AQ309" s="72" t="n">
        <v>-0.38</v>
      </c>
      <c r="AR309" s="72" t="n">
        <v>0.39</v>
      </c>
      <c r="AS309" s="72" t="n">
        <v>-2.89</v>
      </c>
      <c r="AT309" s="72" t="n">
        <v>-12.01</v>
      </c>
      <c r="AU309" s="72" t="n">
        <v>-6.6</v>
      </c>
      <c r="AV309" s="72" t="n">
        <v>-13.97</v>
      </c>
      <c r="AW309" s="72" t="n">
        <v>12.4</v>
      </c>
      <c r="AX309" s="72" t="n">
        <v>13.59</v>
      </c>
      <c r="AY309" s="63" t="inlineStr">
        <is>
          <t>Hang Seng Finance sub-index</t>
        </is>
      </c>
      <c r="AZ309" s="72" t="n">
        <v>1.93</v>
      </c>
      <c r="BA309" s="64" t="inlineStr">
        <is>
          <t>2026-08-28</t>
        </is>
      </c>
      <c r="BB309" s="65" t="n">
        <v>2387</v>
      </c>
      <c r="BC309" s="68" t="n">
        <v>524.7</v>
      </c>
      <c r="BD309" s="63" t="inlineStr">
        <is>
          <t>Y</t>
        </is>
      </c>
      <c r="BE309" s="74" t="n">
        <v>20.1</v>
      </c>
      <c r="BF309" s="74" t="n"/>
      <c r="BG309" s="74" t="n"/>
      <c r="BH309" s="74" t="n">
        <v>4.4</v>
      </c>
      <c r="BI309" s="75">
        <f>IF('BBG Verify'!S309="","not filed — run on terminal",'BBG Verify'!S309)</f>
        <v/>
      </c>
      <c r="BJ309" s="76" t="inlineStr">
        <is>
          <t>N</t>
        </is>
      </c>
      <c r="BK309" s="77">
        <f>IF('BBG Verify'!K309="","not filed — run on terminal",'BBG Verify'!K309)</f>
        <v/>
      </c>
      <c r="BL309" s="63" t="inlineStr">
        <is>
          <t>N/A</t>
        </is>
      </c>
      <c r="BM309" s="63" t="inlineStr">
        <is>
          <t>N/A</t>
        </is>
      </c>
      <c r="BN309" s="63" t="inlineStr">
        <is>
          <t>N/A</t>
        </is>
      </c>
      <c r="BO309" s="63" t="inlineStr">
        <is>
          <t>N/A</t>
        </is>
      </c>
      <c r="BP309" s="63" t="inlineStr">
        <is>
          <t>N/A</t>
        </is>
      </c>
      <c r="BQ309" s="63" t="inlineStr">
        <is>
          <t>N/A</t>
        </is>
      </c>
      <c r="BR309" s="76" t="inlineStr">
        <is>
          <t>CCB International Capital Limited; ICBC International Capital Limited</t>
        </is>
      </c>
      <c r="BS309" s="63" t="inlineStr">
        <is>
          <t>CCB International Capital Limited; ICBC International Capital Limited</t>
        </is>
      </c>
      <c r="BT309" s="63" t="inlineStr">
        <is>
          <t>BOCI Asia Limited; CLSA Limited; Zhongtai International Securities Limited</t>
        </is>
      </c>
      <c r="BU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V309" s="78">
        <f>HYPERLINK("https://www1.hkexnews.hk/listedco/listconews/sehk/2024/1230/2024123000047.pdf","prospectus")</f>
        <v/>
      </c>
      <c r="BW309" s="78">
        <f>HYPERLINK("https://www1.hkexnews.hk/listedco/listconews/sehk/2025/0110/2025011001363.pdf","allotment")</f>
        <v/>
      </c>
      <c r="BX309" s="78">
        <f>HYPERLINK("https://www1.hkexnews.hk/listedco/listconews/sehk/2025/0207/2025020700893.pdf","stabilisation")</f>
        <v/>
      </c>
      <c r="BY309" s="76" t="n"/>
      <c r="BZ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72" t="n"/>
      <c r="AC310" s="66" t="n"/>
      <c r="AD310" s="72" t="n"/>
      <c r="AE310" s="63" t="n"/>
      <c r="AF310" s="63" t="inlineStr">
        <is>
          <t>lapsed (no over-allocation)</t>
        </is>
      </c>
      <c r="AG310" s="63" t="inlineStr">
        <is>
          <t>2025-02-09</t>
        </is>
      </c>
      <c r="AH310" s="63" t="inlineStr">
        <is>
          <t>CEB International Capital Corporation Limited</t>
        </is>
      </c>
      <c r="AI310" s="63" t="inlineStr">
        <is>
          <t>CEB</t>
        </is>
      </c>
      <c r="AJ310" s="73" t="n">
        <v>1.46</v>
      </c>
      <c r="AK310" s="72" t="n">
        <v>2.39</v>
      </c>
      <c r="AL310" s="72" t="n">
        <v>-0.91</v>
      </c>
      <c r="AM310" s="72" t="n">
        <v>0.38</v>
      </c>
      <c r="AN310" s="72" t="n">
        <v>17.17</v>
      </c>
      <c r="AO310" s="72" t="n">
        <v>-4.54</v>
      </c>
      <c r="AP310" s="72" t="n">
        <v>-1.06</v>
      </c>
      <c r="AQ310" s="72" t="n">
        <v>15.48</v>
      </c>
      <c r="AR310" s="72" t="n">
        <v>-5.91</v>
      </c>
      <c r="AS310" s="72" t="n">
        <v>-2.59</v>
      </c>
      <c r="AT310" s="72" t="n">
        <v>-7.53</v>
      </c>
      <c r="AU310" s="72" t="n">
        <v>-18.23</v>
      </c>
      <c r="AV310" s="72" t="n">
        <v>-9</v>
      </c>
      <c r="AW310" s="72" t="n">
        <v>24.7</v>
      </c>
      <c r="AX310" s="72" t="n">
        <v>24.48</v>
      </c>
      <c r="AY310" s="63" t="inlineStr">
        <is>
          <t>Hang Seng Commerce &amp; Industry sub-index</t>
        </is>
      </c>
      <c r="AZ310" s="72" t="n">
        <v>15.47</v>
      </c>
      <c r="BA310" s="64" t="inlineStr">
        <is>
          <t>2026-08-28</t>
        </is>
      </c>
      <c r="BB310" s="65" t="n">
        <v>193.3</v>
      </c>
      <c r="BC310" s="68" t="n">
        <v>55.8</v>
      </c>
      <c r="BD310" s="63" t="inlineStr">
        <is>
          <t>Y</t>
        </is>
      </c>
      <c r="BE310" s="74" t="n">
        <v>31</v>
      </c>
      <c r="BF310" s="74" t="n"/>
      <c r="BG310" s="74" t="n">
        <v>33.9</v>
      </c>
      <c r="BH310" s="74" t="n">
        <v>9</v>
      </c>
      <c r="BI310" s="75">
        <f>IF('BBG Verify'!S310="","not filed — run on terminal",'BBG Verify'!S310)</f>
        <v/>
      </c>
      <c r="BJ310" s="76" t="inlineStr">
        <is>
          <t>N</t>
        </is>
      </c>
      <c r="BK310" s="77">
        <f>IF('BBG Verify'!K310="","not filed — run on terminal",'BBG Verify'!K310)</f>
        <v/>
      </c>
      <c r="BL310" s="63" t="inlineStr">
        <is>
          <t>N/A</t>
        </is>
      </c>
      <c r="BM310" s="63" t="inlineStr">
        <is>
          <t>N/A</t>
        </is>
      </c>
      <c r="BN310" s="63" t="inlineStr">
        <is>
          <t>N/A</t>
        </is>
      </c>
      <c r="BO310" s="63" t="inlineStr">
        <is>
          <t>N/A</t>
        </is>
      </c>
      <c r="BP310" s="63" t="inlineStr">
        <is>
          <t>N/A</t>
        </is>
      </c>
      <c r="BQ310" s="63" t="inlineStr">
        <is>
          <t>N/A</t>
        </is>
      </c>
      <c r="BR310" s="76" t="n"/>
      <c r="BS310" s="63" t="inlineStr">
        <is>
          <t>CEB International Capital Corporation Limited</t>
        </is>
      </c>
      <c r="BT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U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V310" s="78">
        <f>HYPERLINK("https://www1.hkexnews.hk/listedco/listconews/sehk/2024/1231/2024123100154.pdf","prospectus")</f>
        <v/>
      </c>
      <c r="BW310" s="78">
        <f>HYPERLINK("https://www1.hkexnews.hk/listedco/listconews/sehk/2025/0114/2025011400898.pdf","allotment")</f>
        <v/>
      </c>
      <c r="BX310" s="78">
        <f>HYPERLINK("https://www1.hkexnews.hk/listedco/listconews/sehk/2025/0210/2025021000368.pdf","stabilisation")</f>
        <v/>
      </c>
      <c r="BY310" s="76" t="n"/>
      <c r="BZ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72" t="n"/>
      <c r="AC311" s="66" t="n"/>
      <c r="AD311" s="72" t="n"/>
      <c r="AE311" s="63" t="n"/>
      <c r="AF311" s="63" t="inlineStr">
        <is>
          <t>partial</t>
        </is>
      </c>
      <c r="AG311" s="63" t="n"/>
      <c r="AH311" s="63" t="inlineStr">
        <is>
          <t>Goldman Sachs</t>
        </is>
      </c>
      <c r="AI311" s="63" t="inlineStr">
        <is>
          <t>Goldman Sachs</t>
        </is>
      </c>
      <c r="AJ311" s="73" t="n">
        <v>-6.44</v>
      </c>
      <c r="AK311" s="72" t="n">
        <v>0.6</v>
      </c>
      <c r="AL311" s="72" t="n">
        <v>-7</v>
      </c>
      <c r="AM311" s="72" t="n">
        <v>-2.11</v>
      </c>
      <c r="AN311" s="72" t="n">
        <v>45.07</v>
      </c>
      <c r="AO311" s="72" t="n">
        <v>157.04</v>
      </c>
      <c r="AP311" s="72" t="n">
        <v>4.63</v>
      </c>
      <c r="AQ311" s="72" t="n">
        <v>55.06</v>
      </c>
      <c r="AR311" s="72" t="n">
        <v>174.73</v>
      </c>
      <c r="AS311" s="72" t="n">
        <v>-11.51</v>
      </c>
      <c r="AT311" s="72" t="n">
        <v>33.21</v>
      </c>
      <c r="AU311" s="72" t="n">
        <v>148.82</v>
      </c>
      <c r="AV311" s="72" t="n">
        <v>46.26</v>
      </c>
      <c r="AW311" s="72" t="n">
        <v>11.86</v>
      </c>
      <c r="AX311" s="72" t="n">
        <v>8.800000000000001</v>
      </c>
      <c r="AY311" s="63" t="inlineStr">
        <is>
          <t>Hang Seng Commerce &amp; Industry sub-index</t>
        </is>
      </c>
      <c r="AZ311" s="72" t="n">
        <v>167.61</v>
      </c>
      <c r="BA311" s="64" t="inlineStr">
        <is>
          <t>2026-08-28</t>
        </is>
      </c>
      <c r="BB311" s="65" t="n">
        <v>8443.200000000001</v>
      </c>
      <c r="BC311" s="68" t="n">
        <v>1206</v>
      </c>
      <c r="BD311" s="63" t="inlineStr">
        <is>
          <t>Y</t>
        </is>
      </c>
      <c r="BE311" s="74" t="n">
        <v>19.4</v>
      </c>
      <c r="BF311" s="74" t="n">
        <v>12.3</v>
      </c>
      <c r="BG311" s="74" t="n">
        <v>15.4</v>
      </c>
      <c r="BH311" s="74" t="n">
        <v>2.8</v>
      </c>
      <c r="BI311" s="75">
        <f>IF('BBG Verify'!S311="","not filed — run on terminal",'BBG Verify'!S311)</f>
        <v/>
      </c>
      <c r="BJ311" s="76" t="inlineStr">
        <is>
          <t>N</t>
        </is>
      </c>
      <c r="BK311" s="77">
        <f>IF('BBG Verify'!K311="","not filed — run on terminal",'BBG Verify'!K311)</f>
        <v/>
      </c>
      <c r="BL311" s="63" t="inlineStr">
        <is>
          <t>N/A</t>
        </is>
      </c>
      <c r="BM311" s="63" t="inlineStr">
        <is>
          <t>N/A</t>
        </is>
      </c>
      <c r="BN311" s="63" t="inlineStr">
        <is>
          <t>N/A</t>
        </is>
      </c>
      <c r="BO311" s="63" t="inlineStr">
        <is>
          <t>N/A</t>
        </is>
      </c>
      <c r="BP311" s="63" t="inlineStr">
        <is>
          <t>N/A</t>
        </is>
      </c>
      <c r="BQ311" s="63" t="inlineStr">
        <is>
          <t>N/A</t>
        </is>
      </c>
      <c r="BR311" s="76" t="inlineStr">
        <is>
          <t>Goldman Sachs (Asia) L.L.C; UBS Securities Hong Kong Limited; UBS AG Hong Kong Branch</t>
        </is>
      </c>
      <c r="BS311" s="63" t="inlineStr">
        <is>
          <t>UBS Securities Hong Kong Limited; Goldman Sachs (Asia) L.L.C.</t>
        </is>
      </c>
      <c r="BT311" s="63" t="inlineStr">
        <is>
          <t>Goldman Sachs (Asia) L.L.C; UBS AG Hong Kong Branch; China International Capital Corporation Hong Kong Securities Limited; The Hongkong and Shanghai Banking Corporation Limited; ABCI Capital Limited; BOCI Asia Limited; CMB International Capital Limited</t>
        </is>
      </c>
      <c r="BU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V311" s="78">
        <f>HYPERLINK("https://www1.hkexnews.hk/listedco/listconews/sehk/2025/0204/2025020400011.pdf","prospectus")</f>
        <v/>
      </c>
      <c r="BW311" s="78">
        <f>HYPERLINK("https://www1.hkexnews.hk/listedco/listconews/sehk/2025/0211/2025021100944.pdf","allotment")</f>
        <v/>
      </c>
      <c r="BX311" s="78">
        <f>HYPERLINK("https://www1.hkexnews.hk/listedco/listconews/sehk/2025/0309/2025030900015.pdf","stabilisation")</f>
        <v/>
      </c>
      <c r="BY311" s="76" t="n"/>
      <c r="BZ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72" t="n"/>
      <c r="AC312" s="66" t="n"/>
      <c r="AD312" s="72" t="n"/>
      <c r="AE312" s="63" t="n"/>
      <c r="AF312" s="63" t="inlineStr">
        <is>
          <t>full</t>
        </is>
      </c>
      <c r="AG312" s="63" t="inlineStr">
        <is>
          <t>2025-03-28</t>
        </is>
      </c>
      <c r="AH312" s="63" t="inlineStr">
        <is>
          <t>Merrill Lynch</t>
        </is>
      </c>
      <c r="AI312" s="63" t="inlineStr">
        <is>
          <t>Merrill Lynch</t>
        </is>
      </c>
      <c r="AJ312" s="73" t="n">
        <v>43.21</v>
      </c>
      <c r="AK312" s="72" t="n">
        <v>29.38</v>
      </c>
      <c r="AL312" s="72" t="n">
        <v>10.69</v>
      </c>
      <c r="AM312" s="72" t="n">
        <v>94.27</v>
      </c>
      <c r="AN312" s="72" t="n">
        <v>107.41</v>
      </c>
      <c r="AO312" s="72" t="n">
        <v>180.49</v>
      </c>
      <c r="AP312" s="72" t="n">
        <v>35.65</v>
      </c>
      <c r="AQ312" s="72" t="n">
        <v>44.83</v>
      </c>
      <c r="AR312" s="72" t="n">
        <v>95.86</v>
      </c>
      <c r="AS312" s="72" t="n">
        <v>89.55</v>
      </c>
      <c r="AT312" s="72" t="n">
        <v>106.47</v>
      </c>
      <c r="AU312" s="72" t="n">
        <v>178.85</v>
      </c>
      <c r="AV312" s="72" t="n">
        <v>44.15</v>
      </c>
      <c r="AW312" s="72" t="n">
        <v>0.9399999999999999</v>
      </c>
      <c r="AX312" s="72" t="n">
        <v>0.68</v>
      </c>
      <c r="AY312" s="63" t="inlineStr">
        <is>
          <t>Hang Seng Commerce &amp; Industry sub-index</t>
        </is>
      </c>
      <c r="AZ312" s="72" t="n">
        <v>4.49</v>
      </c>
      <c r="BA312" s="64" t="inlineStr">
        <is>
          <t>2026-08-28</t>
        </is>
      </c>
      <c r="BB312" s="65" t="n">
        <v>22332.7</v>
      </c>
      <c r="BC312" s="68" t="n">
        <v>3505.3</v>
      </c>
      <c r="BD312" s="63" t="inlineStr">
        <is>
          <t>Y</t>
        </is>
      </c>
      <c r="BE312" s="74" t="n">
        <v>21.8</v>
      </c>
      <c r="BF312" s="74" t="n"/>
      <c r="BG312" s="74" t="n">
        <v>12.5</v>
      </c>
      <c r="BH312" s="74" t="n">
        <v>3.4</v>
      </c>
      <c r="BI312" s="75">
        <f>IF('BBG Verify'!S312="","not filed — run on terminal",'BBG Verify'!S312)</f>
        <v/>
      </c>
      <c r="BJ312" s="76" t="inlineStr">
        <is>
          <t>N</t>
        </is>
      </c>
      <c r="BK312" s="77">
        <f>IF('BBG Verify'!K312="","not filed — run on terminal",'BBG Verify'!K312)</f>
        <v/>
      </c>
      <c r="BL312" s="63" t="inlineStr">
        <is>
          <t>N/A</t>
        </is>
      </c>
      <c r="BM312" s="63" t="inlineStr">
        <is>
          <t>N/A</t>
        </is>
      </c>
      <c r="BN312" s="63" t="inlineStr">
        <is>
          <t>N/A</t>
        </is>
      </c>
      <c r="BO312" s="63" t="inlineStr">
        <is>
          <t>N/A</t>
        </is>
      </c>
      <c r="BP312" s="63" t="inlineStr">
        <is>
          <t>N/A</t>
        </is>
      </c>
      <c r="BQ312" s="63" t="inlineStr">
        <is>
          <t>N/A</t>
        </is>
      </c>
      <c r="BR312" s="76" t="n"/>
      <c r="BS312" s="63" t="inlineStr">
        <is>
          <t>UBS Securities Hong Kong Limited; Merrill Lynch (Asia Pacific) Limited; Goldman Sachs (Asia) L.L.C.</t>
        </is>
      </c>
      <c r="BT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V312" s="78">
        <f>HYPERLINK("https://www1.hkexnews.hk/listedco/listconews/sehk/2025/0221/2025022100016.htm","prospectus")</f>
        <v/>
      </c>
      <c r="BW312" s="78">
        <f>HYPERLINK("https://www1.hkexnews.hk/listedco/listconews/sehk/2025/0228/2025022801727.pdf","allotment")</f>
        <v/>
      </c>
      <c r="BX312" s="78">
        <f>HYPERLINK("https://www1.hkexnews.hk/listedco/listconews/sehk/2025/0328/2025032802276.pdf","stabilisation")</f>
        <v/>
      </c>
      <c r="BY312" s="76" t="n"/>
      <c r="BZ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72" t="n"/>
      <c r="AC313" s="66" t="n"/>
      <c r="AD313" s="72" t="n"/>
      <c r="AE313" s="63" t="n"/>
      <c r="AF313" s="63" t="inlineStr">
        <is>
          <t>full</t>
        </is>
      </c>
      <c r="AG313" s="63" t="inlineStr">
        <is>
          <t>2025-04-04</t>
        </is>
      </c>
      <c r="AH313" s="63" t="inlineStr">
        <is>
          <t>CLSA Limited</t>
        </is>
      </c>
      <c r="AI313" s="63" t="inlineStr">
        <is>
          <t>CLSA</t>
        </is>
      </c>
      <c r="AJ313" s="73" t="n">
        <v>0</v>
      </c>
      <c r="AK313" s="72" t="n">
        <v>0</v>
      </c>
      <c r="AL313" s="72" t="n">
        <v>0</v>
      </c>
      <c r="AM313" s="72" t="n">
        <v>2.04</v>
      </c>
      <c r="AN313" s="72" t="n">
        <v>25.51</v>
      </c>
      <c r="AO313" s="72" t="n">
        <v>110.64</v>
      </c>
      <c r="AP313" s="72" t="n">
        <v>2.04</v>
      </c>
      <c r="AQ313" s="72" t="n">
        <v>25.51</v>
      </c>
      <c r="AR313" s="72" t="n">
        <v>110.64</v>
      </c>
      <c r="AS313" s="72" t="n">
        <v>2.89</v>
      </c>
      <c r="AT313" s="72" t="n">
        <v>43.51</v>
      </c>
      <c r="AU313" s="72" t="n">
        <v>116.43</v>
      </c>
      <c r="AV313" s="72" t="n">
        <v>41.41</v>
      </c>
      <c r="AW313" s="72" t="n">
        <v>-18</v>
      </c>
      <c r="AX313" s="72" t="n">
        <v>-15.9</v>
      </c>
      <c r="AY313" s="63" t="inlineStr">
        <is>
          <t>Hang Seng Commerce &amp; Industry sub-index</t>
        </is>
      </c>
      <c r="AZ313" s="72" t="n">
        <v>219.24</v>
      </c>
      <c r="BA313" s="64" t="inlineStr">
        <is>
          <t>2026-08-28</t>
        </is>
      </c>
      <c r="BB313" s="65" t="n">
        <v>7943</v>
      </c>
      <c r="BC313" s="68" t="n">
        <v>958.7</v>
      </c>
      <c r="BD313" s="63" t="inlineStr">
        <is>
          <t>Y</t>
        </is>
      </c>
      <c r="BE313" s="74" t="n">
        <v>26.8</v>
      </c>
      <c r="BF313" s="74" t="n">
        <v>12</v>
      </c>
      <c r="BG313" s="74" t="n">
        <v>17.2</v>
      </c>
      <c r="BH313" s="74" t="n">
        <v>3.2</v>
      </c>
      <c r="BI313" s="75">
        <f>IF('BBG Verify'!S313="","not filed — run on terminal",'BBG Verify'!S313)</f>
        <v/>
      </c>
      <c r="BJ313" s="76" t="inlineStr">
        <is>
          <t>Y</t>
        </is>
      </c>
      <c r="BK313" s="63" t="inlineStr">
        <is>
          <t>600988.SS</t>
        </is>
      </c>
      <c r="BL313" s="72" t="n">
        <v>50.61</v>
      </c>
      <c r="BM313" s="66" t="n">
        <v>20.6635</v>
      </c>
      <c r="BN313" s="80" t="n">
        <v>0.3191</v>
      </c>
      <c r="BO313" s="68" t="n">
        <v>103807.4</v>
      </c>
      <c r="BP313" s="75">
        <f>IF('BBG Verify'!Q313="","run on terminal",'BBG Verify'!Q313)</f>
        <v/>
      </c>
      <c r="BQ313" s="75">
        <f>IF('BBG Verify'!R313="","run on terminal",'BBG Verify'!R313)</f>
        <v/>
      </c>
      <c r="BR313" s="76" t="inlineStr">
        <is>
          <t>CITIC Securities (Hong Kong) Limited</t>
        </is>
      </c>
      <c r="BS313" s="63" t="inlineStr">
        <is>
          <t>CITIC Securities (Hong Kong) Limited</t>
        </is>
      </c>
      <c r="BT313" s="63" t="inlineStr">
        <is>
          <t>Kong Securities Limited; ABCI Capital Limited; ABCI Securities Company Limited</t>
        </is>
      </c>
      <c r="BU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V313" s="78">
        <f>HYPERLINK("https://www1.hkexnews.hk/listedco/listconews/sehk/2025/0228/2025022800056.pdf","prospectus")</f>
        <v/>
      </c>
      <c r="BW313" s="78">
        <f>HYPERLINK("https://www1.hkexnews.hk/listedco/listconews/sehk/2025/0307/2025030701501.pdf","allotment")</f>
        <v/>
      </c>
      <c r="BX313" s="78">
        <f>HYPERLINK("https://www1.hkexnews.hk/listedco/listconews/sehk/2025/0406/2025040600051.pdf","stabilisation")</f>
        <v/>
      </c>
      <c r="BY313" s="76" t="n"/>
      <c r="BZ313" s="63" t="inlineStr">
        <is>
          <t>range low: cap-only pricing — the filing publishes a Maximum Offer Price and no indicative floor · A/H: Mar 2025 H listing (gold miner) · grey market: no grey-market headline on file for this deal — AAStocks publishes one per listing but keeps only recent items on the stock's news page, and no public archive of past evening sessions exists; captured from this run onward</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72" t="n">
        <v>-7.2</v>
      </c>
      <c r="AC314" s="66" t="n">
        <v>63.85</v>
      </c>
      <c r="AD314" s="72" t="n">
        <v>7.76</v>
      </c>
      <c r="AE314" s="63" t="inlineStr">
        <is>
          <t>Y</t>
        </is>
      </c>
      <c r="AF314" s="63" t="inlineStr">
        <is>
          <t>lapsed</t>
        </is>
      </c>
      <c r="AG314" s="63" t="n"/>
      <c r="AH314" s="63" t="inlineStr">
        <is>
          <t>Morgan Stanley Asia Limited</t>
        </is>
      </c>
      <c r="AI314" s="63" t="inlineStr">
        <is>
          <t>Morgan Stanley</t>
        </is>
      </c>
      <c r="AJ314" s="73" t="n">
        <v>0</v>
      </c>
      <c r="AK314" s="72" t="n">
        <v>0</v>
      </c>
      <c r="AL314" s="72" t="n">
        <v>0</v>
      </c>
      <c r="AM314" s="72" t="n">
        <v>-16.79</v>
      </c>
      <c r="AN314" s="72" t="n">
        <v>-30.81</v>
      </c>
      <c r="AO314" s="72" t="n">
        <v>-30.96</v>
      </c>
      <c r="AP314" s="72" t="n">
        <v>-16.79</v>
      </c>
      <c r="AQ314" s="72" t="n">
        <v>-30.81</v>
      </c>
      <c r="AR314" s="72" t="n">
        <v>-30.96</v>
      </c>
      <c r="AS314" s="72" t="n">
        <v>-17.6</v>
      </c>
      <c r="AT314" s="72" t="n">
        <v>-31.78</v>
      </c>
      <c r="AU314" s="72" t="n">
        <v>-44.95</v>
      </c>
      <c r="AV314" s="72" t="n">
        <v>-35.57</v>
      </c>
      <c r="AW314" s="72" t="n">
        <v>0.97</v>
      </c>
      <c r="AX314" s="72" t="n">
        <v>4.76</v>
      </c>
      <c r="AY314" s="63" t="inlineStr">
        <is>
          <t>China Biotech ETF (HS biotech proxy)</t>
        </is>
      </c>
      <c r="AZ314" s="72" t="n">
        <v>-70.95999999999999</v>
      </c>
      <c r="BA314" s="64" t="inlineStr">
        <is>
          <t>2026-08-28</t>
        </is>
      </c>
      <c r="BB314" s="65" t="n">
        <v>2.2</v>
      </c>
      <c r="BC314" s="68" t="n">
        <v>-229.2</v>
      </c>
      <c r="BD314" s="63" t="inlineStr">
        <is>
          <t>N</t>
        </is>
      </c>
      <c r="BE314" s="63" t="inlineStr">
        <is>
          <t>n/m</t>
        </is>
      </c>
      <c r="BF314" s="74" t="n"/>
      <c r="BG314" s="74" t="n"/>
      <c r="BH314" s="74" t="n">
        <v>3867.9</v>
      </c>
      <c r="BI314" s="75">
        <f>IF('BBG Verify'!S314="","not filed — run on terminal",'BBG Verify'!S314)</f>
        <v/>
      </c>
      <c r="BJ314" s="76" t="inlineStr">
        <is>
          <t>N</t>
        </is>
      </c>
      <c r="BK314" s="77">
        <f>IF('BBG Verify'!K314="","not filed — run on terminal",'BBG Verify'!K314)</f>
        <v/>
      </c>
      <c r="BL314" s="63" t="inlineStr">
        <is>
          <t>N/A</t>
        </is>
      </c>
      <c r="BM314" s="63" t="inlineStr">
        <is>
          <t>N/A</t>
        </is>
      </c>
      <c r="BN314" s="63" t="inlineStr">
        <is>
          <t>N/A</t>
        </is>
      </c>
      <c r="BO314" s="63" t="inlineStr">
        <is>
          <t>N/A</t>
        </is>
      </c>
      <c r="BP314" s="63" t="inlineStr">
        <is>
          <t>N/A</t>
        </is>
      </c>
      <c r="BQ314" s="63" t="inlineStr">
        <is>
          <t>N/A</t>
        </is>
      </c>
      <c r="BR314" s="76" t="inlineStr">
        <is>
          <t>Morgan Stanley Asia Limited; Jefferies Hong Kong Limited</t>
        </is>
      </c>
      <c r="BS314" s="63" t="inlineStr">
        <is>
          <t>Jefferies Hong Kong Limited; Morgan Stanley Asia Limited</t>
        </is>
      </c>
      <c r="BT314" s="63" t="inlineStr">
        <is>
          <t>CLSA Limited; Futu Securities International (Hong Kong) Limited; Guoyuan Securities Brokerage (Hong Kong) Limited; Jefferies Hong Kong Limited; Morgan Stanley Asia Limited; Patrons Securities Limited</t>
        </is>
      </c>
      <c r="BU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V314" s="78">
        <f>HYPERLINK("https://www1.hkexnews.hk/listedco/listconews/sehk/2025/0313/2025031300017.pdf","prospectus")</f>
        <v/>
      </c>
      <c r="BW314" s="78">
        <f>HYPERLINK("https://www1.hkexnews.hk/listedco/listconews/sehk/2025/0320/2025032001490.pdf","allotment")</f>
        <v/>
      </c>
      <c r="BX314" s="78">
        <f>HYPERLINK("https://www1.hkexnews.hk/listedco/listconews/sehk/2025/0417/2025041701661.pdf","stabilisation")</f>
        <v/>
      </c>
      <c r="BY314" s="76" t="n"/>
      <c r="BZ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72" t="n"/>
      <c r="AC315" s="66" t="n"/>
      <c r="AD315" s="72" t="n"/>
      <c r="AE315" s="63" t="n"/>
      <c r="AF315" s="63" t="inlineStr">
        <is>
          <t>partial</t>
        </is>
      </c>
      <c r="AG315" s="63" t="n"/>
      <c r="AH315" s="63" t="inlineStr">
        <is>
          <t>Huatai Financial Holdings</t>
        </is>
      </c>
      <c r="AI315" s="63" t="inlineStr">
        <is>
          <t>Huatai</t>
        </is>
      </c>
      <c r="AJ315" s="73" t="n">
        <v>-5.08</v>
      </c>
      <c r="AK315" s="72" t="n">
        <v>0</v>
      </c>
      <c r="AL315" s="72" t="n">
        <v>-5.08</v>
      </c>
      <c r="AM315" s="72" t="n">
        <v>-8.83</v>
      </c>
      <c r="AN315" s="72" t="n">
        <v>-8.65</v>
      </c>
      <c r="AO315" s="72" t="n">
        <v>16.54</v>
      </c>
      <c r="AP315" s="72" t="n">
        <v>-3.95</v>
      </c>
      <c r="AQ315" s="72" t="n">
        <v>-3.76</v>
      </c>
      <c r="AR315" s="72" t="n">
        <v>22.78</v>
      </c>
      <c r="AS315" s="72" t="n">
        <v>-4.83</v>
      </c>
      <c r="AT315" s="72" t="n">
        <v>2.12</v>
      </c>
      <c r="AU315" s="72" t="n">
        <v>20.59</v>
      </c>
      <c r="AV315" s="72" t="n">
        <v>4.35</v>
      </c>
      <c r="AW315" s="72" t="n">
        <v>-10.77</v>
      </c>
      <c r="AX315" s="72" t="n">
        <v>-8.109999999999999</v>
      </c>
      <c r="AY315" s="63" t="inlineStr">
        <is>
          <t>Hang Seng Commerce &amp; Industry sub-index</t>
        </is>
      </c>
      <c r="AZ315" s="72" t="n">
        <v>0.23</v>
      </c>
      <c r="BA315" s="64" t="inlineStr">
        <is>
          <t>2026-08-28</t>
        </is>
      </c>
      <c r="BB315" s="65" t="n">
        <v>5286.7</v>
      </c>
      <c r="BC315" s="68" t="n">
        <v>956.8</v>
      </c>
      <c r="BD315" s="63" t="inlineStr">
        <is>
          <t>Y</t>
        </is>
      </c>
      <c r="BE315" s="74" t="n">
        <v>16.4</v>
      </c>
      <c r="BF315" s="74" t="n">
        <v>3.5</v>
      </c>
      <c r="BG315" s="74" t="n">
        <v>4.7</v>
      </c>
      <c r="BH315" s="74" t="n">
        <v>3</v>
      </c>
      <c r="BI315" s="75">
        <f>IF('BBG Verify'!S315="","not filed — run on terminal",'BBG Verify'!S315)</f>
        <v/>
      </c>
      <c r="BJ315" s="76" t="inlineStr">
        <is>
          <t>N</t>
        </is>
      </c>
      <c r="BK315" s="77">
        <f>IF('BBG Verify'!K315="","not filed — run on terminal",'BBG Verify'!K315)</f>
        <v/>
      </c>
      <c r="BL315" s="63" t="inlineStr">
        <is>
          <t>N/A</t>
        </is>
      </c>
      <c r="BM315" s="63" t="inlineStr">
        <is>
          <t>N/A</t>
        </is>
      </c>
      <c r="BN315" s="63" t="inlineStr">
        <is>
          <t>N/A</t>
        </is>
      </c>
      <c r="BO315" s="63" t="inlineStr">
        <is>
          <t>N/A</t>
        </is>
      </c>
      <c r="BP315" s="63" t="inlineStr">
        <is>
          <t>N/A</t>
        </is>
      </c>
      <c r="BQ315" s="63" t="inlineStr">
        <is>
          <t>N/A</t>
        </is>
      </c>
      <c r="BR315" s="76" t="n"/>
      <c r="BS315" s="63" t="inlineStr">
        <is>
          <t>Huatai Financial Holdings (Hong Kong) Limited</t>
        </is>
      </c>
      <c r="BT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U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V315" s="78">
        <f>HYPERLINK("https://www1.hkexnews.hk/listedco/listconews/sehk/2025/0317/2025031700019.pdf","prospectus")</f>
        <v/>
      </c>
      <c r="BW315" s="78">
        <f>HYPERLINK("https://www1.hkexnews.hk/listedco/listconews/sehk/2025/0324/2025032401216.pdf","allotment")</f>
        <v/>
      </c>
      <c r="BX315" s="78">
        <f>HYPERLINK("https://www1.hkexnews.hk/listedco/listconews/sehk/2025/0422/2025042201921.pdf","stabilisation")</f>
        <v/>
      </c>
      <c r="BY315" s="76" t="n"/>
      <c r="BZ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no grey-market headline on file for this deal — AAStocks publishes one per listing but keeps only recent items on the stock's news page, and no public archive of past evening sessions exists; captured from this run onward</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72" t="n">
        <v>-2</v>
      </c>
      <c r="AC316" s="66" t="n">
        <v>0.5</v>
      </c>
      <c r="AD316" s="72" t="n">
        <v>34.05</v>
      </c>
      <c r="AE316" s="63" t="inlineStr">
        <is>
          <t>N</t>
        </is>
      </c>
      <c r="AF316" s="63" t="n"/>
      <c r="AG316" s="63" t="inlineStr">
        <is>
          <t>2025-04-23</t>
        </is>
      </c>
      <c r="AH316" s="63" t="inlineStr">
        <is>
          <t>Yue Xiu Securities Company Limited</t>
        </is>
      </c>
      <c r="AI316" s="63" t="inlineStr">
        <is>
          <t>Yue Xiu</t>
        </is>
      </c>
      <c r="AJ316" s="73" t="n">
        <v>31.37</v>
      </c>
      <c r="AK316" s="72" t="n">
        <v>-3.92</v>
      </c>
      <c r="AL316" s="72" t="n">
        <v>36.73</v>
      </c>
      <c r="AM316" s="72" t="n">
        <v>-1.96</v>
      </c>
      <c r="AN316" s="72" t="n">
        <v>23.53</v>
      </c>
      <c r="AO316" s="72" t="n">
        <v>162.75</v>
      </c>
      <c r="AP316" s="72" t="n">
        <v>-25.37</v>
      </c>
      <c r="AQ316" s="72" t="n">
        <v>-5.97</v>
      </c>
      <c r="AR316" s="72" t="n">
        <v>100.01</v>
      </c>
      <c r="AS316" s="72" t="n">
        <v>1.99</v>
      </c>
      <c r="AT316" s="72" t="n">
        <v>31.31</v>
      </c>
      <c r="AU316" s="72" t="n">
        <v>165.32</v>
      </c>
      <c r="AV316" s="72" t="n">
        <v>2.28</v>
      </c>
      <c r="AW316" s="72" t="n">
        <v>-7.78</v>
      </c>
      <c r="AX316" s="72" t="n">
        <v>-8.25</v>
      </c>
      <c r="AY316" s="63" t="inlineStr">
        <is>
          <t>Hang Seng Commerce &amp; Industry sub-index</t>
        </is>
      </c>
      <c r="AZ316" s="72" t="n">
        <v>145.1</v>
      </c>
      <c r="BA316" s="64" t="inlineStr">
        <is>
          <t>2026-08-28</t>
        </is>
      </c>
      <c r="BB316" s="65" t="n">
        <v>720</v>
      </c>
      <c r="BC316" s="68" t="n">
        <v>64.8</v>
      </c>
      <c r="BD316" s="63" t="inlineStr">
        <is>
          <t>Y</t>
        </is>
      </c>
      <c r="BE316" s="74" t="n">
        <v>7.9</v>
      </c>
      <c r="BF316" s="74" t="n"/>
      <c r="BG316" s="74" t="n">
        <v>17.6</v>
      </c>
      <c r="BH316" s="74" t="n">
        <v>0.7</v>
      </c>
      <c r="BI316" s="75">
        <f>IF('BBG Verify'!S316="","not filed — run on terminal",'BBG Verify'!S316)</f>
        <v/>
      </c>
      <c r="BJ316" s="76" t="inlineStr">
        <is>
          <t>N</t>
        </is>
      </c>
      <c r="BK316" s="77">
        <f>IF('BBG Verify'!K316="","not filed — run on terminal",'BBG Verify'!K316)</f>
        <v/>
      </c>
      <c r="BL316" s="63" t="inlineStr">
        <is>
          <t>N/A</t>
        </is>
      </c>
      <c r="BM316" s="63" t="inlineStr">
        <is>
          <t>N/A</t>
        </is>
      </c>
      <c r="BN316" s="63" t="inlineStr">
        <is>
          <t>N/A</t>
        </is>
      </c>
      <c r="BO316" s="63" t="inlineStr">
        <is>
          <t>N/A</t>
        </is>
      </c>
      <c r="BP316" s="63" t="inlineStr">
        <is>
          <t>N/A</t>
        </is>
      </c>
      <c r="BQ316" s="63" t="inlineStr">
        <is>
          <t>N/A</t>
        </is>
      </c>
      <c r="BR316" s="76" t="n"/>
      <c r="BS316" s="63" t="inlineStr">
        <is>
          <t>Sunny Fortune Capital Limited</t>
        </is>
      </c>
      <c r="BT316" s="63" t="inlineStr">
        <is>
          <t>CMBC Securities Company Limited; Hung Sing Securities Limited; Yuet Sheung International Securities Limited; Zhongtai International Securities Limited; ZMF Asset Management Limited</t>
        </is>
      </c>
      <c r="BU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V316" s="78">
        <f>HYPERLINK("https://www1.hkexnews.hk/listedco/listconews/sehk/2025/0319/2025031900013.pdf","prospectus")</f>
        <v/>
      </c>
      <c r="BW316" s="78">
        <f>HYPERLINK("https://www1.hkexnews.hk/listedco/listconews/sehk/2025/0326/2025032601370.pdf","allotment")</f>
        <v/>
      </c>
      <c r="BX316" s="63" t="n"/>
      <c r="BY316" s="76" t="n"/>
      <c r="BZ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72" t="n">
        <v>28.8</v>
      </c>
      <c r="AC317" s="66" t="n">
        <v>3.22</v>
      </c>
      <c r="AD317" s="72" t="n">
        <v>-22.36</v>
      </c>
      <c r="AE317" s="63" t="inlineStr">
        <is>
          <t>N</t>
        </is>
      </c>
      <c r="AF317" s="63" t="n"/>
      <c r="AG317" s="63" t="n"/>
      <c r="AH317" s="63" t="inlineStr">
        <is>
          <t>Red Solar Capital Limited</t>
        </is>
      </c>
      <c r="AI317" s="63" t="inlineStr">
        <is>
          <t>Red Solar</t>
        </is>
      </c>
      <c r="AJ317" s="73" t="n">
        <v>0</v>
      </c>
      <c r="AK317" s="72" t="n">
        <v>37.6</v>
      </c>
      <c r="AL317" s="72" t="n">
        <v>-27.33</v>
      </c>
      <c r="AM317" s="72" t="n">
        <v>-14.4</v>
      </c>
      <c r="AN317" s="72" t="n">
        <v>33.6</v>
      </c>
      <c r="AO317" s="72" t="n">
        <v>11.2</v>
      </c>
      <c r="AP317" s="72" t="n">
        <v>-14.4</v>
      </c>
      <c r="AQ317" s="72" t="n">
        <v>33.6</v>
      </c>
      <c r="AR317" s="72" t="n">
        <v>11.2</v>
      </c>
      <c r="AS317" s="72" t="n">
        <v>1.44</v>
      </c>
      <c r="AT317" s="72" t="n">
        <v>38.29</v>
      </c>
      <c r="AU317" s="72" t="n">
        <v>14.93</v>
      </c>
      <c r="AV317" s="72" t="n">
        <v>36.36</v>
      </c>
      <c r="AW317" s="72" t="n">
        <v>-4.69</v>
      </c>
      <c r="AX317" s="72" t="n">
        <v>-2.76</v>
      </c>
      <c r="AY317" s="63" t="inlineStr">
        <is>
          <t>Hang Seng Commerce &amp; Industry sub-index</t>
        </is>
      </c>
      <c r="AZ317" s="72" t="n">
        <v>-24.4</v>
      </c>
      <c r="BA317" s="64" t="inlineStr">
        <is>
          <t>2026-08-28</t>
        </is>
      </c>
      <c r="BB317" s="65" t="n">
        <v>1542.2</v>
      </c>
      <c r="BC317" s="68" t="n">
        <v>56.8</v>
      </c>
      <c r="BD317" s="63" t="inlineStr">
        <is>
          <t>Y</t>
        </is>
      </c>
      <c r="BE317" s="74" t="n">
        <v>9.4</v>
      </c>
      <c r="BF317" s="74" t="n">
        <v>8.6</v>
      </c>
      <c r="BG317" s="74" t="n">
        <v>9.9</v>
      </c>
      <c r="BH317" s="74" t="n">
        <v>0.3</v>
      </c>
      <c r="BI317" s="75">
        <f>IF('BBG Verify'!S317="","not filed — run on terminal",'BBG Verify'!S317)</f>
        <v/>
      </c>
      <c r="BJ317" s="76" t="inlineStr">
        <is>
          <t>N</t>
        </is>
      </c>
      <c r="BK317" s="77">
        <f>IF('BBG Verify'!K317="","not filed — run on terminal",'BBG Verify'!K317)</f>
        <v/>
      </c>
      <c r="BL317" s="63" t="inlineStr">
        <is>
          <t>N/A</t>
        </is>
      </c>
      <c r="BM317" s="63" t="inlineStr">
        <is>
          <t>N/A</t>
        </is>
      </c>
      <c r="BN317" s="63" t="inlineStr">
        <is>
          <t>N/A</t>
        </is>
      </c>
      <c r="BO317" s="63" t="inlineStr">
        <is>
          <t>N/A</t>
        </is>
      </c>
      <c r="BP317" s="63" t="inlineStr">
        <is>
          <t>N/A</t>
        </is>
      </c>
      <c r="BQ317" s="63" t="inlineStr">
        <is>
          <t>N/A</t>
        </is>
      </c>
      <c r="BR317" s="76" t="inlineStr">
        <is>
          <t>Red Solar Capital Limited</t>
        </is>
      </c>
      <c r="BS317" s="63" t="inlineStr">
        <is>
          <t>Red Solar Capital Limited</t>
        </is>
      </c>
      <c r="BT317" s="63" t="inlineStr">
        <is>
          <t>Red Solar Capital Limited; CCB International Capital Limited</t>
        </is>
      </c>
      <c r="BU317" s="63" t="inlineStr">
        <is>
          <t>CCB International Capital Limited; CMBC Securities Company Limited; CMB International Capital Limited; Eddid Securities and Futures Limited; Innovax Securities Limited; Long Bridge HK Limited; Red Solar Capital Limited; Star River Securities Limited</t>
        </is>
      </c>
      <c r="BV317" s="78">
        <f>HYPERLINK("https://www1.hkexnews.hk/listedco/listconews/sehk/2025/0321/2025032100009.pdf","prospectus")</f>
        <v/>
      </c>
      <c r="BW317" s="78">
        <f>HYPERLINK("https://www1.hkexnews.hk/listedco/listconews/sehk/2025/0328/2025032802386.pdf","allotment")</f>
        <v/>
      </c>
      <c r="BX317" s="63" t="n"/>
      <c r="BY317" s="76" t="n"/>
      <c r="BZ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72" t="n"/>
      <c r="AC318" s="66" t="n"/>
      <c r="AD318" s="72" t="n"/>
      <c r="AE318" s="63" t="n"/>
      <c r="AF318" s="63" t="inlineStr">
        <is>
          <t>lapsed (no over-allocation)</t>
        </is>
      </c>
      <c r="AG318" s="63" t="n"/>
      <c r="AH318" s="63" t="inlineStr">
        <is>
          <t>China International Capital Corporation Hong Kong Securities Limited</t>
        </is>
      </c>
      <c r="AI318" s="63" t="inlineStr">
        <is>
          <t>China International</t>
        </is>
      </c>
      <c r="AJ318" s="73" t="n">
        <v>1.45</v>
      </c>
      <c r="AK318" s="72" t="n">
        <v>2.3</v>
      </c>
      <c r="AL318" s="72" t="n">
        <v>-0.83</v>
      </c>
      <c r="AM318" s="72" t="n">
        <v>0.73</v>
      </c>
      <c r="AN318" s="72" t="n">
        <v>13.78</v>
      </c>
      <c r="AO318" s="72" t="n">
        <v>26.72</v>
      </c>
      <c r="AP318" s="72" t="n">
        <v>-0.71</v>
      </c>
      <c r="AQ318" s="72" t="n">
        <v>12.15</v>
      </c>
      <c r="AR318" s="72" t="n">
        <v>24.91</v>
      </c>
      <c r="AS318" s="72" t="n">
        <v>-3.66</v>
      </c>
      <c r="AT318" s="72" t="n">
        <v>3.8</v>
      </c>
      <c r="AU318" s="72" t="n">
        <v>13.94</v>
      </c>
      <c r="AV318" s="72" t="n">
        <v>4.43</v>
      </c>
      <c r="AW318" s="72" t="n">
        <v>9.98</v>
      </c>
      <c r="AX318" s="72" t="n">
        <v>7.72</v>
      </c>
      <c r="AY318" s="63" t="inlineStr">
        <is>
          <t>Hang Seng Commerce &amp; Industry sub-index</t>
        </is>
      </c>
      <c r="AZ318" s="72" t="n">
        <v>-36.82</v>
      </c>
      <c r="BA318" s="64" t="inlineStr">
        <is>
          <t>2026-08-28</t>
        </is>
      </c>
      <c r="BB318" s="65" t="n">
        <v>4577.8</v>
      </c>
      <c r="BC318" s="68" t="n">
        <v>-648.9</v>
      </c>
      <c r="BD318" s="63" t="inlineStr">
        <is>
          <t>N</t>
        </is>
      </c>
      <c r="BE318" s="63" t="inlineStr">
        <is>
          <t>n/m</t>
        </is>
      </c>
      <c r="BF318" s="74" t="n">
        <v>197.7</v>
      </c>
      <c r="BG318" s="74" t="n">
        <v>14.3</v>
      </c>
      <c r="BH318" s="74" t="n">
        <v>4.5</v>
      </c>
      <c r="BI318" s="75">
        <f>IF('BBG Verify'!S318="","not filed — run on terminal",'BBG Verify'!S318)</f>
        <v/>
      </c>
      <c r="BJ318" s="76" t="inlineStr">
        <is>
          <t>N</t>
        </is>
      </c>
      <c r="BK318" s="77">
        <f>IF('BBG Verify'!K318="","not filed — run on terminal",'BBG Verify'!K318)</f>
        <v/>
      </c>
      <c r="BL318" s="63" t="inlineStr">
        <is>
          <t>N/A</t>
        </is>
      </c>
      <c r="BM318" s="63" t="inlineStr">
        <is>
          <t>N/A</t>
        </is>
      </c>
      <c r="BN318" s="63" t="inlineStr">
        <is>
          <t>N/A</t>
        </is>
      </c>
      <c r="BO318" s="63" t="inlineStr">
        <is>
          <t>N/A</t>
        </is>
      </c>
      <c r="BP318" s="63" t="inlineStr">
        <is>
          <t>N/A</t>
        </is>
      </c>
      <c r="BQ318" s="63" t="inlineStr">
        <is>
          <t>N/A</t>
        </is>
      </c>
      <c r="BR318" s="76" t="n"/>
      <c r="BS318" s="63" t="inlineStr">
        <is>
          <t>China International Capital Corporation Hong Kong Securities Limited; CMB International Capital Limited</t>
        </is>
      </c>
      <c r="BT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U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V318" s="78">
        <f>HYPERLINK("https://www1.hkexnews.hk/listedco/listconews/sehk/2025/0403/2025040300013.pdf","prospectus")</f>
        <v/>
      </c>
      <c r="BW318" s="78">
        <f>HYPERLINK("https://www1.hkexnews.hk/listedco/listconews/sehk/2025/0411/2025041101645.pdf","allotment")</f>
        <v/>
      </c>
      <c r="BX318" s="78">
        <f>HYPERLINK("https://www1.hkexnews.hk/listedco/listconews/sehk/2025/0509/2025050900261.pdf","stabilisation")</f>
        <v/>
      </c>
      <c r="BY318" s="76" t="n"/>
      <c r="BZ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no grey-market headline on file for this deal — AAStocks publishes one per listing but keeps only recent items on the stock's news page, and no public archive of past evening sessions exists; captured from this run onward</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72" t="n"/>
      <c r="AC319" s="66" t="n"/>
      <c r="AD319" s="72" t="n"/>
      <c r="AE319" s="63" t="n"/>
      <c r="AF319" s="63" t="inlineStr">
        <is>
          <t>full</t>
        </is>
      </c>
      <c r="AG319" s="63" t="inlineStr">
        <is>
          <t>2025-05-10</t>
        </is>
      </c>
      <c r="AH319" s="63" t="inlineStr">
        <is>
          <t>Morgan Stanley Asia Limited</t>
        </is>
      </c>
      <c r="AI319" s="63" t="inlineStr">
        <is>
          <t>Morgan Stanley</t>
        </is>
      </c>
      <c r="AJ319" s="73" t="n">
        <v>116.7</v>
      </c>
      <c r="AK319" s="72" t="n">
        <v>91.33</v>
      </c>
      <c r="AL319" s="72" t="n">
        <v>13.26</v>
      </c>
      <c r="AM319" s="72" t="n">
        <v>137.84</v>
      </c>
      <c r="AN319" s="72" t="n">
        <v>111.42</v>
      </c>
      <c r="AO319" s="72" t="n">
        <v>255.18</v>
      </c>
      <c r="AP319" s="72" t="n">
        <v>9.76</v>
      </c>
      <c r="AQ319" s="72" t="n">
        <v>-2.44</v>
      </c>
      <c r="AR319" s="72" t="n">
        <v>63.9</v>
      </c>
      <c r="AS319" s="72" t="n">
        <v>133.61</v>
      </c>
      <c r="AT319" s="72" t="n">
        <v>107.06</v>
      </c>
      <c r="AU319" s="72" t="n">
        <v>221.6</v>
      </c>
      <c r="AV319" s="72" t="n">
        <v>-7.44</v>
      </c>
      <c r="AW319" s="72" t="n">
        <v>4.36</v>
      </c>
      <c r="AX319" s="72" t="n">
        <v>5</v>
      </c>
      <c r="AY319" s="63" t="inlineStr">
        <is>
          <t>China Biotech ETF (HS biotech proxy)</t>
        </is>
      </c>
      <c r="AZ319" s="72" t="n">
        <v>111.63</v>
      </c>
      <c r="BA319" s="64" t="inlineStr">
        <is>
          <t>2026-08-28</t>
        </is>
      </c>
      <c r="BB319" s="65" t="n">
        <v>2135.4</v>
      </c>
      <c r="BC319" s="68" t="n">
        <v>-1155.5</v>
      </c>
      <c r="BD319" s="63" t="inlineStr">
        <is>
          <t>N</t>
        </is>
      </c>
      <c r="BE319" s="63" t="inlineStr">
        <is>
          <t>n/m</t>
        </is>
      </c>
      <c r="BF319" s="74" t="n"/>
      <c r="BG319" s="74" t="n"/>
      <c r="BH319" s="74" t="n">
        <v>3.4</v>
      </c>
      <c r="BI319" s="75">
        <f>IF('BBG Verify'!S319="","not filed — run on terminal",'BBG Verify'!S319)</f>
        <v/>
      </c>
      <c r="BJ319" s="76" t="inlineStr">
        <is>
          <t>N</t>
        </is>
      </c>
      <c r="BK319" s="77">
        <f>IF('BBG Verify'!K319="","not filed — run on terminal",'BBG Verify'!K319)</f>
        <v/>
      </c>
      <c r="BL319" s="63" t="inlineStr">
        <is>
          <t>N/A</t>
        </is>
      </c>
      <c r="BM319" s="63" t="inlineStr">
        <is>
          <t>N/A</t>
        </is>
      </c>
      <c r="BN319" s="63" t="inlineStr">
        <is>
          <t>N/A</t>
        </is>
      </c>
      <c r="BO319" s="63" t="inlineStr">
        <is>
          <t>N/A</t>
        </is>
      </c>
      <c r="BP319" s="63" t="inlineStr">
        <is>
          <t>N/A</t>
        </is>
      </c>
      <c r="BQ319" s="63" t="inlineStr">
        <is>
          <t>N/A</t>
        </is>
      </c>
      <c r="BR319" s="76" t="inlineStr">
        <is>
          <t>Morgan Stanley Asia Limited</t>
        </is>
      </c>
      <c r="BS319" s="63" t="inlineStr">
        <is>
          <t>Jefferies Hong Kong Limited; Morgan Stanley Asia Limited; CITIC Securities (Hong Kong) Limited</t>
        </is>
      </c>
      <c r="BT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U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V319" s="78">
        <f>HYPERLINK("https://www1.hkexnews.hk/listedco/listconews/sehk/2025/0407/2025040700009.pdf","prospectus")</f>
        <v/>
      </c>
      <c r="BW319" s="78">
        <f>HYPERLINK("https://www1.hkexnews.hk/listedco/listconews/sehk/2025/0414/2025041401384.pdf","allotment")</f>
        <v/>
      </c>
      <c r="BX319" s="78">
        <f>HYPERLINK("https://www1.hkexnews.hk/listedco/listconews/sehk/2025/0512/2025051200137.pdf","stabilisation")</f>
        <v/>
      </c>
      <c r="BY319" s="76" t="n"/>
      <c r="BZ319" s="63" t="inlineStr">
        <is>
          <t>P/E: n/m — loss-making at IPO (use P/S) · A/H: no A-share listing · market cap: prospectus states HK$7,868m at HK$103.20; rescaled to the struck HK$94.60 · grey market: no grey-market headline on file for this deal — AAStocks publishes one per listing but keeps only recent items on the stock's news page, and no public archive of past evening sessions exists; captured from this run onward</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72" t="n"/>
      <c r="AC320" s="66" t="n"/>
      <c r="AD320" s="72" t="n"/>
      <c r="AE320" s="63" t="n"/>
      <c r="AF320" s="63" t="n"/>
      <c r="AG320" s="63" t="n"/>
      <c r="AH320" s="63" t="inlineStr">
        <is>
          <t>China International Capital Corporation Hong Kong Securities Limited</t>
        </is>
      </c>
      <c r="AI320" s="63" t="inlineStr">
        <is>
          <t>China International</t>
        </is>
      </c>
      <c r="AJ320" s="73" t="n">
        <v>38.33</v>
      </c>
      <c r="AK320" s="72" t="n">
        <v>61.11</v>
      </c>
      <c r="AL320" s="72" t="n">
        <v>-14.14</v>
      </c>
      <c r="AM320" s="72" t="n">
        <v>31.11</v>
      </c>
      <c r="AN320" s="72" t="n">
        <v>79.44</v>
      </c>
      <c r="AO320" s="72" t="n">
        <v>53.33</v>
      </c>
      <c r="AP320" s="72" t="n">
        <v>-5.22</v>
      </c>
      <c r="AQ320" s="72" t="n">
        <v>29.72</v>
      </c>
      <c r="AR320" s="72" t="n">
        <v>10.84</v>
      </c>
      <c r="AS320" s="72" t="n">
        <v>27.73</v>
      </c>
      <c r="AT320" s="72" t="n">
        <v>75.65000000000001</v>
      </c>
      <c r="AU320" s="72" t="n">
        <v>46.9</v>
      </c>
      <c r="AV320" s="72" t="n">
        <v>25.23</v>
      </c>
      <c r="AW320" s="72" t="n">
        <v>3.79</v>
      </c>
      <c r="AX320" s="72" t="n">
        <v>4.49</v>
      </c>
      <c r="AY320" s="63" t="inlineStr">
        <is>
          <t>Hang Seng Commerce &amp; Industry sub-index</t>
        </is>
      </c>
      <c r="AZ320" s="72" t="n">
        <v>-36.78</v>
      </c>
      <c r="BA320" s="64" t="inlineStr">
        <is>
          <t>2026-08-28</t>
        </is>
      </c>
      <c r="BB320" s="65" t="n">
        <v>699</v>
      </c>
      <c r="BC320" s="68" t="n">
        <v>-302</v>
      </c>
      <c r="BD320" s="63" t="inlineStr">
        <is>
          <t>N</t>
        </is>
      </c>
      <c r="BE320" s="63" t="inlineStr">
        <is>
          <t>n/m</t>
        </is>
      </c>
      <c r="BF320" s="74" t="n"/>
      <c r="BG320" s="74" t="n"/>
      <c r="BH320" s="74" t="n">
        <v>9.800000000000001</v>
      </c>
      <c r="BI320" s="75">
        <f>IF('BBG Verify'!S320="","not filed — run on terminal",'BBG Verify'!S320)</f>
        <v/>
      </c>
      <c r="BJ320" s="76" t="inlineStr">
        <is>
          <t>N</t>
        </is>
      </c>
      <c r="BK320" s="77">
        <f>IF('BBG Verify'!K320="","not filed — run on terminal",'BBG Verify'!K320)</f>
        <v/>
      </c>
      <c r="BL320" s="63" t="inlineStr">
        <is>
          <t>N/A</t>
        </is>
      </c>
      <c r="BM320" s="63" t="inlineStr">
        <is>
          <t>N/A</t>
        </is>
      </c>
      <c r="BN320" s="63" t="inlineStr">
        <is>
          <t>N/A</t>
        </is>
      </c>
      <c r="BO320" s="63" t="inlineStr">
        <is>
          <t>N/A</t>
        </is>
      </c>
      <c r="BP320" s="63" t="inlineStr">
        <is>
          <t>N/A</t>
        </is>
      </c>
      <c r="BQ320" s="63" t="inlineStr">
        <is>
          <t>N/A</t>
        </is>
      </c>
      <c r="BR320" s="76" t="n"/>
      <c r="BS320" s="63" t="inlineStr">
        <is>
          <t>China International Capital Corporation Hong Kong Securities Limited; CMB International Capital Corporation Limited</t>
        </is>
      </c>
      <c r="BT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V320" s="63" t="n"/>
      <c r="BW320" s="78">
        <f>HYPERLINK("https://www1.hkexnews.hk/listedco/listconews/sehk/2025/0506/2025050602875.pdf","allotment")</f>
        <v/>
      </c>
      <c r="BX320" s="63" t="n"/>
      <c r="BY320" s="76" t="n"/>
      <c r="BZ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72" t="n"/>
      <c r="AC321" s="66" t="n"/>
      <c r="AD321" s="72" t="n"/>
      <c r="AE321" s="63" t="n"/>
      <c r="AF321" s="63" t="inlineStr">
        <is>
          <t>lapsed (no over-allocation)</t>
        </is>
      </c>
      <c r="AG321" s="63" t="n"/>
      <c r="AH321" s="63" t="inlineStr">
        <is>
          <t>Huatai Financial Holdings</t>
        </is>
      </c>
      <c r="AI321" s="63" t="inlineStr">
        <is>
          <t>Huatai</t>
        </is>
      </c>
      <c r="AJ321" s="73" t="n">
        <v>20.09</v>
      </c>
      <c r="AK321" s="72" t="n">
        <v>0.23</v>
      </c>
      <c r="AL321" s="72" t="n">
        <v>19.81</v>
      </c>
      <c r="AM321" s="72" t="n">
        <v>3.61</v>
      </c>
      <c r="AN321" s="72" t="n">
        <v>8.130000000000001</v>
      </c>
      <c r="AO321" s="72" t="n">
        <v>-2.48</v>
      </c>
      <c r="AP321" s="72" t="n">
        <v>-13.72</v>
      </c>
      <c r="AQ321" s="72" t="n">
        <v>-9.960000000000001</v>
      </c>
      <c r="AR321" s="72" t="n">
        <v>-18.79</v>
      </c>
      <c r="AS321" s="72" t="n">
        <v>0.51</v>
      </c>
      <c r="AT321" s="72" t="n">
        <v>4.34</v>
      </c>
      <c r="AU321" s="72" t="n">
        <v>-9.83</v>
      </c>
      <c r="AV321" s="72" t="n">
        <v>-13.02</v>
      </c>
      <c r="AW321" s="72" t="n">
        <v>3.79</v>
      </c>
      <c r="AX321" s="72" t="n">
        <v>3.06</v>
      </c>
      <c r="AY321" s="63" t="inlineStr">
        <is>
          <t>Hang Seng Commerce &amp; Industry sub-index</t>
        </is>
      </c>
      <c r="AZ321" s="72" t="n">
        <v>-28.44</v>
      </c>
      <c r="BA321" s="64" t="inlineStr">
        <is>
          <t>2026-08-28</t>
        </is>
      </c>
      <c r="BB321" s="65" t="n">
        <v>2006.3</v>
      </c>
      <c r="BC321" s="68" t="n">
        <v>-275.6</v>
      </c>
      <c r="BD321" s="63" t="inlineStr">
        <is>
          <t>N</t>
        </is>
      </c>
      <c r="BE321" s="63" t="inlineStr">
        <is>
          <t>n/m</t>
        </is>
      </c>
      <c r="BF321" s="74" t="n"/>
      <c r="BG321" s="74" t="n"/>
      <c r="BH321" s="74" t="n">
        <v>3.2</v>
      </c>
      <c r="BI321" s="75">
        <f>IF('BBG Verify'!S321="","not filed — run on terminal",'BBG Verify'!S321)</f>
        <v/>
      </c>
      <c r="BJ321" s="76" t="inlineStr">
        <is>
          <t>Y</t>
        </is>
      </c>
      <c r="BK321" s="63" t="inlineStr">
        <is>
          <t>002865.SZ</t>
        </is>
      </c>
      <c r="BL321" s="72" t="n">
        <v>99.26000000000001</v>
      </c>
      <c r="BM321" s="66" t="n">
        <v>44.1352</v>
      </c>
      <c r="BN321" s="80" t="n">
        <v>2.0048</v>
      </c>
      <c r="BO321" s="68" t="n">
        <v>14434.6</v>
      </c>
      <c r="BP321" s="75">
        <f>IF('BBG Verify'!Q321="","run on terminal",'BBG Verify'!Q321)</f>
        <v/>
      </c>
      <c r="BQ321" s="75">
        <f>IF('BBG Verify'!R321="","run on terminal",'BBG Verify'!R321)</f>
        <v/>
      </c>
      <c r="BR321" s="76" t="inlineStr">
        <is>
          <t>Huatai Financial Holdings (Hong Kong) Limited; CMB International Capital Limited; Deutsche Securities Asia Limited</t>
        </is>
      </c>
      <c r="BS321" s="63" t="inlineStr">
        <is>
          <t>Huatai Financial Holdings (Hong Kong) Limited; Deutsche Securities Asia Limited; CMB International Capital Corporation Limited</t>
        </is>
      </c>
      <c r="BT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U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V321" s="78">
        <f>HYPERLINK("https://www1.hkexnews.hk/listedco/listconews/sehk/2025/0428/2025042800051.pdf","prospectus")</f>
        <v/>
      </c>
      <c r="BW321" s="78">
        <f>HYPERLINK("https://www1.hkexnews.hk/listedco/listconews/sehk/2025/0507/2025050702202.pdf","allotment")</f>
        <v/>
      </c>
      <c r="BX321" s="78">
        <f>HYPERLINK("https://www1.hkexnews.hk/listedco/listconews/sehk/2025/0602/2025060200082.pdf","stabilisation")</f>
        <v/>
      </c>
      <c r="BY321" s="76" t="n"/>
      <c r="BZ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no grey-market headline on file for this deal — AAStocks publishes one per listing but keeps only recent items on the stock's news page, and no public archive of past evening sessions exists; captured from this run onward</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72" t="n"/>
      <c r="AC322" s="66" t="n"/>
      <c r="AD322" s="72" t="n"/>
      <c r="AE322" s="63" t="n"/>
      <c r="AF322" s="63" t="inlineStr">
        <is>
          <t>full</t>
        </is>
      </c>
      <c r="AG322" s="63" t="inlineStr">
        <is>
          <t>2025-06-01</t>
        </is>
      </c>
      <c r="AH322" s="63" t="inlineStr">
        <is>
          <t>CLSA Limited</t>
        </is>
      </c>
      <c r="AI322" s="63" t="inlineStr">
        <is>
          <t>CLSA</t>
        </is>
      </c>
      <c r="AJ322" s="73" t="n">
        <v>40.03</v>
      </c>
      <c r="AK322" s="72" t="n">
        <v>68.48999999999999</v>
      </c>
      <c r="AL322" s="72" t="n">
        <v>-16.89</v>
      </c>
      <c r="AM322" s="72" t="n">
        <v>12.89</v>
      </c>
      <c r="AN322" s="72" t="n">
        <v>9.619999999999999</v>
      </c>
      <c r="AO322" s="72" t="n">
        <v>21.38</v>
      </c>
      <c r="AP322" s="72" t="n">
        <v>-19.38</v>
      </c>
      <c r="AQ322" s="72" t="n">
        <v>-21.72</v>
      </c>
      <c r="AR322" s="72" t="n">
        <v>-13.32</v>
      </c>
      <c r="AS322" s="72" t="n">
        <v>9.789999999999999</v>
      </c>
      <c r="AT322" s="72" t="n">
        <v>5.83</v>
      </c>
      <c r="AU322" s="72" t="n">
        <v>14.03</v>
      </c>
      <c r="AV322" s="72" t="n">
        <v>-24.78</v>
      </c>
      <c r="AW322" s="72" t="n">
        <v>3.79</v>
      </c>
      <c r="AX322" s="72" t="n">
        <v>3.06</v>
      </c>
      <c r="AY322" s="63" t="inlineStr">
        <is>
          <t>Hang Seng Commerce &amp; Industry sub-index</t>
        </is>
      </c>
      <c r="AZ322" s="72" t="n">
        <v>-27.02</v>
      </c>
      <c r="BA322" s="64" t="inlineStr">
        <is>
          <t>2026-08-28</t>
        </is>
      </c>
      <c r="BB322" s="65" t="n">
        <v>3613</v>
      </c>
      <c r="BC322" s="68" t="n">
        <v>361.8</v>
      </c>
      <c r="BD322" s="63" t="inlineStr">
        <is>
          <t>Y</t>
        </is>
      </c>
      <c r="BE322" s="74" t="n">
        <v>29</v>
      </c>
      <c r="BF322" s="74" t="n">
        <v>45.8</v>
      </c>
      <c r="BG322" s="74" t="n">
        <v>15.2</v>
      </c>
      <c r="BH322" s="74" t="n">
        <v>2.9</v>
      </c>
      <c r="BI322" s="75">
        <f>IF('BBG Verify'!S322="","not filed — run on terminal",'BBG Verify'!S322)</f>
        <v/>
      </c>
      <c r="BJ322" s="76" t="inlineStr">
        <is>
          <t>N</t>
        </is>
      </c>
      <c r="BK322" s="77">
        <f>IF('BBG Verify'!K322="","not filed — run on terminal",'BBG Verify'!K322)</f>
        <v/>
      </c>
      <c r="BL322" s="63" t="inlineStr">
        <is>
          <t>N/A</t>
        </is>
      </c>
      <c r="BM322" s="63" t="inlineStr">
        <is>
          <t>N/A</t>
        </is>
      </c>
      <c r="BN322" s="63" t="inlineStr">
        <is>
          <t>N/A</t>
        </is>
      </c>
      <c r="BO322" s="63" t="inlineStr">
        <is>
          <t>N/A</t>
        </is>
      </c>
      <c r="BP322" s="63" t="inlineStr">
        <is>
          <t>N/A</t>
        </is>
      </c>
      <c r="BQ322" s="63" t="inlineStr">
        <is>
          <t>N/A</t>
        </is>
      </c>
      <c r="BR322" s="76" t="inlineStr">
        <is>
          <t>CITIC Securities (Hong Kong) Limited; Haitong International Capital Limited; Orient Capital (Hong Kong) Limited</t>
        </is>
      </c>
      <c r="BS322" s="63" t="inlineStr">
        <is>
          <t>Haitong International Capital Limited; CITIC Securities (Hong Kong) Limited; Orient Capital (Hong Kong) Limited</t>
        </is>
      </c>
      <c r="BT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U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V322" s="78">
        <f>HYPERLINK("https://www1.hkexnews.hk/listedco/listconews/sehk/2025/0428/2025042800055.pdf","prospectus")</f>
        <v/>
      </c>
      <c r="BW322" s="78">
        <f>HYPERLINK("https://www1.hkexnews.hk/listedco/listconews/sehk/2025/0507/2025050702204.pdf","allotment")</f>
        <v/>
      </c>
      <c r="BX322" s="78">
        <f>HYPERLINK("https://www1.hkexnews.hk/listedco/listconews/sehk/2025/0601/2025060100017.pdf","stabilisation")</f>
        <v/>
      </c>
      <c r="BY322" s="76" t="n"/>
      <c r="BZ322"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72" t="n"/>
      <c r="AC323" s="66" t="n"/>
      <c r="AD323" s="72" t="n"/>
      <c r="AE323" s="63" t="n"/>
      <c r="AF323" s="63" t="inlineStr">
        <is>
          <t>lapsed</t>
        </is>
      </c>
      <c r="AG323" s="63" t="inlineStr">
        <is>
          <t>2025-06-12</t>
        </is>
      </c>
      <c r="AH323" s="63" t="inlineStr">
        <is>
          <t>CMB International Global Markets Limited</t>
        </is>
      </c>
      <c r="AI323" s="63" t="inlineStr">
        <is>
          <t>CMB</t>
        </is>
      </c>
      <c r="AJ323" s="73" t="n">
        <v>-12.52</v>
      </c>
      <c r="AK323" s="72" t="n">
        <v>0</v>
      </c>
      <c r="AL323" s="72" t="n">
        <v>-12.52</v>
      </c>
      <c r="AM323" s="72" t="n">
        <v>-19.61</v>
      </c>
      <c r="AN323" s="72" t="n">
        <v>-11.27</v>
      </c>
      <c r="AO323" s="72" t="n">
        <v>3.2</v>
      </c>
      <c r="AP323" s="72" t="n">
        <v>-8.1</v>
      </c>
      <c r="AQ323" s="72" t="n">
        <v>1.43</v>
      </c>
      <c r="AR323" s="72" t="n">
        <v>17.97</v>
      </c>
      <c r="AS323" s="72" t="n">
        <v>-20.16</v>
      </c>
      <c r="AT323" s="72" t="n">
        <v>-11.85</v>
      </c>
      <c r="AU323" s="72" t="n">
        <v>-3.31</v>
      </c>
      <c r="AV323" s="72" t="n">
        <v>0.16</v>
      </c>
      <c r="AW323" s="72" t="n">
        <v>0.58</v>
      </c>
      <c r="AX323" s="72" t="n">
        <v>1.27</v>
      </c>
      <c r="AY323" s="63" t="inlineStr">
        <is>
          <t>Hang Seng Commerce &amp; Industry sub-index</t>
        </is>
      </c>
      <c r="AZ323" s="72" t="n">
        <v>-26.98</v>
      </c>
      <c r="BA323" s="64" t="inlineStr">
        <is>
          <t>2026-08-28</t>
        </is>
      </c>
      <c r="BB323" s="65" t="n">
        <v>4222</v>
      </c>
      <c r="BC323" s="68" t="n">
        <v>385.2</v>
      </c>
      <c r="BD323" s="63" t="inlineStr">
        <is>
          <t>Y</t>
        </is>
      </c>
      <c r="BE323" s="74" t="n">
        <v>7.8</v>
      </c>
      <c r="BF323" s="74" t="n"/>
      <c r="BG323" s="74" t="n">
        <v>7.4</v>
      </c>
      <c r="BH323" s="74" t="n">
        <v>0.7</v>
      </c>
      <c r="BI323" s="75">
        <f>IF('BBG Verify'!S323="","not filed — run on terminal",'BBG Verify'!S323)</f>
        <v/>
      </c>
      <c r="BJ323" s="76" t="inlineStr">
        <is>
          <t>N</t>
        </is>
      </c>
      <c r="BK323" s="77">
        <f>IF('BBG Verify'!K323="","not filed — run on terminal",'BBG Verify'!K323)</f>
        <v/>
      </c>
      <c r="BL323" s="63" t="inlineStr">
        <is>
          <t>N/A</t>
        </is>
      </c>
      <c r="BM323" s="63" t="inlineStr">
        <is>
          <t>N/A</t>
        </is>
      </c>
      <c r="BN323" s="63" t="inlineStr">
        <is>
          <t>N/A</t>
        </is>
      </c>
      <c r="BO323" s="63" t="inlineStr">
        <is>
          <t>N/A</t>
        </is>
      </c>
      <c r="BP323" s="63" t="inlineStr">
        <is>
          <t>N/A</t>
        </is>
      </c>
      <c r="BQ323" s="63" t="inlineStr">
        <is>
          <t>N/A</t>
        </is>
      </c>
      <c r="BR323" s="76" t="inlineStr">
        <is>
          <t>Citigroup Global Markets Asia Limited; Hong Kong SAR CMB International Capital Limited</t>
        </is>
      </c>
      <c r="BS323" s="63" t="inlineStr">
        <is>
          <t>Citigroup Global Markets Asia Limited; CMB International Capital Corporation Limited</t>
        </is>
      </c>
      <c r="BT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U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V323" s="78">
        <f>HYPERLINK("https://www1.hkexnews.hk/listedco/listconews/sehk/2025/0508/2025050800013.pdf","prospectus")</f>
        <v/>
      </c>
      <c r="BW323" s="78">
        <f>HYPERLINK("https://www1.hkexnews.hk/listedco/listconews/sehk/2025/0515/2025051501489.pdf","allotment")</f>
        <v/>
      </c>
      <c r="BX323" s="78">
        <f>HYPERLINK("https://www1.hkexnews.hk/listedco/listconews/sehk/2025/0612/2025061201064.pdf","stabilisation")</f>
        <v/>
      </c>
      <c r="BY323" s="76" t="n"/>
      <c r="BZ323" s="63" t="inlineStr">
        <is>
          <t>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72" t="n"/>
      <c r="AC324" s="66" t="n"/>
      <c r="AD324" s="72" t="n"/>
      <c r="AE324" s="63" t="n"/>
      <c r="AF324" s="63" t="inlineStr">
        <is>
          <t>full</t>
        </is>
      </c>
      <c r="AG324" s="63" t="n"/>
      <c r="AH324" s="63" t="n"/>
      <c r="AI324" s="63" t="n"/>
      <c r="AJ324" s="73" t="n">
        <v>16.43</v>
      </c>
      <c r="AK324" s="72" t="n">
        <v>12.55</v>
      </c>
      <c r="AL324" s="72" t="n">
        <v>3.45</v>
      </c>
      <c r="AM324" s="72" t="n">
        <v>17.49</v>
      </c>
      <c r="AN324" s="72" t="n">
        <v>16.5</v>
      </c>
      <c r="AO324" s="72" t="n">
        <v>57.41</v>
      </c>
      <c r="AP324" s="72" t="n">
        <v>0.91</v>
      </c>
      <c r="AQ324" s="72" t="n">
        <v>0.06</v>
      </c>
      <c r="AR324" s="72" t="n">
        <v>35.2</v>
      </c>
      <c r="AS324" s="72" t="n">
        <v>17.98</v>
      </c>
      <c r="AT324" s="72" t="n">
        <v>16.86</v>
      </c>
      <c r="AU324" s="72" t="n">
        <v>51.09</v>
      </c>
      <c r="AV324" s="72" t="n">
        <v>2.11</v>
      </c>
      <c r="AW324" s="72" t="n">
        <v>-0.36</v>
      </c>
      <c r="AX324" s="72" t="n">
        <v>-2.05</v>
      </c>
      <c r="AY324" s="63" t="inlineStr">
        <is>
          <t>Hang Seng Commerce &amp; Industry sub-index</t>
        </is>
      </c>
      <c r="AZ324" s="72" t="n">
        <v>134.41</v>
      </c>
      <c r="BA324" s="64" t="inlineStr">
        <is>
          <t>2026-08-28</t>
        </is>
      </c>
      <c r="BB324" s="65" t="n">
        <v>398213.8</v>
      </c>
      <c r="BC324" s="68" t="n">
        <v>60824.5</v>
      </c>
      <c r="BD324" s="63" t="inlineStr">
        <is>
          <t>Y</t>
        </is>
      </c>
      <c r="BE324" s="74" t="n">
        <v>19.6</v>
      </c>
      <c r="BF324" s="74" t="n">
        <v>22.9</v>
      </c>
      <c r="BG324" s="74" t="n">
        <v>30.1</v>
      </c>
      <c r="BH324" s="74" t="n">
        <v>3</v>
      </c>
      <c r="BI324" s="75">
        <f>IF('BBG Verify'!S324="","not filed — run on terminal",'BBG Verify'!S324)</f>
        <v/>
      </c>
      <c r="BJ324" s="76" t="inlineStr">
        <is>
          <t>Y</t>
        </is>
      </c>
      <c r="BK324" s="63" t="inlineStr">
        <is>
          <t>300750.SZ</t>
        </is>
      </c>
      <c r="BL324" s="72" t="n">
        <v>7.15</v>
      </c>
      <c r="BM324" s="66" t="n">
        <v>281.7992</v>
      </c>
      <c r="BN324" s="80" t="n">
        <v>-0.2932</v>
      </c>
      <c r="BO324" s="68" t="n">
        <v>1962749.1</v>
      </c>
      <c r="BP324" s="75">
        <f>IF('BBG Verify'!Q324="","run on terminal",'BBG Verify'!Q324)</f>
        <v/>
      </c>
      <c r="BQ324" s="75">
        <f>IF('BBG Verify'!R324="","run on terminal",'BBG Verify'!R324)</f>
        <v/>
      </c>
      <c r="BR324" s="76" t="inlineStr">
        <is>
          <t>China International Capital Corporation Hong Kong Securities Limited; China Securities (International) Corporate Finance Company Limited; J.P. Morgan Securities (Far East) Limited; Merrill Lynch (Asia Pacific) Limited</t>
        </is>
      </c>
      <c r="BS324" s="63" t="inlineStr">
        <is>
          <t>China International Capital Corporation Hong Kong Securities Limited; J.P. Morgan Securities (Far East) Limited; Merrill Lynch (Asia Pacific) Limited; China Securities (International) Corporate Finance Company Limited</t>
        </is>
      </c>
      <c r="BT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V324" s="78">
        <f>HYPERLINK("https://www1.hkexnews.hk/listedco/listconews/sehk/2025/0512/2025051200005.pdf","prospectus")</f>
        <v/>
      </c>
      <c r="BW324" s="78">
        <f>HYPERLINK("https://www1.hkexnews.hk/listedco/listconews/sehk/2025/0519/2025051901257.pdf","allotment")</f>
        <v/>
      </c>
      <c r="BX324" s="78">
        <f>HYPERLINK("https://www1.hkexnews.hk/listedco/listconews/sehk/2025/0616/2025061600487.pdf","stabilisation")</f>
        <v/>
      </c>
      <c r="BY324" s="76" t="n"/>
      <c r="BZ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72" t="n"/>
      <c r="AC325" s="66" t="n"/>
      <c r="AD325" s="72" t="n"/>
      <c r="AE325" s="63" t="n"/>
      <c r="AF325" s="63" t="n"/>
      <c r="AG325" s="63" t="n"/>
      <c r="AH325" s="63" t="n"/>
      <c r="AI325" s="63" t="n"/>
      <c r="AJ325" s="73" t="n">
        <v>28.76</v>
      </c>
      <c r="AK325" s="72" t="n">
        <v>28.33</v>
      </c>
      <c r="AL325" s="72" t="n">
        <v>0.34</v>
      </c>
      <c r="AM325" s="72" t="n">
        <v>25.32</v>
      </c>
      <c r="AN325" s="72" t="n">
        <v>44.42</v>
      </c>
      <c r="AO325" s="72" t="n">
        <v>87.55</v>
      </c>
      <c r="AP325" s="72" t="n">
        <v>-2.67</v>
      </c>
      <c r="AQ325" s="72" t="n">
        <v>12.16</v>
      </c>
      <c r="AR325" s="72" t="n">
        <v>45.66</v>
      </c>
      <c r="AS325" s="72" t="n">
        <v>22.29</v>
      </c>
      <c r="AT325" s="72" t="n">
        <v>35.69</v>
      </c>
      <c r="AU325" s="72" t="n">
        <v>50.43</v>
      </c>
      <c r="AV325" s="72" t="n">
        <v>3.28</v>
      </c>
      <c r="AW325" s="72" t="n">
        <v>8.73</v>
      </c>
      <c r="AX325" s="72" t="n">
        <v>8.880000000000001</v>
      </c>
      <c r="AY325" s="63" t="inlineStr">
        <is>
          <t>China Biotech ETF (HS biotech proxy)</t>
        </is>
      </c>
      <c r="AZ325" s="72" t="n">
        <v>-46.74</v>
      </c>
      <c r="BA325" s="64" t="inlineStr">
        <is>
          <t>2026-08-28</t>
        </is>
      </c>
      <c r="BB325" s="65" t="n">
        <v>158.2</v>
      </c>
      <c r="BC325" s="68" t="n">
        <v>-720.2</v>
      </c>
      <c r="BD325" s="63" t="inlineStr">
        <is>
          <t>N</t>
        </is>
      </c>
      <c r="BE325" s="63" t="inlineStr">
        <is>
          <t>n/m</t>
        </is>
      </c>
      <c r="BF325" s="74" t="n"/>
      <c r="BG325" s="74" t="n"/>
      <c r="BH325" s="74" t="n">
        <v>40.7</v>
      </c>
      <c r="BI325" s="75">
        <f>IF('BBG Verify'!S325="","not filed — run on terminal",'BBG Verify'!S325)</f>
        <v/>
      </c>
      <c r="BJ325" s="76" t="inlineStr">
        <is>
          <t>N</t>
        </is>
      </c>
      <c r="BK325" s="77">
        <f>IF('BBG Verify'!K325="","not filed — run on terminal",'BBG Verify'!K325)</f>
        <v/>
      </c>
      <c r="BL325" s="63" t="inlineStr">
        <is>
          <t>N/A</t>
        </is>
      </c>
      <c r="BM325" s="63" t="inlineStr">
        <is>
          <t>N/A</t>
        </is>
      </c>
      <c r="BN325" s="63" t="inlineStr">
        <is>
          <t>N/A</t>
        </is>
      </c>
      <c r="BO325" s="63" t="inlineStr">
        <is>
          <t>N/A</t>
        </is>
      </c>
      <c r="BP325" s="63" t="inlineStr">
        <is>
          <t>N/A</t>
        </is>
      </c>
      <c r="BQ325" s="63" t="inlineStr">
        <is>
          <t>N/A</t>
        </is>
      </c>
      <c r="BR325" s="76" t="inlineStr">
        <is>
          <t>China International Capital Corporation Hong Kong Securities Limited; CCB International Capital Limited</t>
        </is>
      </c>
      <c r="BS325" s="63" t="inlineStr">
        <is>
          <t>China International Capital Corporation Hong Kong Securities Limited; CCB International Capital Limited</t>
        </is>
      </c>
      <c r="BT325" s="63" t="inlineStr">
        <is>
          <t>CMB International Capital Limited; Livermore Holdings Limited; BOCOM International Securities Limited; Platinum Broking Company Limited</t>
        </is>
      </c>
      <c r="BU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V325" s="78">
        <f>HYPERLINK("https://www1.hkexnews.hk/listedco/listconews/sehk/2025/0515/2025051500021.pdf","prospectus")</f>
        <v/>
      </c>
      <c r="BW325" s="78">
        <f>HYPERLINK("https://www1.hkexnews.hk/listedco/listconews/sehk/2025/0522/2025052201535.pdf","allotment")</f>
        <v/>
      </c>
      <c r="BX325" s="63" t="n"/>
      <c r="BY325" s="76" t="n"/>
      <c r="BZ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no grey-market headline on file for this deal — AAStocks publishes one per listing but keeps only recent items on the stock's news page, and no public archive of past evening sessions exists; captured from this run onward</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72" t="n"/>
      <c r="AC326" s="66" t="n"/>
      <c r="AD326" s="72" t="n"/>
      <c r="AE326" s="63" t="n"/>
      <c r="AF326" s="63" t="inlineStr">
        <is>
          <t>full</t>
        </is>
      </c>
      <c r="AG326" s="63" t="inlineStr">
        <is>
          <t>2025-06-19</t>
        </is>
      </c>
      <c r="AH326" s="63" t="inlineStr">
        <is>
          <t>Morgan Stanley Asia Limited</t>
        </is>
      </c>
      <c r="AI326" s="63" t="inlineStr">
        <is>
          <t>Morgan Stanley</t>
        </is>
      </c>
      <c r="AJ326" s="73" t="n">
        <v>25.2</v>
      </c>
      <c r="AK326" s="72" t="n">
        <v>30.76</v>
      </c>
      <c r="AL326" s="72" t="n">
        <v>-4.25</v>
      </c>
      <c r="AM326" s="72" t="n">
        <v>31.67</v>
      </c>
      <c r="AN326" s="72" t="n">
        <v>26.79</v>
      </c>
      <c r="AO326" s="72" t="n">
        <v>76.5</v>
      </c>
      <c r="AP326" s="72" t="n">
        <v>5.17</v>
      </c>
      <c r="AQ326" s="72" t="n">
        <v>1.27</v>
      </c>
      <c r="AR326" s="72" t="n">
        <v>40.97</v>
      </c>
      <c r="AS326" s="72" t="n">
        <v>28.64</v>
      </c>
      <c r="AT326" s="72" t="n">
        <v>18.06</v>
      </c>
      <c r="AU326" s="72" t="n">
        <v>39.38</v>
      </c>
      <c r="AV326" s="72" t="n">
        <v>-7.61</v>
      </c>
      <c r="AW326" s="72" t="n">
        <v>8.73</v>
      </c>
      <c r="AX326" s="72" t="n">
        <v>8.880000000000001</v>
      </c>
      <c r="AY326" s="63" t="inlineStr">
        <is>
          <t>China Biotech ETF (HS biotech proxy)</t>
        </is>
      </c>
      <c r="AZ326" s="72" t="n">
        <v>8.83</v>
      </c>
      <c r="BA326" s="64" t="inlineStr">
        <is>
          <t>2026-08-28</t>
        </is>
      </c>
      <c r="BB326" s="65" t="n">
        <v>30783.1</v>
      </c>
      <c r="BC326" s="68" t="n">
        <v>6970.7</v>
      </c>
      <c r="BD326" s="63" t="inlineStr">
        <is>
          <t>Y</t>
        </is>
      </c>
      <c r="BE326" s="74" t="n">
        <v>50.5</v>
      </c>
      <c r="BF326" s="74" t="n">
        <v>46.8</v>
      </c>
      <c r="BG326" s="74" t="n">
        <v>37.5</v>
      </c>
      <c r="BH326" s="74" t="n">
        <v>11.4</v>
      </c>
      <c r="BI326" s="75">
        <f>IF('BBG Verify'!S326="","not filed — run on terminal",'BBG Verify'!S326)</f>
        <v/>
      </c>
      <c r="BJ326" s="76" t="inlineStr">
        <is>
          <t>Y</t>
        </is>
      </c>
      <c r="BK326" s="63" t="inlineStr">
        <is>
          <t>600276.SS</t>
        </is>
      </c>
      <c r="BL326" s="72" t="n">
        <v>37.18</v>
      </c>
      <c r="BM326" s="66" t="n">
        <v>60.4275</v>
      </c>
      <c r="BN326" s="80" t="n">
        <v>0.1658</v>
      </c>
      <c r="BO326" s="68" t="n">
        <v>356814.7</v>
      </c>
      <c r="BP326" s="75">
        <f>IF('BBG Verify'!Q326="","run on terminal",'BBG Verify'!Q326)</f>
        <v/>
      </c>
      <c r="BQ326" s="75">
        <f>IF('BBG Verify'!R326="","run on terminal",'BBG Verify'!R326)</f>
        <v/>
      </c>
      <c r="BR326" s="76" t="inlineStr">
        <is>
          <t>Morgan Stanley Asia Limited; Citigroup Global Markets Asia Limited; Huatai Financial Holdings (Hong Kong) Limited</t>
        </is>
      </c>
      <c r="BS326" s="63" t="inlineStr">
        <is>
          <t>Morgan Stanley Asia Limited; Huatai Financial Holdings (Hong Kong) Limited; Citigroup Global Markets Asia Limited</t>
        </is>
      </c>
      <c r="BT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U326" s="63" t="inlineStr">
        <is>
          <t>BOCI Asia Limited; Citigroup Global Markets Asia Limited; CLSA Limited; GF Securities (Hong Kong) Brokerage Limited; Huatai Financial Holdings (Hong Kong) Limited; Morgan Stanley Asia Limited; UBS AG Hong Kong Branch</t>
        </is>
      </c>
      <c r="BV326" s="78">
        <f>HYPERLINK("https://www1.hkexnews.hk/listedco/listconews/sehk/2025/0515/2025051500019.pdf","prospectus")</f>
        <v/>
      </c>
      <c r="BW326" s="78">
        <f>HYPERLINK("https://www1.hkexnews.hk/listedco/listconews/sehk/2025/0522/2025052201651.pdf","allotment")</f>
        <v/>
      </c>
      <c r="BX326" s="78">
        <f>HYPERLINK("https://www1.hkexnews.hk/listedco/listconews/sehk/2025/0619/2025061900409.pdf","stabilisation")</f>
        <v/>
      </c>
      <c r="BY326" s="76" t="n"/>
      <c r="BZ326" s="63" t="inlineStr">
        <is>
          <t>A/H: May 2025, raised ~HK$9.9bn (~US$1.3bn) · grey market: no grey-market headline on file for this deal — AAStocks publishes one per listing but keeps only recent items on the stock's news page, and no public archive of past evening sessions exists; captured from this run onward</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72" t="n"/>
      <c r="AC327" s="66" t="n"/>
      <c r="AD327" s="72" t="n"/>
      <c r="AE327" s="63" t="n"/>
      <c r="AF327" s="63" t="n"/>
      <c r="AG327" s="63" t="n"/>
      <c r="AH327" s="63" t="n"/>
      <c r="AI327" s="63" t="n"/>
      <c r="AJ327" s="73" t="n">
        <v>-25.9</v>
      </c>
      <c r="AK327" s="72" t="n">
        <v>-16.67</v>
      </c>
      <c r="AL327" s="72" t="n">
        <v>-11.08</v>
      </c>
      <c r="AM327" s="72" t="n">
        <v>-37.82</v>
      </c>
      <c r="AN327" s="72" t="n">
        <v>-42.31</v>
      </c>
      <c r="AO327" s="72" t="n">
        <v>117.95</v>
      </c>
      <c r="AP327" s="72" t="n">
        <v>-16.09</v>
      </c>
      <c r="AQ327" s="72" t="n">
        <v>-22.15</v>
      </c>
      <c r="AR327" s="72" t="n">
        <v>194.13</v>
      </c>
      <c r="AS327" s="72" t="n">
        <v>-43.89</v>
      </c>
      <c r="AT327" s="72" t="n">
        <v>-55.86</v>
      </c>
      <c r="AU327" s="72" t="n">
        <v>74.34</v>
      </c>
      <c r="AV327" s="72" t="n">
        <v>-33.19</v>
      </c>
      <c r="AW327" s="72" t="n">
        <v>13.55</v>
      </c>
      <c r="AX327" s="72" t="n">
        <v>11.04</v>
      </c>
      <c r="AY327" s="63" t="inlineStr">
        <is>
          <t>China Biotech ETF (HS biotech proxy)</t>
        </is>
      </c>
      <c r="AZ327" s="72" t="n">
        <v>-63.53</v>
      </c>
      <c r="BA327" s="64" t="inlineStr">
        <is>
          <t>2026-08-28</t>
        </is>
      </c>
      <c r="BB327" s="65" t="n">
        <v>0</v>
      </c>
      <c r="BC327" s="68" t="n">
        <v>-311.7</v>
      </c>
      <c r="BD327" s="63" t="inlineStr">
        <is>
          <t>N</t>
        </is>
      </c>
      <c r="BE327" s="63" t="inlineStr">
        <is>
          <t>n/m</t>
        </is>
      </c>
      <c r="BF327" s="74" t="n"/>
      <c r="BG327" s="74" t="n"/>
      <c r="BH327" s="63" t="inlineStr">
        <is>
          <t>pre-rev</t>
        </is>
      </c>
      <c r="BI327" s="75">
        <f>IF('BBG Verify'!S327="","not filed — run on terminal",'BBG Verify'!S327)</f>
        <v/>
      </c>
      <c r="BJ327" s="76" t="inlineStr">
        <is>
          <t>N</t>
        </is>
      </c>
      <c r="BK327" s="77">
        <f>IF('BBG Verify'!K327="","not filed — run on terminal",'BBG Verify'!K327)</f>
        <v/>
      </c>
      <c r="BL327" s="63" t="inlineStr">
        <is>
          <t>N/A</t>
        </is>
      </c>
      <c r="BM327" s="63" t="inlineStr">
        <is>
          <t>N/A</t>
        </is>
      </c>
      <c r="BN327" s="63" t="inlineStr">
        <is>
          <t>N/A</t>
        </is>
      </c>
      <c r="BO327" s="63" t="inlineStr">
        <is>
          <t>N/A</t>
        </is>
      </c>
      <c r="BP327" s="63" t="inlineStr">
        <is>
          <t>N/A</t>
        </is>
      </c>
      <c r="BQ327" s="63" t="inlineStr">
        <is>
          <t>N/A</t>
        </is>
      </c>
      <c r="BR327" s="76" t="inlineStr">
        <is>
          <t>China International Capital Corporation Hong Kong Securities Limited</t>
        </is>
      </c>
      <c r="BS327" s="63" t="inlineStr">
        <is>
          <t>China International Capital Corporation Hong Kong Securities Limited</t>
        </is>
      </c>
      <c r="BT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U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V327" s="78">
        <f>HYPERLINK("https://www1.hkexnews.hk/listedco/listconews/sehk/2025/0519/2025051900013.pdf","prospectus")</f>
        <v/>
      </c>
      <c r="BW327" s="78">
        <f>HYPERLINK("https://www1.hkexnews.hk/listedco/listconews/sehk/2025/0526/2025052601319.pdf","allotment")</f>
        <v/>
      </c>
      <c r="BX327" s="63" t="n"/>
      <c r="BY327" s="76" t="n"/>
      <c r="BZ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72" t="n"/>
      <c r="AC328" s="66" t="n"/>
      <c r="AD328" s="72" t="n"/>
      <c r="AE328" s="63" t="n"/>
      <c r="AF328" s="63" t="n"/>
      <c r="AG328" s="63" t="n"/>
      <c r="AH328" s="63" t="n"/>
      <c r="AI328" s="63" t="n"/>
      <c r="AJ328" s="73" t="n">
        <v>39.06</v>
      </c>
      <c r="AK328" s="72" t="n">
        <v>43.23</v>
      </c>
      <c r="AL328" s="72" t="n">
        <v>-2.91</v>
      </c>
      <c r="AM328" s="72" t="n">
        <v>30.21</v>
      </c>
      <c r="AN328" s="72" t="n">
        <v>45.31</v>
      </c>
      <c r="AO328" s="72" t="n">
        <v>138.67</v>
      </c>
      <c r="AP328" s="72" t="n">
        <v>-6.36</v>
      </c>
      <c r="AQ328" s="72" t="n">
        <v>4.49</v>
      </c>
      <c r="AR328" s="72" t="n">
        <v>71.63</v>
      </c>
      <c r="AS328" s="72" t="n">
        <v>29.32</v>
      </c>
      <c r="AT328" s="72" t="n">
        <v>41.25</v>
      </c>
      <c r="AU328" s="72" t="n">
        <v>125.6</v>
      </c>
      <c r="AV328" s="72" t="n">
        <v>1.35</v>
      </c>
      <c r="AW328" s="72" t="n">
        <v>4.06</v>
      </c>
      <c r="AX328" s="72" t="n">
        <v>3.14</v>
      </c>
      <c r="AY328" s="63" t="inlineStr">
        <is>
          <t>HSTECH (Hang Seng TECH ETF)</t>
        </is>
      </c>
      <c r="AZ328" s="72" t="n">
        <v>66.41</v>
      </c>
      <c r="BA328" s="64" t="inlineStr">
        <is>
          <t>2026-08-28</t>
        </is>
      </c>
      <c r="BB328" s="65" t="n">
        <v>5913.5</v>
      </c>
      <c r="BC328" s="68" t="n">
        <v>202.9</v>
      </c>
      <c r="BD328" s="63" t="inlineStr">
        <is>
          <t>Y</t>
        </is>
      </c>
      <c r="BE328" s="74" t="n">
        <v>17.1</v>
      </c>
      <c r="BF328" s="74" t="n">
        <v>18.6</v>
      </c>
      <c r="BG328" s="74" t="n">
        <v>15.1</v>
      </c>
      <c r="BH328" s="74" t="n">
        <v>0.6</v>
      </c>
      <c r="BI328" s="75">
        <f>IF('BBG Verify'!S328="","not filed — run on terminal",'BBG Verify'!S328)</f>
        <v/>
      </c>
      <c r="BJ328" s="76" t="inlineStr">
        <is>
          <t>Y</t>
        </is>
      </c>
      <c r="BK328" s="63" t="inlineStr">
        <is>
          <t>002803.SZ</t>
        </is>
      </c>
      <c r="BL328" s="72" t="n">
        <v>105.18</v>
      </c>
      <c r="BM328" s="66" t="n">
        <v>15.7576</v>
      </c>
      <c r="BN328" s="80" t="n">
        <v>0.8015</v>
      </c>
      <c r="BO328" s="68" t="n">
        <v>10385.4</v>
      </c>
      <c r="BP328" s="75">
        <f>IF('BBG Verify'!Q328="","run on terminal",'BBG Verify'!Q328)</f>
        <v/>
      </c>
      <c r="BQ328" s="75">
        <f>IF('BBG Verify'!R328="","run on terminal",'BBG Verify'!R328)</f>
        <v/>
      </c>
      <c r="BR328" s="76" t="inlineStr">
        <is>
          <t>Hong Kong SAR CMB International Capital Limited</t>
        </is>
      </c>
      <c r="BS328" s="63" t="inlineStr">
        <is>
          <t>China International Capital Corporation Hong Kong Securities Limited; CMB International Capital Limited</t>
        </is>
      </c>
      <c r="BT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U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V328" s="78">
        <f>HYPERLINK("https://www1.hkexnews.hk/listedco/listconews/sehk/2025/0519/2025051900011.pdf","prospectus")</f>
        <v/>
      </c>
      <c r="BW328" s="78">
        <f>HYPERLINK("https://www1.hkexnews.hk/listedco/listconews/sehk/2025/0526/2025052601653.pdf","allotment")</f>
        <v/>
      </c>
      <c r="BX328" s="63" t="n"/>
      <c r="BY328" s="76" t="n"/>
      <c r="BZ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72" t="n">
        <v>-1.6</v>
      </c>
      <c r="AC329" s="66" t="n">
        <v>7.95</v>
      </c>
      <c r="AD329" s="72" t="n">
        <v>-16.86</v>
      </c>
      <c r="AE329" s="63" t="inlineStr">
        <is>
          <t>Y</t>
        </is>
      </c>
      <c r="AF329" s="63" t="inlineStr">
        <is>
          <t>lapsed</t>
        </is>
      </c>
      <c r="AG329" s="63" t="n"/>
      <c r="AH329" s="63" t="inlineStr">
        <is>
          <t>China International Capital Corporation Hong Kong Securities Limited</t>
        </is>
      </c>
      <c r="AI329" s="63" t="inlineStr">
        <is>
          <t>China International</t>
        </is>
      </c>
      <c r="AJ329" s="73" t="n">
        <v>-18.19</v>
      </c>
      <c r="AK329" s="72" t="n">
        <v>-7.18</v>
      </c>
      <c r="AL329" s="72" t="n">
        <v>-11.86</v>
      </c>
      <c r="AM329" s="72" t="n">
        <v>-33.04</v>
      </c>
      <c r="AN329" s="72" t="n">
        <v>-39.48</v>
      </c>
      <c r="AO329" s="72" t="n">
        <v>-41.83</v>
      </c>
      <c r="AP329" s="72" t="n">
        <v>-18.15</v>
      </c>
      <c r="AQ329" s="72" t="n">
        <v>-26.02</v>
      </c>
      <c r="AR329" s="72" t="n">
        <v>-28.9</v>
      </c>
      <c r="AS329" s="72" t="n">
        <v>-34.76</v>
      </c>
      <c r="AT329" s="72" t="n">
        <v>-46.16</v>
      </c>
      <c r="AU329" s="72" t="n">
        <v>-50.43</v>
      </c>
      <c r="AV329" s="72" t="n">
        <v>-32.84</v>
      </c>
      <c r="AW329" s="72" t="n">
        <v>6.68</v>
      </c>
      <c r="AX329" s="72" t="n">
        <v>6.82</v>
      </c>
      <c r="AY329" s="63" t="inlineStr">
        <is>
          <t>Hang Seng Finance sub-index</t>
        </is>
      </c>
      <c r="AZ329" s="72" t="n">
        <v>-65.66</v>
      </c>
      <c r="BA329" s="64" t="inlineStr">
        <is>
          <t>2026-08-28</t>
        </is>
      </c>
      <c r="BB329" s="65" t="n">
        <v>1525.8</v>
      </c>
      <c r="BC329" s="68" t="n">
        <v>-99.2</v>
      </c>
      <c r="BD329" s="63" t="inlineStr">
        <is>
          <t>N</t>
        </is>
      </c>
      <c r="BE329" s="63" t="inlineStr">
        <is>
          <t>n/m</t>
        </is>
      </c>
      <c r="BF329" s="74" t="n"/>
      <c r="BG329" s="74" t="n">
        <v>0.5</v>
      </c>
      <c r="BH329" s="74" t="n">
        <v>1.1</v>
      </c>
      <c r="BI329" s="75">
        <f>IF('BBG Verify'!S329="","not filed — run on terminal",'BBG Verify'!S329)</f>
        <v/>
      </c>
      <c r="BJ329" s="76" t="inlineStr">
        <is>
          <t>N</t>
        </is>
      </c>
      <c r="BK329" s="77">
        <f>IF('BBG Verify'!K329="","not filed — run on terminal",'BBG Verify'!K329)</f>
        <v/>
      </c>
      <c r="BL329" s="63" t="inlineStr">
        <is>
          <t>N/A</t>
        </is>
      </c>
      <c r="BM329" s="63" t="inlineStr">
        <is>
          <t>N/A</t>
        </is>
      </c>
      <c r="BN329" s="63" t="inlineStr">
        <is>
          <t>N/A</t>
        </is>
      </c>
      <c r="BO329" s="63" t="inlineStr">
        <is>
          <t>N/A</t>
        </is>
      </c>
      <c r="BP329" s="63" t="inlineStr">
        <is>
          <t>N/A</t>
        </is>
      </c>
      <c r="BQ329" s="63" t="inlineStr">
        <is>
          <t>N/A</t>
        </is>
      </c>
      <c r="BR329" s="76" t="inlineStr">
        <is>
          <t>Huatai Financial Holdings (Hong Kong) Limited</t>
        </is>
      </c>
      <c r="BS329" s="63" t="inlineStr">
        <is>
          <t>China International Capital Corporation Hong Kong Securities Limited; Huatai Financial Holdings (Hong Kong) Limited</t>
        </is>
      </c>
      <c r="BT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U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V329" s="78">
        <f>HYPERLINK("https://www1.hkexnews.hk/listedco/listconews/sehk/2025/0522/2025052200031.pdf","prospectus")</f>
        <v/>
      </c>
      <c r="BW329" s="78">
        <f>HYPERLINK("https://www1.hkexnews.hk/listedco/listconews/sehk/2025/0529/2025052902298.pdf","allotment")</f>
        <v/>
      </c>
      <c r="BX329" s="78">
        <f>HYPERLINK("https://www1.hkexnews.hk/listedco/listconews/sehk/2025/0626/2025062601818.pdf","stabilisation")</f>
        <v/>
      </c>
      <c r="BY329" s="76" t="n"/>
      <c r="BZ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72" t="n">
        <v>76</v>
      </c>
      <c r="AC330" s="66" t="n">
        <v>17.6</v>
      </c>
      <c r="AD330" s="72" t="n">
        <v>-19.32</v>
      </c>
      <c r="AE330" s="63" t="inlineStr">
        <is>
          <t>Y</t>
        </is>
      </c>
      <c r="AF330" s="63" t="inlineStr">
        <is>
          <t>lapsed</t>
        </is>
      </c>
      <c r="AG330" s="63" t="inlineStr">
        <is>
          <t>2025-07-05</t>
        </is>
      </c>
      <c r="AH330" s="63" t="inlineStr">
        <is>
          <t>Yue Xiu Securities Company Limited</t>
        </is>
      </c>
      <c r="AI330" s="63" t="inlineStr">
        <is>
          <t>Yue Xiu</t>
        </is>
      </c>
      <c r="AJ330" s="73" t="n">
        <v>42</v>
      </c>
      <c r="AK330" s="72" t="n">
        <v>66</v>
      </c>
      <c r="AL330" s="72" t="n">
        <v>-14.46</v>
      </c>
      <c r="AM330" s="72" t="n">
        <v>30</v>
      </c>
      <c r="AN330" s="72" t="n">
        <v>3</v>
      </c>
      <c r="AO330" s="72" t="n">
        <v>9.5</v>
      </c>
      <c r="AP330" s="72" t="n">
        <v>-8.449999999999999</v>
      </c>
      <c r="AQ330" s="72" t="n">
        <v>-27.46</v>
      </c>
      <c r="AR330" s="72" t="n">
        <v>-22.89</v>
      </c>
      <c r="AS330" s="72" t="n">
        <v>32.53</v>
      </c>
      <c r="AT330" s="72" t="n">
        <v>6.85</v>
      </c>
      <c r="AU330" s="72" t="n">
        <v>3.68</v>
      </c>
      <c r="AV330" s="72" t="n">
        <v>-24.34</v>
      </c>
      <c r="AW330" s="72" t="n">
        <v>-3.85</v>
      </c>
      <c r="AX330" s="72" t="n">
        <v>-3.12</v>
      </c>
      <c r="AY330" s="63" t="inlineStr">
        <is>
          <t>HSTECH (Hang Seng TECH ETF)</t>
        </is>
      </c>
      <c r="AZ330" s="72" t="n">
        <v>77</v>
      </c>
      <c r="BA330" s="64" t="inlineStr">
        <is>
          <t>2026-08-28</t>
        </is>
      </c>
      <c r="BB330" s="65" t="n">
        <v>385.1</v>
      </c>
      <c r="BC330" s="68" t="n">
        <v>45.5</v>
      </c>
      <c r="BD330" s="63" t="inlineStr">
        <is>
          <t>Y</t>
        </is>
      </c>
      <c r="BE330" s="74" t="n">
        <v>20.8</v>
      </c>
      <c r="BF330" s="74" t="n">
        <v>24.1</v>
      </c>
      <c r="BG330" s="74" t="n">
        <v>28.2</v>
      </c>
      <c r="BH330" s="74" t="n">
        <v>2.5</v>
      </c>
      <c r="BI330" s="75">
        <f>IF('BBG Verify'!S330="","not filed — run on terminal",'BBG Verify'!S330)</f>
        <v/>
      </c>
      <c r="BJ330" s="76" t="inlineStr">
        <is>
          <t>N</t>
        </is>
      </c>
      <c r="BK330" s="77">
        <f>IF('BBG Verify'!K330="","not filed — run on terminal",'BBG Verify'!K330)</f>
        <v/>
      </c>
      <c r="BL330" s="63" t="inlineStr">
        <is>
          <t>N/A</t>
        </is>
      </c>
      <c r="BM330" s="63" t="inlineStr">
        <is>
          <t>N/A</t>
        </is>
      </c>
      <c r="BN330" s="63" t="inlineStr">
        <is>
          <t>N/A</t>
        </is>
      </c>
      <c r="BO330" s="63" t="inlineStr">
        <is>
          <t>N/A</t>
        </is>
      </c>
      <c r="BP330" s="63" t="inlineStr">
        <is>
          <t>N/A</t>
        </is>
      </c>
      <c r="BQ330" s="63" t="inlineStr">
        <is>
          <t>N/A</t>
        </is>
      </c>
      <c r="BR330" s="76" t="inlineStr">
        <is>
          <t>Yue Xiu Capital Limited</t>
        </is>
      </c>
      <c r="BS330" s="63" t="inlineStr">
        <is>
          <t>Yue Xiu Capital Limited</t>
        </is>
      </c>
      <c r="BT330" s="63" t="inlineStr">
        <is>
          <t>Yue Xiu Securities Company Limited; ABCI CAPITAL LIMITED; ABCI SECURITIES COMPANY LIMITED</t>
        </is>
      </c>
      <c r="BU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V330" s="78">
        <f>HYPERLINK("https://www1.hkexnews.hk/listedco/listconews/sehk/2025/0530/2025053000009.pdf","prospectus")</f>
        <v/>
      </c>
      <c r="BW330" s="78">
        <f>HYPERLINK("https://www1.hkexnews.hk/listedco/listconews/sehk/2025/0609/2025060900996.pdf","allotment")</f>
        <v/>
      </c>
      <c r="BX330" s="78">
        <f>HYPERLINK("https://www1.hkexnews.hk/listedco/listconews/sehk/2025/0707/2025070700712.pdf","stabilisation")</f>
        <v/>
      </c>
      <c r="BY330" s="76" t="n"/>
      <c r="BZ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72" t="n">
        <v>72.5</v>
      </c>
      <c r="AC331" s="66" t="n">
        <v>32.6</v>
      </c>
      <c r="AD331" s="72" t="n">
        <v>-29.61</v>
      </c>
      <c r="AE331" s="63" t="inlineStr">
        <is>
          <t>Y</t>
        </is>
      </c>
      <c r="AF331" s="63" t="n"/>
      <c r="AG331" s="63" t="n"/>
      <c r="AH331" s="63" t="inlineStr">
        <is>
          <t>CMBC Securities Company Limited</t>
        </is>
      </c>
      <c r="AI331" s="63" t="inlineStr">
        <is>
          <t>CMBC</t>
        </is>
      </c>
      <c r="AJ331" s="73" t="n">
        <v>21.43</v>
      </c>
      <c r="AK331" s="72" t="n">
        <v>60.05</v>
      </c>
      <c r="AL331" s="72" t="n">
        <v>-24.13</v>
      </c>
      <c r="AM331" s="72" t="n">
        <v>-16.83</v>
      </c>
      <c r="AN331" s="72" t="n">
        <v>-34.6</v>
      </c>
      <c r="AO331" s="72" t="n">
        <v>-34.92</v>
      </c>
      <c r="AP331" s="72" t="n">
        <v>-31.51</v>
      </c>
      <c r="AQ331" s="72" t="n">
        <v>-46.14</v>
      </c>
      <c r="AR331" s="72" t="n">
        <v>-46.41</v>
      </c>
      <c r="AS331" s="72" t="n">
        <v>-14.92</v>
      </c>
      <c r="AT331" s="72" t="n">
        <v>-30.78</v>
      </c>
      <c r="AU331" s="72" t="n">
        <v>-41.55</v>
      </c>
      <c r="AV331" s="72" t="n">
        <v>-42.72</v>
      </c>
      <c r="AW331" s="72" t="n">
        <v>-3.82</v>
      </c>
      <c r="AX331" s="72" t="n">
        <v>-3.42</v>
      </c>
      <c r="AY331" s="63" t="inlineStr">
        <is>
          <t>Hang Seng Commerce &amp; Industry sub-index</t>
        </is>
      </c>
      <c r="AZ331" s="72" t="n">
        <v>-69.68000000000001</v>
      </c>
      <c r="BA331" s="64" t="inlineStr">
        <is>
          <t>2026-08-28</t>
        </is>
      </c>
      <c r="BB331" s="65" t="n">
        <v>625.8</v>
      </c>
      <c r="BC331" s="68" t="n">
        <v>47.7</v>
      </c>
      <c r="BD331" s="63" t="inlineStr">
        <is>
          <t>Y</t>
        </is>
      </c>
      <c r="BE331" s="74" t="n">
        <v>38.1</v>
      </c>
      <c r="BF331" s="74" t="n">
        <v>41.2</v>
      </c>
      <c r="BG331" s="74" t="n">
        <v>35</v>
      </c>
      <c r="BH331" s="74" t="n">
        <v>2.9</v>
      </c>
      <c r="BI331" s="75">
        <f>IF('BBG Verify'!S331="","not filed — run on terminal",'BBG Verify'!S331)</f>
        <v/>
      </c>
      <c r="BJ331" s="76" t="inlineStr">
        <is>
          <t>N</t>
        </is>
      </c>
      <c r="BK331" s="77">
        <f>IF('BBG Verify'!K331="","not filed — run on terminal",'BBG Verify'!K331)</f>
        <v/>
      </c>
      <c r="BL331" s="63" t="inlineStr">
        <is>
          <t>N/A</t>
        </is>
      </c>
      <c r="BM331" s="63" t="inlineStr">
        <is>
          <t>N/A</t>
        </is>
      </c>
      <c r="BN331" s="63" t="inlineStr">
        <is>
          <t>N/A</t>
        </is>
      </c>
      <c r="BO331" s="63" t="inlineStr">
        <is>
          <t>N/A</t>
        </is>
      </c>
      <c r="BP331" s="63" t="inlineStr">
        <is>
          <t>N/A</t>
        </is>
      </c>
      <c r="BQ331" s="63" t="inlineStr">
        <is>
          <t>N/A</t>
        </is>
      </c>
      <c r="BR331" s="76" t="inlineStr">
        <is>
          <t>CMBC International Capital Limited</t>
        </is>
      </c>
      <c r="BS331" s="63" t="inlineStr">
        <is>
          <t>CMBC International Capital Limited</t>
        </is>
      </c>
      <c r="BT331" s="63" t="inlineStr">
        <is>
          <t>China Industrial Securities International Capital Limited; Guosen Securities (HK) Capital Company Limited; ABCI Capital Limited</t>
        </is>
      </c>
      <c r="BU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V331" s="78">
        <f>HYPERLINK("https://www1.hkexnews.hk/listedco/listconews/sehk/2025/0530/2025053000073.pdf","prospectus")</f>
        <v/>
      </c>
      <c r="BW331" s="78">
        <f>HYPERLINK("https://www1.hkexnews.hk/listedco/listconews/sehk/2025/0609/2025060901156.pdf","allotment")</f>
        <v/>
      </c>
      <c r="BX331" s="63" t="n"/>
      <c r="BY331" s="76" t="n"/>
      <c r="BZ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72" t="n">
        <v>-14.8</v>
      </c>
      <c r="AC332" s="66" t="n">
        <v>8.31</v>
      </c>
      <c r="AD332" s="72" t="n">
        <v>-18.15</v>
      </c>
      <c r="AE332" s="63" t="inlineStr">
        <is>
          <t>Y</t>
        </is>
      </c>
      <c r="AF332" s="63" t="n"/>
      <c r="AG332" s="63" t="n"/>
      <c r="AH332" s="63" t="n"/>
      <c r="AI332" s="63" t="n"/>
      <c r="AJ332" s="73" t="n">
        <v>-30.26</v>
      </c>
      <c r="AK332" s="72" t="n">
        <v>-22.05</v>
      </c>
      <c r="AL332" s="72" t="n">
        <v>-10.53</v>
      </c>
      <c r="AM332" s="72" t="n">
        <v>-29.95</v>
      </c>
      <c r="AN332" s="72" t="n">
        <v>-37.85</v>
      </c>
      <c r="AO332" s="72" t="n">
        <v>-49.64</v>
      </c>
      <c r="AP332" s="72" t="n">
        <v>0.44</v>
      </c>
      <c r="AQ332" s="72" t="n">
        <v>-10.88</v>
      </c>
      <c r="AR332" s="72" t="n">
        <v>-27.79</v>
      </c>
      <c r="AS332" s="72" t="n">
        <v>-27.42</v>
      </c>
      <c r="AT332" s="72" t="n">
        <v>-34</v>
      </c>
      <c r="AU332" s="72" t="n">
        <v>-55.46</v>
      </c>
      <c r="AV332" s="72" t="n">
        <v>-7.76</v>
      </c>
      <c r="AW332" s="72" t="n">
        <v>-3.85</v>
      </c>
      <c r="AX332" s="72" t="n">
        <v>-3.12</v>
      </c>
      <c r="AY332" s="63" t="inlineStr">
        <is>
          <t>HSTECH (Hang Seng TECH ETF)</t>
        </is>
      </c>
      <c r="AZ332" s="72" t="n">
        <v>-86.67</v>
      </c>
      <c r="BA332" s="64" t="inlineStr">
        <is>
          <t>2026-08-28</t>
        </is>
      </c>
      <c r="BB332" s="65" t="n">
        <v>226.8</v>
      </c>
      <c r="BC332" s="68" t="n">
        <v>-28.8</v>
      </c>
      <c r="BD332" s="63" t="inlineStr">
        <is>
          <t>N</t>
        </is>
      </c>
      <c r="BE332" s="63" t="inlineStr">
        <is>
          <t>n/m</t>
        </is>
      </c>
      <c r="BF332" s="74" t="n"/>
      <c r="BG332" s="74" t="n"/>
      <c r="BH332" s="74" t="n">
        <v>6.6</v>
      </c>
      <c r="BI332" s="75">
        <f>IF('BBG Verify'!S332="","not filed — run on terminal",'BBG Verify'!S332)</f>
        <v/>
      </c>
      <c r="BJ332" s="76" t="inlineStr">
        <is>
          <t>N</t>
        </is>
      </c>
      <c r="BK332" s="77">
        <f>IF('BBG Verify'!K332="","not filed — run on terminal",'BBG Verify'!K332)</f>
        <v/>
      </c>
      <c r="BL332" s="63" t="inlineStr">
        <is>
          <t>N/A</t>
        </is>
      </c>
      <c r="BM332" s="63" t="inlineStr">
        <is>
          <t>N/A</t>
        </is>
      </c>
      <c r="BN332" s="63" t="inlineStr">
        <is>
          <t>N/A</t>
        </is>
      </c>
      <c r="BO332" s="63" t="inlineStr">
        <is>
          <t>N/A</t>
        </is>
      </c>
      <c r="BP332" s="63" t="inlineStr">
        <is>
          <t>N/A</t>
        </is>
      </c>
      <c r="BQ332" s="63" t="inlineStr">
        <is>
          <t>N/A</t>
        </is>
      </c>
      <c r="BR332" s="76" t="inlineStr">
        <is>
          <t>China International Capital Corporation Hong Kong Securities Limited</t>
        </is>
      </c>
      <c r="BS332" s="63" t="inlineStr">
        <is>
          <t>China International Capital Corporation Hong Kong Securities Limited</t>
        </is>
      </c>
      <c r="BT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U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V332" s="78">
        <f>HYPERLINK("https://www1.hkexnews.hk/listedco/listconews/sehk/2025/0602/2025060200008.pdf","prospectus")</f>
        <v/>
      </c>
      <c r="BW332" s="78">
        <f>HYPERLINK("https://www1.hkexnews.hk/listedco/listconews/sehk/2025/0609/2025060901376.pdf","allotment")</f>
        <v/>
      </c>
      <c r="BX332" s="63" t="n"/>
      <c r="BY332" s="76" t="n"/>
      <c r="BZ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72" t="n"/>
      <c r="AC333" s="66" t="n"/>
      <c r="AD333" s="72" t="n"/>
      <c r="AE333" s="63" t="n"/>
      <c r="AF333" s="63" t="inlineStr">
        <is>
          <t>partial</t>
        </is>
      </c>
      <c r="AG333" s="63" t="inlineStr">
        <is>
          <t>2025-07-16</t>
        </is>
      </c>
      <c r="AH333" s="63" t="inlineStr">
        <is>
          <t>China International Capital Corporation Hong Kong Securities Limited</t>
        </is>
      </c>
      <c r="AI333" s="63" t="inlineStr">
        <is>
          <t>China International</t>
        </is>
      </c>
      <c r="AJ333" s="73" t="n">
        <v>0.55</v>
      </c>
      <c r="AK333" s="72" t="n">
        <v>3.31</v>
      </c>
      <c r="AL333" s="72" t="n">
        <v>-2.67</v>
      </c>
      <c r="AM333" s="72" t="n">
        <v>-3.44</v>
      </c>
      <c r="AN333" s="72" t="n">
        <v>-1.65</v>
      </c>
      <c r="AO333" s="72" t="n">
        <v>-6.5</v>
      </c>
      <c r="AP333" s="72" t="n">
        <v>-3.97</v>
      </c>
      <c r="AQ333" s="72" t="n">
        <v>-2.19</v>
      </c>
      <c r="AR333" s="72" t="n">
        <v>-7.01</v>
      </c>
      <c r="AS333" s="72" t="n">
        <v>-4.73</v>
      </c>
      <c r="AT333" s="72" t="n">
        <v>-7.14</v>
      </c>
      <c r="AU333" s="72" t="n">
        <v>-23.57</v>
      </c>
      <c r="AV333" s="72" t="n">
        <v>-10.05</v>
      </c>
      <c r="AW333" s="72" t="n">
        <v>5.49</v>
      </c>
      <c r="AX333" s="72" t="n">
        <v>7.86</v>
      </c>
      <c r="AY333" s="63" t="inlineStr">
        <is>
          <t>Hang Seng Commerce &amp; Industry sub-index</t>
        </is>
      </c>
      <c r="AZ333" s="72" t="n">
        <v>-20.99</v>
      </c>
      <c r="BA333" s="64" t="inlineStr">
        <is>
          <t>2026-08-28</t>
        </is>
      </c>
      <c r="BB333" s="65" t="n">
        <v>29591.1</v>
      </c>
      <c r="BC333" s="68" t="n">
        <v>6991.4</v>
      </c>
      <c r="BD333" s="63" t="inlineStr">
        <is>
          <t>Y</t>
        </is>
      </c>
      <c r="BE333" s="74" t="n">
        <v>26.5</v>
      </c>
      <c r="BF333" s="74" t="n">
        <v>29.3</v>
      </c>
      <c r="BG333" s="74" t="n">
        <v>22.3</v>
      </c>
      <c r="BH333" s="74" t="n">
        <v>6.3</v>
      </c>
      <c r="BI333" s="75">
        <f>IF('BBG Verify'!S333="","not filed — run on terminal",'BBG Verify'!S333)</f>
        <v/>
      </c>
      <c r="BJ333" s="76" t="inlineStr">
        <is>
          <t>Y</t>
        </is>
      </c>
      <c r="BK333" s="63" t="inlineStr">
        <is>
          <t>603288.SS</t>
        </is>
      </c>
      <c r="BL333" s="72" t="n">
        <v>21.07</v>
      </c>
      <c r="BM333" s="66" t="n">
        <v>43.9481</v>
      </c>
      <c r="BN333" s="80" t="n">
        <v>0.393</v>
      </c>
      <c r="BO333" s="68" t="n">
        <v>229610.9</v>
      </c>
      <c r="BP333" s="75">
        <f>IF('BBG Verify'!Q333="","run on terminal",'BBG Verify'!Q333)</f>
        <v/>
      </c>
      <c r="BQ333" s="75">
        <f>IF('BBG Verify'!R333="","run on terminal",'BBG Verify'!R333)</f>
        <v/>
      </c>
      <c r="BR333" s="76" t="inlineStr">
        <is>
          <t>China International Capital Corporation Hong Kong Securities Limited; Goldman Sachs (Asia) L.L.C; Morgan Stanley Asia Limited</t>
        </is>
      </c>
      <c r="BS333" s="63" t="inlineStr">
        <is>
          <t>China International Capital Corporation Hong Kong Securities Limited; Morgan Stanley Asia Limited; Goldman Sachs (Asia) L.L.C.</t>
        </is>
      </c>
      <c r="BT333" s="63" t="inlineStr">
        <is>
          <t>ABCI Securities Company Limited</t>
        </is>
      </c>
      <c r="BU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V333" s="78">
        <f>HYPERLINK("https://www1.hkexnews.hk/listedco/listconews/sehk/2025/0611/2025061100017.pdf","prospectus")</f>
        <v/>
      </c>
      <c r="BW333" s="78">
        <f>HYPERLINK("https://www1.hkexnews.hk/listedco/listconews/sehk/2025/0618/2025061801931.pdf","allotment")</f>
        <v/>
      </c>
      <c r="BX333" s="78">
        <f>HYPERLINK("https://www1.hkexnews.hk/listedco/listconews/sehk/2025/0717/2025071700201.pdf","stabilisation")</f>
        <v/>
      </c>
      <c r="BY333" s="76" t="n"/>
      <c r="BZ333" s="63" t="inlineStr">
        <is>
          <t>A/H: Jun 2025, ~US$1.3bn; condiments leader · grey market: no grey-market headline on file for this deal — AAStocks publishes one per listing but keeps only recent items on the stock's news page, and no public archive of past evening sessions exists; captured from this run onward</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72" t="n"/>
      <c r="AC334" s="66" t="n"/>
      <c r="AD334" s="72" t="n"/>
      <c r="AE334" s="63" t="n"/>
      <c r="AF334" s="63" t="n"/>
      <c r="AG334" s="63" t="n"/>
      <c r="AH334" s="63" t="n"/>
      <c r="AI334" s="63" t="n"/>
      <c r="AJ334" s="73" t="n">
        <v>42.18</v>
      </c>
      <c r="AK334" s="72" t="n">
        <v>24.41</v>
      </c>
      <c r="AL334" s="72" t="n">
        <v>14.28</v>
      </c>
      <c r="AM334" s="72" t="n">
        <v>46.21</v>
      </c>
      <c r="AN334" s="72" t="n">
        <v>57.11</v>
      </c>
      <c r="AO334" s="72" t="n">
        <v>91.94</v>
      </c>
      <c r="AP334" s="72" t="n">
        <v>2.83</v>
      </c>
      <c r="AQ334" s="72" t="n">
        <v>10.5</v>
      </c>
      <c r="AR334" s="72" t="n">
        <v>35</v>
      </c>
      <c r="AS334" s="72" t="n">
        <v>43.69</v>
      </c>
      <c r="AT334" s="72" t="n">
        <v>39.85</v>
      </c>
      <c r="AU334" s="72" t="n">
        <v>59.77</v>
      </c>
      <c r="AV334" s="72" t="n">
        <v>-4.99</v>
      </c>
      <c r="AW334" s="72" t="n">
        <v>17.26</v>
      </c>
      <c r="AX334" s="72" t="n">
        <v>15.49</v>
      </c>
      <c r="AY334" s="63" t="inlineStr">
        <is>
          <t>China Biotech ETF (HS biotech proxy)</t>
        </is>
      </c>
      <c r="AZ334" s="72" t="n">
        <v>-22.99</v>
      </c>
      <c r="BA334" s="64" t="inlineStr">
        <is>
          <t>2026-08-28</t>
        </is>
      </c>
      <c r="BB334" s="65" t="n">
        <v>1307.7</v>
      </c>
      <c r="BC334" s="68" t="n">
        <v>-3.9</v>
      </c>
      <c r="BD334" s="63" t="inlineStr">
        <is>
          <t>N</t>
        </is>
      </c>
      <c r="BE334" s="63" t="inlineStr">
        <is>
          <t>n/m</t>
        </is>
      </c>
      <c r="BF334" s="74" t="n"/>
      <c r="BG334" s="74" t="n"/>
      <c r="BH334" s="74" t="n">
        <v>4.3</v>
      </c>
      <c r="BI334" s="75">
        <f>IF('BBG Verify'!S334="","not filed — run on terminal",'BBG Verify'!S334)</f>
        <v/>
      </c>
      <c r="BJ334" s="76" t="inlineStr">
        <is>
          <t>N</t>
        </is>
      </c>
      <c r="BK334" s="77">
        <f>IF('BBG Verify'!K334="","not filed — run on terminal",'BBG Verify'!K334)</f>
        <v/>
      </c>
      <c r="BL334" s="63" t="inlineStr">
        <is>
          <t>N/A</t>
        </is>
      </c>
      <c r="BM334" s="63" t="inlineStr">
        <is>
          <t>N/A</t>
        </is>
      </c>
      <c r="BN334" s="63" t="inlineStr">
        <is>
          <t>N/A</t>
        </is>
      </c>
      <c r="BO334" s="63" t="inlineStr">
        <is>
          <t>N/A</t>
        </is>
      </c>
      <c r="BP334" s="63" t="inlineStr">
        <is>
          <t>N/A</t>
        </is>
      </c>
      <c r="BQ334" s="63" t="inlineStr">
        <is>
          <t>N/A</t>
        </is>
      </c>
      <c r="BR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S334" s="63" t="inlineStr">
        <is>
          <t>CMB International Capital Limited</t>
        </is>
      </c>
      <c r="BT334" s="63" t="inlineStr">
        <is>
          <t>CMB International Capital Limited; Futu Securities International (Hong Kong) Limited</t>
        </is>
      </c>
      <c r="BU334" s="63" t="inlineStr">
        <is>
          <t>CMB International Capital Limited; Futu Securities International (Hong Kong) Limited</t>
        </is>
      </c>
      <c r="BV334" s="78">
        <f>HYPERLINK("https://www1.hkexnews.hk/listedco/listconews/sehk/2025/0613/2025061300019.pdf","prospectus")</f>
        <v/>
      </c>
      <c r="BW334" s="78">
        <f>HYPERLINK("https://www1.hkexnews.hk/listedco/listconews/sehk/2025/0620/2025062001890.pdf","allotment")</f>
        <v/>
      </c>
      <c r="BX334" s="63" t="n"/>
      <c r="BY334" s="76" t="n"/>
      <c r="BZ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72" t="n"/>
      <c r="AC335" s="66" t="n"/>
      <c r="AD335" s="72" t="n"/>
      <c r="AE335" s="63" t="n"/>
      <c r="AF335" s="63" t="inlineStr">
        <is>
          <t>full</t>
        </is>
      </c>
      <c r="AG335" s="63" t="inlineStr">
        <is>
          <t>2025-07-18</t>
        </is>
      </c>
      <c r="AH335" s="63" t="inlineStr">
        <is>
          <t>China International Capital Corporation Hong Kong Securities Limited</t>
        </is>
      </c>
      <c r="AI335" s="63" t="inlineStr">
        <is>
          <t>China International</t>
        </is>
      </c>
      <c r="AJ335" s="73" t="n">
        <v>-0.13</v>
      </c>
      <c r="AK335" s="72" t="n">
        <v>-7.01</v>
      </c>
      <c r="AL335" s="72" t="n">
        <v>7.4</v>
      </c>
      <c r="AM335" s="72" t="n">
        <v>11.63</v>
      </c>
      <c r="AN335" s="72" t="n">
        <v>26.5</v>
      </c>
      <c r="AO335" s="72" t="n">
        <v>70.34999999999999</v>
      </c>
      <c r="AP335" s="72" t="n">
        <v>11.78</v>
      </c>
      <c r="AQ335" s="72" t="n">
        <v>26.66</v>
      </c>
      <c r="AR335" s="72" t="n">
        <v>70.56999999999999</v>
      </c>
      <c r="AS335" s="72" t="n">
        <v>9.550000000000001</v>
      </c>
      <c r="AT335" s="72" t="n">
        <v>16.87</v>
      </c>
      <c r="AU335" s="72" t="n">
        <v>52.99</v>
      </c>
      <c r="AV335" s="72" t="n">
        <v>17.67</v>
      </c>
      <c r="AW335" s="72" t="n">
        <v>9.630000000000001</v>
      </c>
      <c r="AX335" s="72" t="n">
        <v>8.99</v>
      </c>
      <c r="AY335" s="63" t="inlineStr">
        <is>
          <t>Hang Seng Commerce &amp; Industry sub-index</t>
        </is>
      </c>
      <c r="AZ335" s="72" t="n">
        <v>13.8</v>
      </c>
      <c r="BA335" s="64" t="inlineStr">
        <is>
          <t>2026-08-28</t>
        </is>
      </c>
      <c r="BB335" s="65" t="n">
        <v>30741.9</v>
      </c>
      <c r="BC335" s="68" t="n">
        <v>3422.9</v>
      </c>
      <c r="BD335" s="63" t="inlineStr">
        <is>
          <t>Y</t>
        </is>
      </c>
      <c r="BE335" s="74" t="n">
        <v>27.3</v>
      </c>
      <c r="BF335" s="74" t="n">
        <v>24.5</v>
      </c>
      <c r="BG335" s="74" t="n">
        <v>22.5</v>
      </c>
      <c r="BH335" s="74" t="n">
        <v>3</v>
      </c>
      <c r="BI335" s="75">
        <f>IF('BBG Verify'!S335="","not filed — run on terminal",'BBG Verify'!S335)</f>
        <v/>
      </c>
      <c r="BJ335" s="76" t="inlineStr">
        <is>
          <t>Y</t>
        </is>
      </c>
      <c r="BK335" s="63" t="inlineStr">
        <is>
          <t>002050.SZ</t>
        </is>
      </c>
      <c r="BL335" s="72" t="n">
        <v>20.9</v>
      </c>
      <c r="BM335" s="66" t="n">
        <v>27.2396</v>
      </c>
      <c r="BN335" s="80" t="n">
        <v>0.6844</v>
      </c>
      <c r="BO335" s="68" t="n">
        <v>178244</v>
      </c>
      <c r="BP335" s="75">
        <f>IF('BBG Verify'!Q335="","run on terminal",'BBG Verify'!Q335)</f>
        <v/>
      </c>
      <c r="BQ335" s="75">
        <f>IF('BBG Verify'!R335="","run on terminal",'BBG Verify'!R335)</f>
        <v/>
      </c>
      <c r="BR335" s="76" t="inlineStr">
        <is>
          <t>China International Capital Corporation Hong Kong Securities Limited; Huatai Financial Holdings (Hong Kong) Limited</t>
        </is>
      </c>
      <c r="BS335" s="63" t="inlineStr">
        <is>
          <t>China International Capital Corporation Hong Kong Securities Limited; Huatai Financial Holdings (Hong Kong) Limited</t>
        </is>
      </c>
      <c r="BT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U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V335" s="78">
        <f>HYPERLINK("https://www1.hkexnews.hk/listedco/listconews/sehk/2025/0613/2025061300017.pdf","prospectus")</f>
        <v/>
      </c>
      <c r="BW335" s="78">
        <f>HYPERLINK("https://www1.hkexnews.hk/listedco/listconews/sehk/2025/0620/2025062002236.pdf","allotment")</f>
        <v/>
      </c>
      <c r="BX335" s="78">
        <f>HYPERLINK("https://www1.hkexnews.hk/listedco/listconews/sehk/2025/0718/2025071801258.pdf","stabilisation")</f>
        <v/>
      </c>
      <c r="BY335" s="76" t="n"/>
      <c r="BZ335" s="63" t="inlineStr">
        <is>
          <t>range low: cap-only pricing — the filing publishes a Maximum Offer Price and no indicative floor · A/H: Jun 2025 H listing (thermal management/humanoid actuators) · grey market: no grey-market headline on file for this deal — AAStocks publishes one per listing but keeps only recent items on the stock's news page, and no public archive of past evening sessions exists; captured from this run onward</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72" t="n"/>
      <c r="AC336" s="66" t="n"/>
      <c r="AD336" s="72" t="n"/>
      <c r="AE336" s="63" t="n"/>
      <c r="AF336" s="63" t="n"/>
      <c r="AG336" s="63" t="inlineStr">
        <is>
          <t>2025-07-18</t>
        </is>
      </c>
      <c r="AH336" s="63" t="inlineStr">
        <is>
          <t>CLSA Limited</t>
        </is>
      </c>
      <c r="AI336" s="63" t="inlineStr">
        <is>
          <t>CLSA</t>
        </is>
      </c>
      <c r="AJ336" s="73" t="n">
        <v>78.70999999999999</v>
      </c>
      <c r="AK336" s="72" t="n">
        <v>64.64</v>
      </c>
      <c r="AL336" s="72" t="n">
        <v>8.550000000000001</v>
      </c>
      <c r="AM336" s="72" t="n">
        <v>129.28</v>
      </c>
      <c r="AN336" s="72" t="n">
        <v>138.78</v>
      </c>
      <c r="AO336" s="72" t="n">
        <v>1039.92</v>
      </c>
      <c r="AP336" s="72" t="n">
        <v>28.3</v>
      </c>
      <c r="AQ336" s="72" t="n">
        <v>33.61</v>
      </c>
      <c r="AR336" s="72" t="n">
        <v>537.86</v>
      </c>
      <c r="AS336" s="72" t="n">
        <v>126.76</v>
      </c>
      <c r="AT336" s="72" t="n">
        <v>121.52</v>
      </c>
      <c r="AU336" s="72" t="n">
        <v>1007.75</v>
      </c>
      <c r="AV336" s="72" t="n">
        <v>18.12</v>
      </c>
      <c r="AW336" s="72" t="n">
        <v>17.26</v>
      </c>
      <c r="AX336" s="72" t="n">
        <v>15.49</v>
      </c>
      <c r="AY336" s="63" t="inlineStr">
        <is>
          <t>China Biotech ETF (HS biotech proxy)</t>
        </is>
      </c>
      <c r="AZ336" s="72" t="n">
        <v>-20.91</v>
      </c>
      <c r="BA336" s="64" t="inlineStr">
        <is>
          <t>2026-08-28</t>
        </is>
      </c>
      <c r="BB336" s="65" t="n">
        <v>1.3</v>
      </c>
      <c r="BC336" s="68" t="n">
        <v>-377.7</v>
      </c>
      <c r="BD336" s="63" t="inlineStr">
        <is>
          <t>N</t>
        </is>
      </c>
      <c r="BE336" s="63" t="inlineStr">
        <is>
          <t>n/m</t>
        </is>
      </c>
      <c r="BF336" s="74" t="n"/>
      <c r="BG336" s="74" t="n"/>
      <c r="BH336" s="74" t="n">
        <v>4014.8</v>
      </c>
      <c r="BI336" s="75">
        <f>IF('BBG Verify'!S336="","not filed — run on terminal",'BBG Verify'!S336)</f>
        <v/>
      </c>
      <c r="BJ336" s="76" t="inlineStr">
        <is>
          <t>N</t>
        </is>
      </c>
      <c r="BK336" s="77">
        <f>IF('BBG Verify'!K336="","not filed — run on terminal",'BBG Verify'!K336)</f>
        <v/>
      </c>
      <c r="BL336" s="63" t="inlineStr">
        <is>
          <t>N/A</t>
        </is>
      </c>
      <c r="BM336" s="63" t="inlineStr">
        <is>
          <t>N/A</t>
        </is>
      </c>
      <c r="BN336" s="63" t="inlineStr">
        <is>
          <t>N/A</t>
        </is>
      </c>
      <c r="BO336" s="63" t="inlineStr">
        <is>
          <t>N/A</t>
        </is>
      </c>
      <c r="BP336" s="63" t="inlineStr">
        <is>
          <t>N/A</t>
        </is>
      </c>
      <c r="BQ336" s="63" t="inlineStr">
        <is>
          <t>N/A</t>
        </is>
      </c>
      <c r="BR336" s="76" t="inlineStr">
        <is>
          <t>(In no particular order) CITIC Securities (Hong Kong) Limited; Huatai Financial Holdings (Hong Kong) Limited</t>
        </is>
      </c>
      <c r="BS336" s="63" t="inlineStr">
        <is>
          <t>Huatai Financial Holdings (Hong Kong) Limited; CITIC Securities (Hong Kong) Limited</t>
        </is>
      </c>
      <c r="BT336" s="63" t="inlineStr">
        <is>
          <t>CLSA Limited; Huatai Financial Holdings (Hong Kong) Limited; BOCI Asia Limited; CMB International Capital Limited; SPDB International Capital Limited; TradeGo Markets Limited</t>
        </is>
      </c>
      <c r="BU336" s="63" t="inlineStr">
        <is>
          <t>BOCI Asia Limited; BOCOM International Securities Limited; CLSA Limited; CMB International Capital Limited; Huatai Financial Holdings (Hong Kong) Limited; SPDB International Capital Limited; TradeGo Markets Limited</t>
        </is>
      </c>
      <c r="BV336" s="78">
        <f>HYPERLINK("https://www1.hkexnews.hk/listedco/listconews/sehk/2025/0613/2025061300035.pdf","prospectus")</f>
        <v/>
      </c>
      <c r="BW336" s="78">
        <f>HYPERLINK("https://www1.hkexnews.hk/listedco/listconews/sehk/2025/0620/2025062002274.pdf","allotment")</f>
        <v/>
      </c>
      <c r="BX336" s="63" t="n"/>
      <c r="BY336" s="76" t="n"/>
      <c r="BZ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72" t="n">
        <v>-4.9</v>
      </c>
      <c r="AC337" s="66" t="n">
        <v>2.72</v>
      </c>
      <c r="AD337" s="72" t="n">
        <v>-7.35</v>
      </c>
      <c r="AE337" s="63" t="inlineStr">
        <is>
          <t>Y</t>
        </is>
      </c>
      <c r="AF337" s="63" t="n"/>
      <c r="AG337" s="63" t="n"/>
      <c r="AH337" s="63" t="inlineStr">
        <is>
          <t>Sinolink Securities</t>
        </is>
      </c>
      <c r="AI337" s="63" t="inlineStr">
        <is>
          <t>Sinolink</t>
        </is>
      </c>
      <c r="AJ337" s="73" t="n">
        <v>-11.89</v>
      </c>
      <c r="AK337" s="72" t="n">
        <v>-7.34</v>
      </c>
      <c r="AL337" s="72" t="n">
        <v>-4.91</v>
      </c>
      <c r="AM337" s="72" t="n">
        <v>-18.53</v>
      </c>
      <c r="AN337" s="72" t="n">
        <v>-16.08</v>
      </c>
      <c r="AO337" s="72" t="n">
        <v>-31.82</v>
      </c>
      <c r="AP337" s="72" t="n">
        <v>-7.54</v>
      </c>
      <c r="AQ337" s="72" t="n">
        <v>-4.76</v>
      </c>
      <c r="AR337" s="72" t="n">
        <v>-22.62</v>
      </c>
      <c r="AS337" s="72" t="n">
        <v>-17.47</v>
      </c>
      <c r="AT337" s="72" t="n">
        <v>-23.2</v>
      </c>
      <c r="AU337" s="72" t="n">
        <v>-48.07</v>
      </c>
      <c r="AV337" s="72" t="n">
        <v>-10.76</v>
      </c>
      <c r="AW337" s="72" t="n">
        <v>7.12</v>
      </c>
      <c r="AX337" s="72" t="n">
        <v>6</v>
      </c>
      <c r="AY337" s="63" t="inlineStr">
        <is>
          <t>HSTECH (Hang Seng TECH ETF)</t>
        </is>
      </c>
      <c r="AZ337" s="72" t="n">
        <v>-55.24</v>
      </c>
      <c r="BA337" s="64" t="inlineStr">
        <is>
          <t>2026-08-28</t>
        </is>
      </c>
      <c r="BB337" s="65" t="n">
        <v>1651.7</v>
      </c>
      <c r="BC337" s="68" t="n">
        <v>154.5</v>
      </c>
      <c r="BD337" s="63" t="inlineStr">
        <is>
          <t>Y</t>
        </is>
      </c>
      <c r="BE337" s="74" t="n">
        <v>5.1</v>
      </c>
      <c r="BF337" s="74" t="n">
        <v>3.3</v>
      </c>
      <c r="BG337" s="74" t="n">
        <v>5.3</v>
      </c>
      <c r="BH337" s="74" t="n">
        <v>0.5</v>
      </c>
      <c r="BI337" s="75">
        <f>IF('BBG Verify'!S337="","not filed — run on terminal",'BBG Verify'!S337)</f>
        <v/>
      </c>
      <c r="BJ337" s="76" t="inlineStr">
        <is>
          <t>N</t>
        </is>
      </c>
      <c r="BK337" s="77">
        <f>IF('BBG Verify'!K337="","not filed — run on terminal",'BBG Verify'!K337)</f>
        <v/>
      </c>
      <c r="BL337" s="63" t="inlineStr">
        <is>
          <t>N/A</t>
        </is>
      </c>
      <c r="BM337" s="63" t="inlineStr">
        <is>
          <t>N/A</t>
        </is>
      </c>
      <c r="BN337" s="63" t="inlineStr">
        <is>
          <t>N/A</t>
        </is>
      </c>
      <c r="BO337" s="63" t="inlineStr">
        <is>
          <t>N/A</t>
        </is>
      </c>
      <c r="BP337" s="63" t="inlineStr">
        <is>
          <t>N/A</t>
        </is>
      </c>
      <c r="BQ337" s="63" t="inlineStr">
        <is>
          <t>N/A</t>
        </is>
      </c>
      <c r="BR337" s="76" t="n"/>
      <c r="BS337" s="63" t="inlineStr">
        <is>
          <t>Sinolink Securities (Hong Kong) Company Limited</t>
        </is>
      </c>
      <c r="BT337" s="63" t="inlineStr">
        <is>
          <t>ABCI Securities Company Limited; CCB International Capital Limited; CMBC Securities Company Limited; CMB International Capital Limited; First Fidelity Capital (International) Limited; 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V337" s="78">
        <f>HYPERLINK("https://www1.hkexnews.hk/listedco/listconews/sehk/2025/0617/2025061700043.pdf","prospectus")</f>
        <v/>
      </c>
      <c r="BW337" s="78">
        <f>HYPERLINK("https://www1.hkexnews.hk/listedco/listconews/sehk/2025/0624/2025062401168.pdf","allotment")</f>
        <v/>
      </c>
      <c r="BX337" s="63" t="n"/>
      <c r="BY337" s="76" t="n"/>
      <c r="BZ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72" t="n"/>
      <c r="AC338" s="66" t="n"/>
      <c r="AD338" s="72" t="n"/>
      <c r="AE338" s="63" t="n"/>
      <c r="AF338" s="63" t="inlineStr">
        <is>
          <t>partial</t>
        </is>
      </c>
      <c r="AG338" s="63" t="n"/>
      <c r="AH338" s="63" t="inlineStr">
        <is>
          <t>GF Securities</t>
        </is>
      </c>
      <c r="AI338" s="63" t="inlineStr">
        <is>
          <t>GF</t>
        </is>
      </c>
      <c r="AJ338" s="73" t="n">
        <v>-14.16</v>
      </c>
      <c r="AK338" s="72" t="n">
        <v>-19.41</v>
      </c>
      <c r="AL338" s="72" t="n">
        <v>6.51</v>
      </c>
      <c r="AM338" s="72" t="n">
        <v>-16.19</v>
      </c>
      <c r="AN338" s="72" t="n">
        <v>-3.55</v>
      </c>
      <c r="AO338" s="72" t="n">
        <v>25.18</v>
      </c>
      <c r="AP338" s="72" t="n">
        <v>-2.36</v>
      </c>
      <c r="AQ338" s="72" t="n">
        <v>12.36</v>
      </c>
      <c r="AR338" s="72" t="n">
        <v>45.83</v>
      </c>
      <c r="AS338" s="72" t="n">
        <v>-15.13</v>
      </c>
      <c r="AT338" s="72" t="n">
        <v>-10.67</v>
      </c>
      <c r="AU338" s="72" t="n">
        <v>8.93</v>
      </c>
      <c r="AV338" s="72" t="n">
        <v>6.36</v>
      </c>
      <c r="AW338" s="72" t="n">
        <v>7.12</v>
      </c>
      <c r="AX338" s="72" t="n">
        <v>6</v>
      </c>
      <c r="AY338" s="63" t="inlineStr">
        <is>
          <t>HSTECH (Hang Seng TECH ETF)</t>
        </is>
      </c>
      <c r="AZ338" s="72" t="n">
        <v>-65.93000000000001</v>
      </c>
      <c r="BA338" s="64" t="inlineStr">
        <is>
          <t>2026-08-28</t>
        </is>
      </c>
      <c r="BB338" s="65" t="n">
        <v>16123.2</v>
      </c>
      <c r="BC338" s="68" t="n">
        <v>-1371</v>
      </c>
      <c r="BD338" s="63" t="inlineStr">
        <is>
          <t>N</t>
        </is>
      </c>
      <c r="BE338" s="63" t="inlineStr">
        <is>
          <t>n/m</t>
        </is>
      </c>
      <c r="BF338" s="74" t="n"/>
      <c r="BG338" s="74" t="n"/>
      <c r="BH338" s="74" t="n">
        <v>1.4</v>
      </c>
      <c r="BI338" s="75">
        <f>IF('BBG Verify'!S338="","not filed — run on terminal",'BBG Verify'!S338)</f>
        <v/>
      </c>
      <c r="BJ338" s="76" t="inlineStr">
        <is>
          <t>N</t>
        </is>
      </c>
      <c r="BK338" s="77">
        <f>IF('BBG Verify'!K338="","not filed — run on terminal",'BBG Verify'!K338)</f>
        <v/>
      </c>
      <c r="BL338" s="63" t="inlineStr">
        <is>
          <t>N/A</t>
        </is>
      </c>
      <c r="BM338" s="63" t="inlineStr">
        <is>
          <t>N/A</t>
        </is>
      </c>
      <c r="BN338" s="63" t="inlineStr">
        <is>
          <t>N/A</t>
        </is>
      </c>
      <c r="BO338" s="63" t="inlineStr">
        <is>
          <t>N/A</t>
        </is>
      </c>
      <c r="BP338" s="63" t="inlineStr">
        <is>
          <t>N/A</t>
        </is>
      </c>
      <c r="BQ338" s="63" t="inlineStr">
        <is>
          <t>N/A</t>
        </is>
      </c>
      <c r="BR338" s="76" t="inlineStr">
        <is>
          <t>Huatai Financial Holdings (Hong Kong) Limited; ABCI Capital Limited; GF Capital (Hong Kong) Limited</t>
        </is>
      </c>
      <c r="BS338" s="63" t="inlineStr">
        <is>
          <t>Huatai Financial Holdings (Hong Kong) Limited; GF Capital (Hong Kong) Limited; ABCI Capital Limited</t>
        </is>
      </c>
      <c r="BT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U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V338" s="78">
        <f>HYPERLINK("https://www1.hkexnews.hk/listedco/listconews/sehk/2025/0617/2025061700008.pdf","prospectus")</f>
        <v/>
      </c>
      <c r="BW338" s="78">
        <f>HYPERLINK("https://www1.hkexnews.hk/listedco/listconews/sehk/2025/0624/2025062401322.pdf","allotment")</f>
        <v/>
      </c>
      <c r="BX338" s="78">
        <f>HYPERLINK("https://www1.hkexnews.hk/listedco/listconews/sehk/2025/0721/2025072100017.pdf","stabilisation")</f>
        <v/>
      </c>
      <c r="BY338" s="76" t="n"/>
      <c r="BZ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72" t="n"/>
      <c r="AC339" s="66" t="n"/>
      <c r="AD339" s="72" t="n"/>
      <c r="AE339" s="63" t="n"/>
      <c r="AF339" s="63" t="n"/>
      <c r="AG339" s="63" t="n"/>
      <c r="AH339" s="63" t="n"/>
      <c r="AI339" s="63" t="n"/>
      <c r="AJ339" s="73" t="n">
        <v>25</v>
      </c>
      <c r="AK339" s="72" t="n">
        <v>11.25</v>
      </c>
      <c r="AL339" s="72" t="n">
        <v>12.36</v>
      </c>
      <c r="AM339" s="72" t="n">
        <v>55.42</v>
      </c>
      <c r="AN339" s="72" t="n">
        <v>61.46</v>
      </c>
      <c r="AO339" s="72" t="n">
        <v>81.25</v>
      </c>
      <c r="AP339" s="72" t="n">
        <v>24.34</v>
      </c>
      <c r="AQ339" s="72" t="n">
        <v>29.17</v>
      </c>
      <c r="AR339" s="72" t="n">
        <v>45</v>
      </c>
      <c r="AS339" s="72" t="n">
        <v>57.84</v>
      </c>
      <c r="AT339" s="72" t="n">
        <v>56.14</v>
      </c>
      <c r="AU339" s="72" t="n">
        <v>67.05</v>
      </c>
      <c r="AV339" s="72" t="n">
        <v>23.09</v>
      </c>
      <c r="AW339" s="72" t="n">
        <v>5.32</v>
      </c>
      <c r="AX339" s="72" t="n">
        <v>6.08</v>
      </c>
      <c r="AY339" s="63" t="inlineStr">
        <is>
          <t>Hang Seng Commerce &amp; Industry sub-index</t>
        </is>
      </c>
      <c r="AZ339" s="72" t="n">
        <v>-40.17</v>
      </c>
      <c r="BA339" s="64" t="inlineStr">
        <is>
          <t>2026-08-28</t>
        </is>
      </c>
      <c r="BB339" s="65" t="n">
        <v>6290</v>
      </c>
      <c r="BC339" s="68" t="n">
        <v>776.9</v>
      </c>
      <c r="BD339" s="63" t="inlineStr">
        <is>
          <t>Y</t>
        </is>
      </c>
      <c r="BE339" s="74" t="n">
        <v>13.4</v>
      </c>
      <c r="BF339" s="74" t="n">
        <v>14.5</v>
      </c>
      <c r="BG339" s="74" t="n">
        <v>6.3</v>
      </c>
      <c r="BH339" s="74" t="n">
        <v>1.7</v>
      </c>
      <c r="BI339" s="75">
        <f>IF('BBG Verify'!S339="","not filed — run on terminal",'BBG Verify'!S339)</f>
        <v/>
      </c>
      <c r="BJ339" s="76" t="inlineStr">
        <is>
          <t>N</t>
        </is>
      </c>
      <c r="BK339" s="77">
        <f>IF('BBG Verify'!K339="","not filed — run on terminal",'BBG Verify'!K339)</f>
        <v/>
      </c>
      <c r="BL339" s="63" t="inlineStr">
        <is>
          <t>N/A</t>
        </is>
      </c>
      <c r="BM339" s="63" t="inlineStr">
        <is>
          <t>N/A</t>
        </is>
      </c>
      <c r="BN339" s="63" t="inlineStr">
        <is>
          <t>N/A</t>
        </is>
      </c>
      <c r="BO339" s="63" t="inlineStr">
        <is>
          <t>N/A</t>
        </is>
      </c>
      <c r="BP339" s="63" t="inlineStr">
        <is>
          <t>N/A</t>
        </is>
      </c>
      <c r="BQ339" s="63" t="inlineStr">
        <is>
          <t>N/A</t>
        </is>
      </c>
      <c r="BR339" s="76" t="n"/>
      <c r="BS339" s="63" t="inlineStr">
        <is>
          <t>China International Capital Corporation Hong Kong Securities Limited; China Securities (International) Corporate Finance Company Limited</t>
        </is>
      </c>
      <c r="BT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V339" s="63" t="n"/>
      <c r="BW339" s="78">
        <f>HYPERLINK("https://www1.hkexnews.hk/listedco/listconews/sehk/2025/0625/2025062502268.pdf","allotment")</f>
        <v/>
      </c>
      <c r="BX339" s="63" t="n"/>
      <c r="BY339" s="76" t="n"/>
      <c r="BZ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72" t="n"/>
      <c r="AC340" s="66" t="n"/>
      <c r="AD340" s="72" t="n"/>
      <c r="AE340" s="63" t="n"/>
      <c r="AF340" s="63" t="inlineStr">
        <is>
          <t>partial</t>
        </is>
      </c>
      <c r="AG340" s="63" t="inlineStr">
        <is>
          <t>2025-07-23</t>
        </is>
      </c>
      <c r="AH340" s="63" t="inlineStr">
        <is>
          <t>UBS AG Hong Kong Branch</t>
        </is>
      </c>
      <c r="AI340" s="63" t="inlineStr">
        <is>
          <t>UBS</t>
        </is>
      </c>
      <c r="AJ340" s="73" t="n">
        <v>33.74</v>
      </c>
      <c r="AK340" s="72" t="n">
        <v>28.42</v>
      </c>
      <c r="AL340" s="72" t="n">
        <v>4.14</v>
      </c>
      <c r="AM340" s="72" t="n">
        <v>0.46</v>
      </c>
      <c r="AN340" s="72" t="n">
        <v>16.41</v>
      </c>
      <c r="AO340" s="72" t="n">
        <v>-6.53</v>
      </c>
      <c r="AP340" s="72" t="n">
        <v>-24.88</v>
      </c>
      <c r="AQ340" s="72" t="n">
        <v>-12.96</v>
      </c>
      <c r="AR340" s="72" t="n">
        <v>-30.11</v>
      </c>
      <c r="AS340" s="72" t="n">
        <v>-3.25</v>
      </c>
      <c r="AT340" s="72" t="n">
        <v>-2.52</v>
      </c>
      <c r="AU340" s="72" t="n">
        <v>-34</v>
      </c>
      <c r="AV340" s="72" t="n">
        <v>-34.63</v>
      </c>
      <c r="AW340" s="72" t="n">
        <v>18.93</v>
      </c>
      <c r="AX340" s="72" t="n">
        <v>21.67</v>
      </c>
      <c r="AY340" s="63" t="inlineStr">
        <is>
          <t>China Biotech ETF (HS biotech proxy)</t>
        </is>
      </c>
      <c r="AZ340" s="72" t="n">
        <v>-51.82</v>
      </c>
      <c r="BA340" s="64" t="inlineStr">
        <is>
          <t>2026-08-28</t>
        </is>
      </c>
      <c r="BB340" s="65" t="n">
        <v>878.5</v>
      </c>
      <c r="BC340" s="68" t="n">
        <v>-597.6</v>
      </c>
      <c r="BD340" s="63" t="inlineStr">
        <is>
          <t>N</t>
        </is>
      </c>
      <c r="BE340" s="63" t="inlineStr">
        <is>
          <t>n/m</t>
        </is>
      </c>
      <c r="BF340" s="74" t="n"/>
      <c r="BG340" s="74" t="n">
        <v>2.2</v>
      </c>
      <c r="BH340" s="74" t="n">
        <v>4.6</v>
      </c>
      <c r="BI340" s="75">
        <f>IF('BBG Verify'!S340="","not filed — run on terminal",'BBG Verify'!S340)</f>
        <v/>
      </c>
      <c r="BJ340" s="76" t="inlineStr">
        <is>
          <t>N</t>
        </is>
      </c>
      <c r="BK340" s="77">
        <f>IF('BBG Verify'!K340="","not filed — run on terminal",'BBG Verify'!K340)</f>
        <v/>
      </c>
      <c r="BL340" s="63" t="inlineStr">
        <is>
          <t>N/A</t>
        </is>
      </c>
      <c r="BM340" s="63" t="inlineStr">
        <is>
          <t>N/A</t>
        </is>
      </c>
      <c r="BN340" s="63" t="inlineStr">
        <is>
          <t>N/A</t>
        </is>
      </c>
      <c r="BO340" s="63" t="inlineStr">
        <is>
          <t>N/A</t>
        </is>
      </c>
      <c r="BP340" s="63" t="inlineStr">
        <is>
          <t>N/A</t>
        </is>
      </c>
      <c r="BQ340" s="63" t="inlineStr">
        <is>
          <t>N/A</t>
        </is>
      </c>
      <c r="BR340" s="76" t="inlineStr">
        <is>
          <t>UBS Securities Hong Kong Limited; CITIC Securities (Hong Kong) Limited</t>
        </is>
      </c>
      <c r="BS340" s="63" t="inlineStr">
        <is>
          <t>UBS Securities Hong Kong Limited; CITIC Securities (Hong Kong) Limited</t>
        </is>
      </c>
      <c r="BT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U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V340" s="78">
        <f>HYPERLINK("https://www1.hkexnews.hk/listedco/listconews/sehk/2025/0618/2025061800127.pdf","prospectus")</f>
        <v/>
      </c>
      <c r="BW340" s="78">
        <f>HYPERLINK("https://www1.hkexnews.hk/listedco/listconews/sehk/2025/0625/2025062502266.pdf","allotment")</f>
        <v/>
      </c>
      <c r="BX340" s="78">
        <f>HYPERLINK("https://www1.hkexnews.hk/listedco/listconews/sehk/2025/0723/2025072301180.pdf","stabilisation")</f>
        <v/>
      </c>
      <c r="BY340" s="76" t="n"/>
      <c r="BZ340"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72" t="n"/>
      <c r="AC341" s="66" t="n"/>
      <c r="AD341" s="72" t="n"/>
      <c r="AE341" s="63" t="n"/>
      <c r="AF341" s="63" t="n"/>
      <c r="AG341" s="63" t="inlineStr">
        <is>
          <t>2025-07-23</t>
        </is>
      </c>
      <c r="AH341" s="63" t="n"/>
      <c r="AI341" s="63" t="n"/>
      <c r="AJ341" s="73" t="n">
        <v>-16.67</v>
      </c>
      <c r="AK341" s="72" t="n">
        <v>-10.42</v>
      </c>
      <c r="AL341" s="72" t="n">
        <v>-6.98</v>
      </c>
      <c r="AM341" s="72" t="n">
        <v>-23.61</v>
      </c>
      <c r="AN341" s="72" t="n">
        <v>-28.47</v>
      </c>
      <c r="AO341" s="72" t="n">
        <v>-27.08</v>
      </c>
      <c r="AP341" s="72" t="n">
        <v>-8.33</v>
      </c>
      <c r="AQ341" s="72" t="n">
        <v>-14.16</v>
      </c>
      <c r="AR341" s="72" t="n">
        <v>-12.49</v>
      </c>
      <c r="AS341" s="72" t="n">
        <v>-21.19</v>
      </c>
      <c r="AT341" s="72" t="n">
        <v>-33.79</v>
      </c>
      <c r="AU341" s="72" t="n">
        <v>-41.28</v>
      </c>
      <c r="AV341" s="72" t="n">
        <v>-20.24</v>
      </c>
      <c r="AW341" s="72" t="n">
        <v>5.32</v>
      </c>
      <c r="AX341" s="72" t="n">
        <v>6.08</v>
      </c>
      <c r="AY341" s="63" t="inlineStr">
        <is>
          <t>Hang Seng Commerce &amp; Industry sub-index</t>
        </is>
      </c>
      <c r="AZ341" s="72" t="n">
        <v>-29.51</v>
      </c>
      <c r="BA341" s="64" t="inlineStr">
        <is>
          <t>2026-08-28</t>
        </is>
      </c>
      <c r="BB341" s="65" t="n">
        <v>2291.7</v>
      </c>
      <c r="BC341" s="68" t="n">
        <v>249.7</v>
      </c>
      <c r="BD341" s="63" t="inlineStr">
        <is>
          <t>Y</t>
        </is>
      </c>
      <c r="BE341" s="74" t="n">
        <v>15.4</v>
      </c>
      <c r="BF341" s="74" t="n"/>
      <c r="BG341" s="74" t="n">
        <v>9.1</v>
      </c>
      <c r="BH341" s="74" t="n">
        <v>1.7</v>
      </c>
      <c r="BI341" s="75">
        <f>IF('BBG Verify'!S341="","not filed — run on terminal",'BBG Verify'!S341)</f>
        <v/>
      </c>
      <c r="BJ341" s="76" t="inlineStr">
        <is>
          <t>N</t>
        </is>
      </c>
      <c r="BK341" s="77">
        <f>IF('BBG Verify'!K341="","not filed — run on terminal",'BBG Verify'!K341)</f>
        <v/>
      </c>
      <c r="BL341" s="63" t="inlineStr">
        <is>
          <t>N/A</t>
        </is>
      </c>
      <c r="BM341" s="63" t="inlineStr">
        <is>
          <t>N/A</t>
        </is>
      </c>
      <c r="BN341" s="63" t="inlineStr">
        <is>
          <t>N/A</t>
        </is>
      </c>
      <c r="BO341" s="63" t="inlineStr">
        <is>
          <t>N/A</t>
        </is>
      </c>
      <c r="BP341" s="63" t="inlineStr">
        <is>
          <t>N/A</t>
        </is>
      </c>
      <c r="BQ341" s="63" t="inlineStr">
        <is>
          <t>N/A</t>
        </is>
      </c>
      <c r="BR341" s="76" t="n"/>
      <c r="BS341" s="63" t="inlineStr">
        <is>
          <t>CITIC Securities (Hong Kong) Limited; BNP Paribas Securities (Asia) Limited</t>
        </is>
      </c>
      <c r="BT341" s="63" t="inlineStr">
        <is>
          <t>BNP Paribas Securities (Asia) Limited; China Harbour International Securities Limited; CLSA Limited; CMB International Capital Corporation Limited; DBS Asia Capital Limited; First Shanghai Securities Limited</t>
        </is>
      </c>
      <c r="BU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V341" s="63" t="n"/>
      <c r="BW341" s="78">
        <f>HYPERLINK("https://www1.hkexnews.hk/listedco/listconews/sehk/2025/0626/2025062600005.pdf","allotment")</f>
        <v/>
      </c>
      <c r="BX341" s="63" t="n"/>
      <c r="BY341" s="76" t="n"/>
      <c r="BZ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72" t="n"/>
      <c r="AC342" s="66" t="n"/>
      <c r="AD342" s="72" t="n"/>
      <c r="AE342" s="63" t="n"/>
      <c r="AF342" s="63" t="inlineStr">
        <is>
          <t>full</t>
        </is>
      </c>
      <c r="AG342" s="63" t="inlineStr">
        <is>
          <t>2025-07-25</t>
        </is>
      </c>
      <c r="AH342" s="63" t="inlineStr">
        <is>
          <t>China International Capital Corporation Hong Kong Securities Limited</t>
        </is>
      </c>
      <c r="AI342" s="63" t="inlineStr">
        <is>
          <t>China International</t>
        </is>
      </c>
      <c r="AJ342" s="73" t="n">
        <v>44.59</v>
      </c>
      <c r="AK342" s="72" t="n">
        <v>0</v>
      </c>
      <c r="AL342" s="72" t="n">
        <v>44.59</v>
      </c>
      <c r="AM342" s="72" t="n">
        <v>105.37</v>
      </c>
      <c r="AN342" s="72" t="n">
        <v>184.88</v>
      </c>
      <c r="AO342" s="72" t="n">
        <v>137.17</v>
      </c>
      <c r="AP342" s="72" t="n">
        <v>42.04</v>
      </c>
      <c r="AQ342" s="72" t="n">
        <v>97.03</v>
      </c>
      <c r="AR342" s="72" t="n">
        <v>64.03</v>
      </c>
      <c r="AS342" s="72" t="n">
        <v>105.56</v>
      </c>
      <c r="AT342" s="72" t="n">
        <v>182.02</v>
      </c>
      <c r="AU342" s="72" t="n">
        <v>121.63</v>
      </c>
      <c r="AV342" s="72" t="n">
        <v>93.48</v>
      </c>
      <c r="AW342" s="72" t="n">
        <v>2.86</v>
      </c>
      <c r="AX342" s="72" t="n">
        <v>3.55</v>
      </c>
      <c r="AY342" s="63" t="inlineStr">
        <is>
          <t>HSTECH (Hang Seng TECH ETF)</t>
        </is>
      </c>
      <c r="AZ342" s="72" t="n">
        <v>-68.29000000000001</v>
      </c>
      <c r="BA342" s="64" t="inlineStr">
        <is>
          <t>2026-08-28</t>
        </is>
      </c>
      <c r="BB342" s="65" t="n">
        <v>1032.9</v>
      </c>
      <c r="BC342" s="68" t="n">
        <v>-499.6</v>
      </c>
      <c r="BD342" s="63" t="inlineStr">
        <is>
          <t>N</t>
        </is>
      </c>
      <c r="BE342" s="63" t="inlineStr">
        <is>
          <t>n/m</t>
        </is>
      </c>
      <c r="BF342" s="74" t="n"/>
      <c r="BG342" s="74" t="n"/>
      <c r="BH342" s="74" t="n">
        <v>14.1</v>
      </c>
      <c r="BI342" s="75">
        <f>IF('BBG Verify'!S342="","not filed — run on terminal",'BBG Verify'!S342)</f>
        <v/>
      </c>
      <c r="BJ342" s="76" t="inlineStr">
        <is>
          <t>N</t>
        </is>
      </c>
      <c r="BK342" s="77">
        <f>IF('BBG Verify'!K342="","not filed — run on terminal",'BBG Verify'!K342)</f>
        <v/>
      </c>
      <c r="BL342" s="63" t="inlineStr">
        <is>
          <t>N/A</t>
        </is>
      </c>
      <c r="BM342" s="63" t="inlineStr">
        <is>
          <t>N/A</t>
        </is>
      </c>
      <c r="BN342" s="63" t="inlineStr">
        <is>
          <t>N/A</t>
        </is>
      </c>
      <c r="BO342" s="63" t="inlineStr">
        <is>
          <t>N/A</t>
        </is>
      </c>
      <c r="BP342" s="63" t="inlineStr">
        <is>
          <t>N/A</t>
        </is>
      </c>
      <c r="BQ342" s="63" t="inlineStr">
        <is>
          <t>N/A</t>
        </is>
      </c>
      <c r="BR342" s="76" t="inlineStr">
        <is>
          <t>China International Capital Corporation Hong Kong Securities Limited; Haitong International Capital Limited</t>
        </is>
      </c>
      <c r="BS342" s="63" t="inlineStr">
        <is>
          <t>China International Capital Corporation Hong Kong Securities Limited; Haitong International Capital Limited</t>
        </is>
      </c>
      <c r="BT342" s="63" t="inlineStr">
        <is>
          <t>China International Capital Corporation Hong Kong Securities Limited; Haitong International Securities Company Limited; ABCI Capital Limited; Orient Securities (Hong Kong) Limited; CMBC Securities Company Limited; Tiger Brokers (HK) Global Limited</t>
        </is>
      </c>
      <c r="BU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V342" s="78">
        <f>HYPERLINK("https://www1.hkexnews.hk/listedco/listconews/sehk/2025/0620/2025062000023.pdf","prospectus")</f>
        <v/>
      </c>
      <c r="BW342" s="78">
        <f>HYPERLINK("https://www1.hkexnews.hk/listedco/listconews/sehk/2025/0627/2025062702974.pdf","allotment")</f>
        <v/>
      </c>
      <c r="BX342" s="78">
        <f>HYPERLINK("https://www1.hkexnews.hk/listedco/listconews/sehk/2025/0725/2025072501515.pdf","stabilisation")</f>
        <v/>
      </c>
      <c r="BY342" s="76" t="n"/>
      <c r="BZ342" s="63" t="inlineStr">
        <is>
          <t>P/E: n/m — loss-making at IPO (use P/S) · A/H: no A line; closest listed proxy {'code': '002230.SZ', 'name': 'iFlytek', 'rationale': 'Direct A-share competitor in voice AI and speech-centric LLMs (Spark model).'} · grey market: no grey-market headline on file for this deal — AAStocks publishes one per listing but keeps only recent items on the stock's news page, and no public archive of past evening sessions exists; captured from this run onward</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72" t="n">
        <v>1.8</v>
      </c>
      <c r="AC343" s="66" t="n">
        <v>31.15</v>
      </c>
      <c r="AD343" s="72" t="n">
        <v>-1.13</v>
      </c>
      <c r="AE343" s="63" t="inlineStr">
        <is>
          <t>Y</t>
        </is>
      </c>
      <c r="AF343" s="63" t="n"/>
      <c r="AG343" s="63" t="n"/>
      <c r="AH343" s="63" t="n"/>
      <c r="AI343" s="63" t="n"/>
      <c r="AJ343" s="73" t="n">
        <v>0.65</v>
      </c>
      <c r="AK343" s="72" t="n">
        <v>-0.98</v>
      </c>
      <c r="AL343" s="72" t="n">
        <v>1.65</v>
      </c>
      <c r="AM343" s="72" t="n">
        <v>1.63</v>
      </c>
      <c r="AN343" s="72" t="n">
        <v>15.52</v>
      </c>
      <c r="AO343" s="72" t="n">
        <v>0</v>
      </c>
      <c r="AP343" s="72" t="n">
        <v>0.97</v>
      </c>
      <c r="AQ343" s="72" t="n">
        <v>14.77</v>
      </c>
      <c r="AR343" s="72" t="n">
        <v>-0.65</v>
      </c>
      <c r="AS343" s="72" t="n">
        <v>-2.27</v>
      </c>
      <c r="AT343" s="72" t="n">
        <v>-9.640000000000001</v>
      </c>
      <c r="AU343" s="72" t="n">
        <v>-28.79</v>
      </c>
      <c r="AV343" s="72" t="n">
        <v>-9.359999999999999</v>
      </c>
      <c r="AW343" s="72" t="n">
        <v>25.16</v>
      </c>
      <c r="AX343" s="72" t="n">
        <v>24.13</v>
      </c>
      <c r="AY343" s="63" t="inlineStr">
        <is>
          <t>China Biotech ETF (HS biotech proxy)</t>
        </is>
      </c>
      <c r="AZ343" s="72" t="n">
        <v>-29.74</v>
      </c>
      <c r="BA343" s="64" t="inlineStr">
        <is>
          <t>2026-08-28</t>
        </is>
      </c>
      <c r="BB343" s="65" t="n">
        <v>486.4</v>
      </c>
      <c r="BC343" s="68" t="n">
        <v>65.09999999999999</v>
      </c>
      <c r="BD343" s="63" t="inlineStr">
        <is>
          <t>Y</t>
        </is>
      </c>
      <c r="BE343" s="74" t="n">
        <v>66.7</v>
      </c>
      <c r="BF343" s="74" t="n">
        <v>59.8</v>
      </c>
      <c r="BG343" s="74" t="n">
        <v>11.6</v>
      </c>
      <c r="BH343" s="74" t="n">
        <v>8.9</v>
      </c>
      <c r="BI343" s="75">
        <f>IF('BBG Verify'!S343="","not filed — run on terminal",'BBG Verify'!S343)</f>
        <v/>
      </c>
      <c r="BJ343" s="76" t="inlineStr">
        <is>
          <t>N</t>
        </is>
      </c>
      <c r="BK343" s="77">
        <f>IF('BBG Verify'!K343="","not filed — run on terminal",'BBG Verify'!K343)</f>
        <v/>
      </c>
      <c r="BL343" s="63" t="inlineStr">
        <is>
          <t>N/A</t>
        </is>
      </c>
      <c r="BM343" s="63" t="inlineStr">
        <is>
          <t>N/A</t>
        </is>
      </c>
      <c r="BN343" s="63" t="inlineStr">
        <is>
          <t>N/A</t>
        </is>
      </c>
      <c r="BO343" s="63" t="inlineStr">
        <is>
          <t>N/A</t>
        </is>
      </c>
      <c r="BP343" s="63" t="inlineStr">
        <is>
          <t>N/A</t>
        </is>
      </c>
      <c r="BQ343" s="63" t="inlineStr">
        <is>
          <t>N/A</t>
        </is>
      </c>
      <c r="BR343" s="76" t="inlineStr">
        <is>
          <t>Morgan Stanley Asia Limited; CITIC Securities (Hong Kong) Limited</t>
        </is>
      </c>
      <c r="BS343" s="63" t="inlineStr">
        <is>
          <t>Morgan Stanley Asia Limited; CITIC Securities (Hong Kong) Limited</t>
        </is>
      </c>
      <c r="BT343" s="63" t="inlineStr">
        <is>
          <t>Aristo Securities Limited; China Everbright Securities (HK) Limited; CLSA Limited; Morgan Stanley Asia Limited; Prime Securities Limited; Soochow Securities International Brokerage Limited</t>
        </is>
      </c>
      <c r="BU343" s="63" t="inlineStr">
        <is>
          <t>Aristo Securities Limited; China Everbright Securities (HK) Limited; CLSA Limited; Morgan Stanley Asia Limited; Prime Securities Limited; Soochow Securities International Brokerage Limited</t>
        </is>
      </c>
      <c r="BV343" s="78">
        <f>HYPERLINK("https://www1.hkexnews.hk/listedco/listconews/sehk/2025/0620/2025062000021.pdf","prospectus")</f>
        <v/>
      </c>
      <c r="BW343" s="78">
        <f>HYPERLINK("https://www1.hkexnews.hk/listedco/listconews/sehk/2025/0627/2025062703092.pdf","allotment")</f>
        <v/>
      </c>
      <c r="BX343" s="63" t="n"/>
      <c r="BY343" s="76" t="n"/>
      <c r="BZ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72" t="n"/>
      <c r="AC344" s="66" t="n"/>
      <c r="AD344" s="72" t="n"/>
      <c r="AE344" s="63" t="n"/>
      <c r="AF344" s="63" t="inlineStr">
        <is>
          <t>full</t>
        </is>
      </c>
      <c r="AG344" s="63" t="inlineStr">
        <is>
          <t>2025-07-25</t>
        </is>
      </c>
      <c r="AH344" s="63" t="inlineStr">
        <is>
          <t>CLSA Limited</t>
        </is>
      </c>
      <c r="AI344" s="63" t="inlineStr">
        <is>
          <t>CLSA</t>
        </is>
      </c>
      <c r="AJ344" s="73" t="n">
        <v>42.09</v>
      </c>
      <c r="AK344" s="72" t="n">
        <v>57.91</v>
      </c>
      <c r="AL344" s="72" t="n">
        <v>-10.02</v>
      </c>
      <c r="AM344" s="72" t="n">
        <v>45.68</v>
      </c>
      <c r="AN344" s="72" t="n">
        <v>33.63</v>
      </c>
      <c r="AO344" s="72" t="n">
        <v>9.5</v>
      </c>
      <c r="AP344" s="72" t="n">
        <v>2.53</v>
      </c>
      <c r="AQ344" s="72" t="n">
        <v>-5.95</v>
      </c>
      <c r="AR344" s="72" t="n">
        <v>-22.94</v>
      </c>
      <c r="AS344" s="72" t="n">
        <v>46.45</v>
      </c>
      <c r="AT344" s="72" t="n">
        <v>29.27</v>
      </c>
      <c r="AU344" s="72" t="n">
        <v>-3.08</v>
      </c>
      <c r="AV344" s="72" t="n">
        <v>-11.09</v>
      </c>
      <c r="AW344" s="72" t="n">
        <v>4.36</v>
      </c>
      <c r="AX344" s="72" t="n">
        <v>5.14</v>
      </c>
      <c r="AY344" s="63" t="inlineStr">
        <is>
          <t>Hang Seng Commerce &amp; Industry sub-index</t>
        </is>
      </c>
      <c r="AZ344" s="72" t="n">
        <v>-82.01000000000001</v>
      </c>
      <c r="BA344" s="64" t="inlineStr">
        <is>
          <t>2026-08-28</t>
        </is>
      </c>
      <c r="BB344" s="65" t="n">
        <v>1229.7</v>
      </c>
      <c r="BC344" s="68" t="n">
        <v>259.9</v>
      </c>
      <c r="BD344" s="63" t="inlineStr">
        <is>
          <t>Y</t>
        </is>
      </c>
      <c r="BE344" s="74" t="n">
        <v>28.5</v>
      </c>
      <c r="BF344" s="74" t="n">
        <v>33</v>
      </c>
      <c r="BG344" s="74" t="n">
        <v>7.2</v>
      </c>
      <c r="BH344" s="74" t="n">
        <v>6</v>
      </c>
      <c r="BI344" s="75">
        <f>IF('BBG Verify'!S344="","not filed — run on terminal",'BBG Verify'!S344)</f>
        <v/>
      </c>
      <c r="BJ344" s="76" t="inlineStr">
        <is>
          <t>N</t>
        </is>
      </c>
      <c r="BK344" s="77">
        <f>IF('BBG Verify'!K344="","not filed — run on terminal",'BBG Verify'!K344)</f>
        <v/>
      </c>
      <c r="BL344" s="63" t="inlineStr">
        <is>
          <t>N/A</t>
        </is>
      </c>
      <c r="BM344" s="63" t="inlineStr">
        <is>
          <t>N/A</t>
        </is>
      </c>
      <c r="BN344" s="63" t="inlineStr">
        <is>
          <t>N/A</t>
        </is>
      </c>
      <c r="BO344" s="63" t="inlineStr">
        <is>
          <t>N/A</t>
        </is>
      </c>
      <c r="BP344" s="63" t="inlineStr">
        <is>
          <t>N/A</t>
        </is>
      </c>
      <c r="BQ344" s="63" t="inlineStr">
        <is>
          <t>N/A</t>
        </is>
      </c>
      <c r="BR344" s="76" t="inlineStr">
        <is>
          <t>CITIC Securities (Hong Kong) Limited; CLSA Limited</t>
        </is>
      </c>
      <c r="BS344" s="63" t="inlineStr">
        <is>
          <t>CITIC Securities (Hong Kong) Limited</t>
        </is>
      </c>
      <c r="BT344" s="63" t="inlineStr">
        <is>
          <t>BOCI Asia Limited; CLSA Limited</t>
        </is>
      </c>
      <c r="BU344" s="63" t="inlineStr">
        <is>
          <t>BOCI Asia Limited; CLSA Limited</t>
        </is>
      </c>
      <c r="BV344" s="78">
        <f>HYPERLINK("https://www1.hkexnews.hk/listedco/listconews/sehk/2025/0620/2025062000033.pdf","prospectus")</f>
        <v/>
      </c>
      <c r="BW344" s="78">
        <f>HYPERLINK("https://www1.hkexnews.hk/listedco/listconews/sehk/2025/0627/2025062703890.pdf","allotment")</f>
        <v/>
      </c>
      <c r="BX344" s="78">
        <f>HYPERLINK("https://www1.hkexnews.hk/listedco/listconews/sehk/2025/0725/2025072501707.pdf","stabilisation")</f>
        <v/>
      </c>
      <c r="BY344" s="76" t="n"/>
      <c r="BZ344" s="63" t="inlineStr">
        <is>
          <t>A/H: no A-share listing · grey market: no grey-market headline on file for this deal — AAStocks publishes one per listing but keeps only recent items on the stock's news page, and no public archive of past evening sessions exists; captured from this run onward</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72" t="n"/>
      <c r="AC345" s="66" t="n"/>
      <c r="AD345" s="72" t="n"/>
      <c r="AE345" s="63" t="n"/>
      <c r="AF345" s="63" t="n"/>
      <c r="AG345" s="63" t="n"/>
      <c r="AH345" s="63" t="n"/>
      <c r="AI345" s="63" t="n"/>
      <c r="AJ345" s="73" t="n">
        <v>-38.61</v>
      </c>
      <c r="AK345" s="72" t="n">
        <v>-5.94</v>
      </c>
      <c r="AL345" s="72" t="n">
        <v>-34.73</v>
      </c>
      <c r="AM345" s="72" t="n">
        <v>-42.57</v>
      </c>
      <c r="AN345" s="72" t="n">
        <v>-49.5</v>
      </c>
      <c r="AO345" s="72" t="n">
        <v>-55.35</v>
      </c>
      <c r="AP345" s="72" t="n">
        <v>-6.45</v>
      </c>
      <c r="AQ345" s="72" t="n">
        <v>-17.74</v>
      </c>
      <c r="AR345" s="72" t="n">
        <v>-27.27</v>
      </c>
      <c r="AS345" s="72" t="n">
        <v>-45.93</v>
      </c>
      <c r="AT345" s="72" t="n">
        <v>-68.91</v>
      </c>
      <c r="AU345" s="72" t="n">
        <v>-86.84999999999999</v>
      </c>
      <c r="AV345" s="72" t="n">
        <v>-33.83</v>
      </c>
      <c r="AW345" s="72" t="n">
        <v>19.41</v>
      </c>
      <c r="AX345" s="72" t="n">
        <v>16.09</v>
      </c>
      <c r="AY345" s="63" t="inlineStr">
        <is>
          <t>China Biotech ETF (HS biotech proxy)</t>
        </is>
      </c>
      <c r="AZ345" s="72" t="n">
        <v>-88.56</v>
      </c>
      <c r="BA345" s="64" t="inlineStr">
        <is>
          <t>2026-08-28</t>
        </is>
      </c>
      <c r="BB345" s="65" t="n">
        <v>78</v>
      </c>
      <c r="BC345" s="68" t="n">
        <v>-773.2</v>
      </c>
      <c r="BD345" s="63" t="inlineStr">
        <is>
          <t>N</t>
        </is>
      </c>
      <c r="BE345" s="63" t="inlineStr">
        <is>
          <t>n/m</t>
        </is>
      </c>
      <c r="BF345" s="74" t="n"/>
      <c r="BG345" s="74" t="n"/>
      <c r="BH345" s="74" t="n">
        <v>108.6</v>
      </c>
      <c r="BI345" s="75">
        <f>IF('BBG Verify'!S345="","not filed — run on terminal",'BBG Verify'!S345)</f>
        <v/>
      </c>
      <c r="BJ345" s="76" t="inlineStr">
        <is>
          <t>N</t>
        </is>
      </c>
      <c r="BK345" s="77">
        <f>IF('BBG Verify'!K345="","not filed — run on terminal",'BBG Verify'!K345)</f>
        <v/>
      </c>
      <c r="BL345" s="63" t="inlineStr">
        <is>
          <t>N/A</t>
        </is>
      </c>
      <c r="BM345" s="63" t="inlineStr">
        <is>
          <t>N/A</t>
        </is>
      </c>
      <c r="BN345" s="63" t="inlineStr">
        <is>
          <t>N/A</t>
        </is>
      </c>
      <c r="BO345" s="63" t="inlineStr">
        <is>
          <t>N/A</t>
        </is>
      </c>
      <c r="BP345" s="63" t="inlineStr">
        <is>
          <t>N/A</t>
        </is>
      </c>
      <c r="BQ345" s="63" t="inlineStr">
        <is>
          <t>N/A</t>
        </is>
      </c>
      <c r="BR345" s="76" t="inlineStr">
        <is>
          <t>CCB International Capital Limited; Huatai Financial Holdings (Hong Kong) Limited</t>
        </is>
      </c>
      <c r="BS345" s="63" t="inlineStr">
        <is>
          <t>CCB International Capital Limited; Huatai Financial Holdings (Hong Kong) Limited</t>
        </is>
      </c>
      <c r="BT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U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V345" s="78">
        <f>HYPERLINK("https://www1.hkexnews.hk/listedco/listconews/sehk/2025/0624/2025062400005.pdf","prospectus")</f>
        <v/>
      </c>
      <c r="BW345" s="78">
        <f>HYPERLINK("https://www1.hkexnews.hk/listedco/listconews/sehk/2025/0702/2025070203783.pdf","allotment")</f>
        <v/>
      </c>
      <c r="BX345" s="63" t="n"/>
      <c r="BY345" s="76" t="n"/>
      <c r="BZ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72" t="n"/>
      <c r="AC346" s="66" t="n"/>
      <c r="AD346" s="72" t="n"/>
      <c r="AE346" s="63" t="n"/>
      <c r="AF346" s="63" t="inlineStr">
        <is>
          <t>lapsed</t>
        </is>
      </c>
      <c r="AG346" s="63" t="inlineStr">
        <is>
          <t>2025-07-30</t>
        </is>
      </c>
      <c r="AH346" s="63" t="inlineStr">
        <is>
          <t>Goldman Sachs</t>
        </is>
      </c>
      <c r="AI346" s="63" t="inlineStr">
        <is>
          <t>Goldman Sachs</t>
        </is>
      </c>
      <c r="AJ346" s="73" t="n">
        <v>-5</v>
      </c>
      <c r="AK346" s="72" t="n">
        <v>0</v>
      </c>
      <c r="AL346" s="72" t="n">
        <v>-5</v>
      </c>
      <c r="AM346" s="72" t="n">
        <v>0.08</v>
      </c>
      <c r="AN346" s="72" t="n">
        <v>0</v>
      </c>
      <c r="AO346" s="72" t="n">
        <v>-2.58</v>
      </c>
      <c r="AP346" s="72" t="n">
        <v>5.35</v>
      </c>
      <c r="AQ346" s="72" t="n">
        <v>5.26</v>
      </c>
      <c r="AR346" s="72" t="n">
        <v>2.55</v>
      </c>
      <c r="AS346" s="72" t="n">
        <v>0.3</v>
      </c>
      <c r="AT346" s="72" t="n">
        <v>-4.12</v>
      </c>
      <c r="AU346" s="72" t="n">
        <v>-23.07</v>
      </c>
      <c r="AV346" s="72" t="n">
        <v>0.45</v>
      </c>
      <c r="AW346" s="72" t="n">
        <v>4.12</v>
      </c>
      <c r="AX346" s="72" t="n">
        <v>4.81</v>
      </c>
      <c r="AY346" s="63" t="inlineStr">
        <is>
          <t>Hang Seng Commerce &amp; Industry sub-index</t>
        </is>
      </c>
      <c r="AZ346" s="72" t="n">
        <v>11.67</v>
      </c>
      <c r="BA346" s="64" t="inlineStr">
        <is>
          <t>2026-08-28</t>
        </is>
      </c>
      <c r="BB346" s="65" t="n">
        <v>16532.5</v>
      </c>
      <c r="BC346" s="68" t="n">
        <v>1665</v>
      </c>
      <c r="BD346" s="63" t="inlineStr">
        <is>
          <t>Y</t>
        </is>
      </c>
      <c r="BE346" s="74" t="n">
        <v>15.3</v>
      </c>
      <c r="BF346" s="74" t="n">
        <v>10.2</v>
      </c>
      <c r="BG346" s="74" t="n">
        <v>11.9</v>
      </c>
      <c r="BH346" s="74" t="n">
        <v>1.5</v>
      </c>
      <c r="BI346" s="75">
        <f>IF('BBG Verify'!S346="","not filed — run on terminal",'BBG Verify'!S346)</f>
        <v/>
      </c>
      <c r="BJ346" s="76" t="inlineStr">
        <is>
          <t>Y</t>
        </is>
      </c>
      <c r="BK346" s="63" t="inlineStr">
        <is>
          <t>603345.SS</t>
        </is>
      </c>
      <c r="BL346" s="72" t="n">
        <v>41.8</v>
      </c>
      <c r="BM346" s="66" t="n">
        <v>85.0814</v>
      </c>
      <c r="BN346" s="80" t="n">
        <v>0.3473</v>
      </c>
      <c r="BO346" s="68" t="n">
        <v>29137.5</v>
      </c>
      <c r="BP346" s="75">
        <f>IF('BBG Verify'!Q346="","run on terminal",'BBG Verify'!Q346)</f>
        <v/>
      </c>
      <c r="BQ346" s="75">
        <f>IF('BBG Verify'!R346="","run on terminal",'BBG Verify'!R346)</f>
        <v/>
      </c>
      <c r="BR346" s="76" t="inlineStr">
        <is>
          <t>Goldman Sachs (Asia) L.L.C; China International Capital Corporation Hong Kong Securities Limited</t>
        </is>
      </c>
      <c r="BS346" s="63" t="inlineStr">
        <is>
          <t>China International Capital Corporation Hong Kong Securities Limited; Goldman Sachs (Asia) L.L.C.</t>
        </is>
      </c>
      <c r="BT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U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V346" s="78">
        <f>HYPERLINK("https://www1.hkexnews.hk/listedco/listconews/sehk/2025/0625/2025062500043.pdf","prospectus")</f>
        <v/>
      </c>
      <c r="BW346" s="78">
        <f>HYPERLINK("https://www1.hkexnews.hk/listedco/listconews/sehk/2025/0703/2025070302241.pdf","allotment")</f>
        <v/>
      </c>
      <c r="BX346" s="78">
        <f>HYPERLINK("https://www1.hkexnews.hk/listedco/listconews/sehk/2025/0730/2025073001416.pdf","stabilisation")</f>
        <v/>
      </c>
      <c r="BY346" s="76" t="n"/>
      <c r="BZ346" s="63" t="inlineStr">
        <is>
          <t>range low: cap-only pricing — the filing publishes a Maximum Offer Price and no indicative floor · A/H: Jul 2025 H listing (frozen foods) · market cap: prospectus states HK$27,945m at HK$66.00; rescaled to the struck HK$60.00 · grey market: no grey-market headline on file for this deal — AAStocks publishes one per listing but keeps only recent items on the stock's news page, and no public archive of past evening sessions exists; captured from this run onward</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72" t="n"/>
      <c r="AC347" s="66" t="n"/>
      <c r="AD347" s="72" t="n"/>
      <c r="AE347" s="63" t="n"/>
      <c r="AF347" s="63" t="n"/>
      <c r="AG347" s="63" t="n"/>
      <c r="AH347" s="63" t="n"/>
      <c r="AI347" s="63" t="n"/>
      <c r="AJ347" s="73" t="n">
        <v>0.76</v>
      </c>
      <c r="AK347" s="72" t="n">
        <v>0</v>
      </c>
      <c r="AL347" s="72" t="n">
        <v>0.76</v>
      </c>
      <c r="AM347" s="72" t="n">
        <v>11.44</v>
      </c>
      <c r="AN347" s="72" t="n">
        <v>13.03</v>
      </c>
      <c r="AO347" s="72" t="n">
        <v>35.83</v>
      </c>
      <c r="AP347" s="72" t="n">
        <v>10.6</v>
      </c>
      <c r="AQ347" s="72" t="n">
        <v>12.18</v>
      </c>
      <c r="AR347" s="72" t="n">
        <v>34.81</v>
      </c>
      <c r="AS347" s="72" t="n">
        <v>11.34</v>
      </c>
      <c r="AT347" s="72" t="n">
        <v>8.66</v>
      </c>
      <c r="AU347" s="72" t="n">
        <v>8.33</v>
      </c>
      <c r="AV347" s="72" t="n">
        <v>7.51</v>
      </c>
      <c r="AW347" s="72" t="n">
        <v>4.37</v>
      </c>
      <c r="AX347" s="72" t="n">
        <v>4.67</v>
      </c>
      <c r="AY347" s="63" t="inlineStr">
        <is>
          <t>HSTECH (Hang Seng TECH ETF)</t>
        </is>
      </c>
      <c r="AZ347" s="72" t="n">
        <v>7.58</v>
      </c>
      <c r="BA347" s="64" t="inlineStr">
        <is>
          <t>2026-08-28</t>
        </is>
      </c>
      <c r="BB347" s="65" t="n">
        <v>8091.2</v>
      </c>
      <c r="BC347" s="68" t="n">
        <v>1743.1</v>
      </c>
      <c r="BD347" s="63" t="inlineStr">
        <is>
          <t>Y</t>
        </is>
      </c>
      <c r="BE347" s="74" t="n">
        <v>37.3</v>
      </c>
      <c r="BF347" s="74" t="n"/>
      <c r="BG347" s="74" t="n"/>
      <c r="BH347" s="74" t="n">
        <v>8</v>
      </c>
      <c r="BI347" s="75">
        <f>IF('BBG Verify'!S347="","not filed — run on terminal",'BBG Verify'!S347)</f>
        <v/>
      </c>
      <c r="BJ347" s="76" t="inlineStr">
        <is>
          <t>N</t>
        </is>
      </c>
      <c r="BK347" s="77">
        <f>IF('BBG Verify'!K347="","not filed — run on terminal",'BBG Verify'!K347)</f>
        <v/>
      </c>
      <c r="BL347" s="63" t="inlineStr">
        <is>
          <t>N/A</t>
        </is>
      </c>
      <c r="BM347" s="63" t="inlineStr">
        <is>
          <t>N/A</t>
        </is>
      </c>
      <c r="BN347" s="63" t="inlineStr">
        <is>
          <t>N/A</t>
        </is>
      </c>
      <c r="BO347" s="63" t="inlineStr">
        <is>
          <t>N/A</t>
        </is>
      </c>
      <c r="BP347" s="63" t="inlineStr">
        <is>
          <t>N/A</t>
        </is>
      </c>
      <c r="BQ347" s="63" t="inlineStr">
        <is>
          <t>N/A</t>
        </is>
      </c>
      <c r="BR347" s="76" t="inlineStr">
        <is>
          <t>Morgan Stanley; Goldman Sachs</t>
        </is>
      </c>
      <c r="BS347" s="63" t="inlineStr">
        <is>
          <t>Goldman Sachs (Asia) L.L.C.; Huatai Financial Holdings (Hong Kong) Limited; Morgan Stanley Asia Limited</t>
        </is>
      </c>
      <c r="BT347" s="63" t="inlineStr">
        <is>
          <t>Futu Securities International (Hong Kong) Limited; Goldman Sachs (Asia) L.L.C.; Huatai Financial Holdings (Hong Kong) Limited; Morgan Stanley Asia Limited; Tiger Brokers (HK) Global Limited</t>
        </is>
      </c>
      <c r="BU347" s="63" t="inlineStr">
        <is>
          <t>Futu Securities International (Hong Kong) Limited; Goldman Sachs (Asia) L.L.C.; Huatai Financial Holdings (Hong Kong) Limited; Morgan Stanley Asia Limited; Tiger Brokers (HK) Global Limited</t>
        </is>
      </c>
      <c r="BV347" s="78">
        <f>HYPERLINK("https://www1.hkexnews.hk/listedco/listconews/sehk/2025/0625/2025062500135.pdf","prospectus")</f>
        <v/>
      </c>
      <c r="BW347" s="78">
        <f>HYPERLINK("https://www1.hkexnews.hk/listedco/listconews/sehk/2025/0703/2025070302291.pdf","allotment")</f>
        <v/>
      </c>
      <c r="BX347" s="63" t="n"/>
      <c r="BY347" s="76" t="n"/>
      <c r="BZ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72" t="n"/>
      <c r="AC348" s="66" t="n"/>
      <c r="AD348" s="72" t="n"/>
      <c r="AE348" s="63" t="n"/>
      <c r="AF348" s="63" t="n"/>
      <c r="AG348" s="63" t="inlineStr">
        <is>
          <t>2025-08-01</t>
        </is>
      </c>
      <c r="AH348" s="63" t="inlineStr">
        <is>
          <t>Morgan Stanley Asia Limited</t>
        </is>
      </c>
      <c r="AI348" s="63" t="inlineStr">
        <is>
          <t>Morgan Stanley</t>
        </is>
      </c>
      <c r="AJ348" s="73" t="n">
        <v>1.05</v>
      </c>
      <c r="AK348" s="72" t="n">
        <v>0</v>
      </c>
      <c r="AL348" s="72" t="n">
        <v>1.05</v>
      </c>
      <c r="AM348" s="72" t="n">
        <v>0.66</v>
      </c>
      <c r="AN348" s="72" t="n">
        <v>0.26</v>
      </c>
      <c r="AO348" s="72" t="n">
        <v>21.05</v>
      </c>
      <c r="AP348" s="72" t="n">
        <v>-0.39</v>
      </c>
      <c r="AQ348" s="72" t="n">
        <v>-0.78</v>
      </c>
      <c r="AR348" s="72" t="n">
        <v>19.79</v>
      </c>
      <c r="AS348" s="72" t="n">
        <v>-1.24</v>
      </c>
      <c r="AT348" s="72" t="n">
        <v>-2.16</v>
      </c>
      <c r="AU348" s="72" t="n">
        <v>17.63</v>
      </c>
      <c r="AV348" s="72" t="n">
        <v>-3.35</v>
      </c>
      <c r="AW348" s="72" t="n">
        <v>2.42</v>
      </c>
      <c r="AX348" s="72" t="n">
        <v>2.57</v>
      </c>
      <c r="AY348" s="63" t="inlineStr">
        <is>
          <t>Hang Seng Finance sub-index</t>
        </is>
      </c>
      <c r="AZ348" s="72" t="n">
        <v>-12.68</v>
      </c>
      <c r="BA348" s="64" t="inlineStr">
        <is>
          <t>2026-08-28</t>
        </is>
      </c>
      <c r="BB348" s="65" t="n">
        <v>21247.2</v>
      </c>
      <c r="BC348" s="68" t="n">
        <v>187.2</v>
      </c>
      <c r="BD348" s="63" t="inlineStr">
        <is>
          <t>Y</t>
        </is>
      </c>
      <c r="BE348" s="74" t="n">
        <v>258</v>
      </c>
      <c r="BF348" s="74" t="n"/>
      <c r="BG348" s="74" t="n">
        <v>38.4</v>
      </c>
      <c r="BH348" s="74" t="n">
        <v>2.3</v>
      </c>
      <c r="BI348" s="75">
        <f>IF('BBG Verify'!S348="","not filed — run on terminal",'BBG Verify'!S348)</f>
        <v/>
      </c>
      <c r="BJ348" s="76" t="inlineStr">
        <is>
          <t>N</t>
        </is>
      </c>
      <c r="BK348" s="77">
        <f>IF('BBG Verify'!K348="","not filed — run on terminal",'BBG Verify'!K348)</f>
        <v/>
      </c>
      <c r="BL348" s="63" t="inlineStr">
        <is>
          <t>N/A</t>
        </is>
      </c>
      <c r="BM348" s="63" t="inlineStr">
        <is>
          <t>N/A</t>
        </is>
      </c>
      <c r="BN348" s="63" t="inlineStr">
        <is>
          <t>N/A</t>
        </is>
      </c>
      <c r="BO348" s="63" t="inlineStr">
        <is>
          <t>N/A</t>
        </is>
      </c>
      <c r="BP348" s="63" t="inlineStr">
        <is>
          <t>N/A</t>
        </is>
      </c>
      <c r="BQ348" s="63" t="inlineStr">
        <is>
          <t>N/A</t>
        </is>
      </c>
      <c r="BR348" s="76" t="inlineStr">
        <is>
          <t>Morgan Stanley; Goldman Sachs</t>
        </is>
      </c>
      <c r="BS348" s="63" t="inlineStr">
        <is>
          <t>Morgan Stanley Asia Limited; Goldman Sachs (Asia) L.L.C.</t>
        </is>
      </c>
      <c r="BT348" s="63" t="inlineStr">
        <is>
          <t>BOCOM International Securities Limited; CCB International Capital Limited; CMB International Capital Limited; DBS Asia Capital Limited; Goldman Sachs (Asia) L.L.C.; Huatai Financial Holdings (Hong Kong) Limited</t>
        </is>
      </c>
      <c r="BU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V348" s="63" t="n"/>
      <c r="BW348" s="78">
        <f>HYPERLINK("https://www1.hkexnews.hk/listedco/listconews/sehk/2025/0704/2025070402160.pdf","allotment")</f>
        <v/>
      </c>
      <c r="BX348" s="63" t="n"/>
      <c r="BY348" s="76" t="n"/>
      <c r="BZ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72" t="n">
        <v>19</v>
      </c>
      <c r="AC349" s="66" t="n">
        <v>23.8</v>
      </c>
      <c r="AD349" s="72" t="n">
        <v>-13.03</v>
      </c>
      <c r="AE349" s="63" t="inlineStr">
        <is>
          <t>Y</t>
        </is>
      </c>
      <c r="AF349" s="63" t="inlineStr">
        <is>
          <t>lapsed (no over-allocation)</t>
        </is>
      </c>
      <c r="AG349" s="63" t="inlineStr">
        <is>
          <t>2025-08-03</t>
        </is>
      </c>
      <c r="AH349" s="63" t="inlineStr">
        <is>
          <t>Haitong International Securities Company Limited</t>
        </is>
      </c>
      <c r="AI349" s="63" t="inlineStr">
        <is>
          <t>Haitong</t>
        </is>
      </c>
      <c r="AJ349" s="73" t="n">
        <v>3.5</v>
      </c>
      <c r="AK349" s="72" t="n">
        <v>20</v>
      </c>
      <c r="AL349" s="72" t="n">
        <v>-13.75</v>
      </c>
      <c r="AM349" s="72" t="n">
        <v>-10.5</v>
      </c>
      <c r="AN349" s="72" t="n">
        <v>-28.5</v>
      </c>
      <c r="AO349" s="72" t="n">
        <v>-35.95</v>
      </c>
      <c r="AP349" s="72" t="n">
        <v>-13.53</v>
      </c>
      <c r="AQ349" s="72" t="n">
        <v>-30.92</v>
      </c>
      <c r="AR349" s="72" t="n">
        <v>-38.12</v>
      </c>
      <c r="AS349" s="72" t="n">
        <v>-17.67</v>
      </c>
      <c r="AT349" s="72" t="n">
        <v>-43.78</v>
      </c>
      <c r="AU349" s="72" t="n">
        <v>-67.8</v>
      </c>
      <c r="AV349" s="72" t="n">
        <v>-44.22</v>
      </c>
      <c r="AW349" s="72" t="n">
        <v>15.28</v>
      </c>
      <c r="AX349" s="72" t="n">
        <v>13.3</v>
      </c>
      <c r="AY349" s="63" t="inlineStr">
        <is>
          <t>China Biotech ETF (HS biotech proxy)</t>
        </is>
      </c>
      <c r="AZ349" s="72" t="n">
        <v>36.3</v>
      </c>
      <c r="BA349" s="64" t="inlineStr">
        <is>
          <t>2026-08-28</t>
        </is>
      </c>
      <c r="BB349" s="65" t="n">
        <v>447.8</v>
      </c>
      <c r="BC349" s="68" t="n">
        <v>68.8</v>
      </c>
      <c r="BD349" s="63" t="inlineStr">
        <is>
          <t>Y</t>
        </is>
      </c>
      <c r="BE349" s="74" t="n">
        <v>14.4</v>
      </c>
      <c r="BF349" s="74" t="n">
        <v>20.1</v>
      </c>
      <c r="BG349" s="74" t="n">
        <v>26.1</v>
      </c>
      <c r="BH349" s="74" t="n">
        <v>2.2</v>
      </c>
      <c r="BI349" s="75">
        <f>IF('BBG Verify'!S349="","not filed — run on terminal",'BBG Verify'!S349)</f>
        <v/>
      </c>
      <c r="BJ349" s="76" t="inlineStr">
        <is>
          <t>N</t>
        </is>
      </c>
      <c r="BK349" s="77">
        <f>IF('BBG Verify'!K349="","not filed — run on terminal",'BBG Verify'!K349)</f>
        <v/>
      </c>
      <c r="BL349" s="63" t="inlineStr">
        <is>
          <t>N/A</t>
        </is>
      </c>
      <c r="BM349" s="63" t="inlineStr">
        <is>
          <t>N/A</t>
        </is>
      </c>
      <c r="BN349" s="63" t="inlineStr">
        <is>
          <t>N/A</t>
        </is>
      </c>
      <c r="BO349" s="63" t="inlineStr">
        <is>
          <t>N/A</t>
        </is>
      </c>
      <c r="BP349" s="63" t="inlineStr">
        <is>
          <t>N/A</t>
        </is>
      </c>
      <c r="BQ349" s="63" t="inlineStr">
        <is>
          <t>N/A</t>
        </is>
      </c>
      <c r="BR349" s="76" t="inlineStr">
        <is>
          <t>Haitong International Capital Limited</t>
        </is>
      </c>
      <c r="BS349" s="63" t="inlineStr">
        <is>
          <t>Haitong International Holdings Limited</t>
        </is>
      </c>
      <c r="BT349" s="63" t="inlineStr">
        <is>
          <t>Haitong International Securities Company Limited</t>
        </is>
      </c>
      <c r="BU349" s="63" t="inlineStr">
        <is>
          <t>Haitong International Securities Company Limited; Livermore Holdings Limited</t>
        </is>
      </c>
      <c r="BV349" s="78">
        <f>HYPERLINK("https://www1.hkexnews.hk/listedco/listconews/sehk/2025/0630/2025063000019.pdf","prospectus")</f>
        <v/>
      </c>
      <c r="BW349" s="78">
        <f>HYPERLINK("https://www1.hkexnews.hk/listedco/listconews/sehk/2025/0708/2025070801104.pdf","allotment")</f>
        <v/>
      </c>
      <c r="BX349" s="78">
        <f>HYPERLINK("https://www1.hkexnews.hk/listedco/listconews/sehk/2025/0804/2025080401259.pdf","stabilisation")</f>
        <v/>
      </c>
      <c r="BY349" s="76" t="n"/>
      <c r="BZ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72" t="n"/>
      <c r="AC350" s="66" t="n"/>
      <c r="AD350" s="72" t="n"/>
      <c r="AE350" s="63" t="n"/>
      <c r="AF350" s="63" t="inlineStr">
        <is>
          <t>partial</t>
        </is>
      </c>
      <c r="AG350" s="63" t="n"/>
      <c r="AH350" s="63" t="inlineStr">
        <is>
          <t>Morgan Stanley Asia Limited</t>
        </is>
      </c>
      <c r="AI350" s="63" t="inlineStr">
        <is>
          <t>Morgan Stanley</t>
        </is>
      </c>
      <c r="AJ350" s="73" t="n">
        <v>5.36</v>
      </c>
      <c r="AK350" s="72" t="n">
        <v>0.6</v>
      </c>
      <c r="AL350" s="72" t="n">
        <v>4.73</v>
      </c>
      <c r="AM350" s="72" t="n">
        <v>12.62</v>
      </c>
      <c r="AN350" s="72" t="n">
        <v>9.880000000000001</v>
      </c>
      <c r="AO350" s="72" t="n">
        <v>92.5</v>
      </c>
      <c r="AP350" s="72" t="n">
        <v>6.89</v>
      </c>
      <c r="AQ350" s="72" t="n">
        <v>4.29</v>
      </c>
      <c r="AR350" s="72" t="n">
        <v>82.70999999999999</v>
      </c>
      <c r="AS350" s="72" t="n">
        <v>10.81</v>
      </c>
      <c r="AT350" s="72" t="n">
        <v>5.87</v>
      </c>
      <c r="AU350" s="72" t="n">
        <v>70.44</v>
      </c>
      <c r="AV350" s="72" t="n">
        <v>-1.43</v>
      </c>
      <c r="AW350" s="72" t="n">
        <v>4.01</v>
      </c>
      <c r="AX350" s="72" t="n">
        <v>5.72</v>
      </c>
      <c r="AY350" s="63" t="inlineStr">
        <is>
          <t>HSTECH (Hang Seng TECH ETF)</t>
        </is>
      </c>
      <c r="AZ350" s="72" t="n">
        <v>-39.4</v>
      </c>
      <c r="BA350" s="64" t="inlineStr">
        <is>
          <t>2026-08-28</t>
        </is>
      </c>
      <c r="BB350" s="65" t="n">
        <v>2649.9</v>
      </c>
      <c r="BC350" s="68" t="n">
        <v>-1239.4</v>
      </c>
      <c r="BD350" s="63" t="inlineStr">
        <is>
          <t>N</t>
        </is>
      </c>
      <c r="BE350" s="63" t="inlineStr">
        <is>
          <t>n/m</t>
        </is>
      </c>
      <c r="BF350" s="74" t="n"/>
      <c r="BG350" s="74" t="n"/>
      <c r="BH350" s="74" t="n">
        <v>8.199999999999999</v>
      </c>
      <c r="BI350" s="75">
        <f>IF('BBG Verify'!S350="","not filed — run on terminal",'BBG Verify'!S350)</f>
        <v/>
      </c>
      <c r="BJ350" s="76" t="inlineStr">
        <is>
          <t>N</t>
        </is>
      </c>
      <c r="BK350" s="77">
        <f>IF('BBG Verify'!K350="","not filed — run on terminal",'BBG Verify'!K350)</f>
        <v/>
      </c>
      <c r="BL350" s="63" t="inlineStr">
        <is>
          <t>N/A</t>
        </is>
      </c>
      <c r="BM350" s="63" t="inlineStr">
        <is>
          <t>N/A</t>
        </is>
      </c>
      <c r="BN350" s="63" t="inlineStr">
        <is>
          <t>N/A</t>
        </is>
      </c>
      <c r="BO350" s="63" t="inlineStr">
        <is>
          <t>N/A</t>
        </is>
      </c>
      <c r="BP350" s="63" t="inlineStr">
        <is>
          <t>N/A</t>
        </is>
      </c>
      <c r="BQ350" s="63" t="inlineStr">
        <is>
          <t>N/A</t>
        </is>
      </c>
      <c r="BR350" s="76" t="inlineStr">
        <is>
          <t>Morgan Stanley Asia Limited; China International Capital Corporation Hong Kong Securities Limited</t>
        </is>
      </c>
      <c r="BS350" s="63" t="inlineStr">
        <is>
          <t>China International Capital Corporation Hong Kong Securities Limited; Morgan Stanley Asia Limited</t>
        </is>
      </c>
      <c r="BT350" s="63" t="inlineStr">
        <is>
          <t>China International Capital Corporation Hong Kong Securities Limited; CMB International Capital Limited; Deutsche Bank AG, Hong Kong Branch; DBS Asia Capital Limited; Daiwa Capital Markets Hong Kong Limited; GF Securities (Hong Kong) Brokerage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V350" s="78">
        <f>HYPERLINK("https://www1.hkexnews.hk/listedco/listconews/sehk/2025/0630/2025063000025.pdf","prospectus")</f>
        <v/>
      </c>
      <c r="BW350" s="78">
        <f>HYPERLINK("https://www1.hkexnews.hk/listedco/listconews/sehk/2025/0708/2025070801126.pdf","allotment")</f>
        <v/>
      </c>
      <c r="BX350" s="78">
        <f>HYPERLINK("https://www1.hkexnews.hk/listedco/listconews/sehk/2025/0804/2025080400319.pdf","stabilisation")</f>
        <v/>
      </c>
      <c r="BY350" s="76" t="n"/>
      <c r="BZ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72" t="n">
        <v>2.6</v>
      </c>
      <c r="AC351" s="66" t="n">
        <v>13.9</v>
      </c>
      <c r="AD351" s="72" t="n">
        <v>-2.32</v>
      </c>
      <c r="AE351" s="63" t="inlineStr">
        <is>
          <t>Y</t>
        </is>
      </c>
      <c r="AF351" s="63" t="inlineStr">
        <is>
          <t>lapsed (no over-allocation)</t>
        </is>
      </c>
      <c r="AG351" s="63" t="inlineStr">
        <is>
          <t>2025-08-03</t>
        </is>
      </c>
      <c r="AH351" s="63" t="inlineStr">
        <is>
          <t>DBS Asia Capital Limited</t>
        </is>
      </c>
      <c r="AI351" s="63" t="inlineStr">
        <is>
          <t>DBS</t>
        </is>
      </c>
      <c r="AJ351" s="73" t="n">
        <v>0.22</v>
      </c>
      <c r="AK351" s="72" t="n">
        <v>7.16</v>
      </c>
      <c r="AL351" s="72" t="n">
        <v>-6.48</v>
      </c>
      <c r="AM351" s="72" t="n">
        <v>-0.37</v>
      </c>
      <c r="AN351" s="72" t="n">
        <v>-0.37</v>
      </c>
      <c r="AO351" s="72" t="n">
        <v>47.6</v>
      </c>
      <c r="AP351" s="72" t="n">
        <v>-0.59</v>
      </c>
      <c r="AQ351" s="72" t="n">
        <v>-0.59</v>
      </c>
      <c r="AR351" s="72" t="n">
        <v>47.28</v>
      </c>
      <c r="AS351" s="72" t="n">
        <v>-2.18</v>
      </c>
      <c r="AT351" s="72" t="n">
        <v>-4.38</v>
      </c>
      <c r="AU351" s="72" t="n">
        <v>25.54</v>
      </c>
      <c r="AV351" s="72" t="n">
        <v>-6.31</v>
      </c>
      <c r="AW351" s="72" t="n">
        <v>4.01</v>
      </c>
      <c r="AX351" s="72" t="n">
        <v>5.72</v>
      </c>
      <c r="AY351" s="63" t="inlineStr">
        <is>
          <t>HSTECH (Hang Seng TECH ETF)</t>
        </is>
      </c>
      <c r="AZ351" s="72" t="n">
        <v>221.33</v>
      </c>
      <c r="BA351" s="64" t="inlineStr">
        <is>
          <t>2026-08-28</t>
        </is>
      </c>
      <c r="BB351" s="65" t="n">
        <v>1009.4</v>
      </c>
      <c r="BC351" s="68" t="n">
        <v>55.7</v>
      </c>
      <c r="BD351" s="63" t="inlineStr">
        <is>
          <t>Y</t>
        </is>
      </c>
      <c r="BE351" s="74" t="n">
        <v>29.6</v>
      </c>
      <c r="BF351" s="74" t="n">
        <v>21.1</v>
      </c>
      <c r="BG351" s="74" t="n">
        <v>50.8</v>
      </c>
      <c r="BH351" s="74" t="n">
        <v>1.6</v>
      </c>
      <c r="BI351" s="75">
        <f>IF('BBG Verify'!S351="","not filed — run on terminal",'BBG Verify'!S351)</f>
        <v/>
      </c>
      <c r="BJ351" s="76" t="inlineStr">
        <is>
          <t>N</t>
        </is>
      </c>
      <c r="BK351" s="77">
        <f>IF('BBG Verify'!K351="","not filed — run on terminal",'BBG Verify'!K351)</f>
        <v/>
      </c>
      <c r="BL351" s="63" t="inlineStr">
        <is>
          <t>N/A</t>
        </is>
      </c>
      <c r="BM351" s="63" t="inlineStr">
        <is>
          <t>N/A</t>
        </is>
      </c>
      <c r="BN351" s="63" t="inlineStr">
        <is>
          <t>N/A</t>
        </is>
      </c>
      <c r="BO351" s="63" t="inlineStr">
        <is>
          <t>N/A</t>
        </is>
      </c>
      <c r="BP351" s="63" t="inlineStr">
        <is>
          <t>N/A</t>
        </is>
      </c>
      <c r="BQ351" s="63" t="inlineStr">
        <is>
          <t>N/A</t>
        </is>
      </c>
      <c r="BR351" s="76" t="n"/>
      <c r="BS351" s="63" t="inlineStr">
        <is>
          <t>DBS Asia Capital Limited</t>
        </is>
      </c>
      <c r="BT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U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V351" s="78">
        <f>HYPERLINK("https://www1.hkexnews.hk/listedco/listconews/sehk/2025/0630/2025063000023.pdf","prospectus")</f>
        <v/>
      </c>
      <c r="BW351" s="78">
        <f>HYPERLINK("https://www1.hkexnews.hk/listedco/listconews/sehk/2025/0708/2025070801152.pdf","allotment")</f>
        <v/>
      </c>
      <c r="BX351" s="78">
        <f>HYPERLINK("https://www1.hkexnews.hk/listedco/listconews/sehk/2025/0804/2025080400029.pdf","stabilisation")</f>
        <v/>
      </c>
      <c r="BY351" s="76" t="n"/>
      <c r="BZ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72" t="n"/>
      <c r="AC352" s="66" t="n"/>
      <c r="AD352" s="72" t="n"/>
      <c r="AE352" s="63" t="n"/>
      <c r="AF352" s="63" t="inlineStr">
        <is>
          <t>full</t>
        </is>
      </c>
      <c r="AG352" s="63" t="n"/>
      <c r="AH352" s="63" t="n"/>
      <c r="AI352" s="63" t="n"/>
      <c r="AJ352" s="73" t="n">
        <v>16.02</v>
      </c>
      <c r="AK352" s="72" t="n">
        <v>8.550000000000001</v>
      </c>
      <c r="AL352" s="72" t="n">
        <v>6.88</v>
      </c>
      <c r="AM352" s="72" t="n">
        <v>25.81</v>
      </c>
      <c r="AN352" s="72" t="n">
        <v>30.87</v>
      </c>
      <c r="AO352" s="72" t="n">
        <v>65.06</v>
      </c>
      <c r="AP352" s="72" t="n">
        <v>8.44</v>
      </c>
      <c r="AQ352" s="72" t="n">
        <v>12.8</v>
      </c>
      <c r="AR352" s="72" t="n">
        <v>42.27</v>
      </c>
      <c r="AS352" s="72" t="n">
        <v>24</v>
      </c>
      <c r="AT352" s="72" t="n">
        <v>26.86</v>
      </c>
      <c r="AU352" s="72" t="n">
        <v>43</v>
      </c>
      <c r="AV352" s="72" t="n">
        <v>7.08</v>
      </c>
      <c r="AW352" s="72" t="n">
        <v>4.01</v>
      </c>
      <c r="AX352" s="72" t="n">
        <v>5.72</v>
      </c>
      <c r="AY352" s="63" t="inlineStr">
        <is>
          <t>HSTECH (Hang Seng TECH ETF)</t>
        </is>
      </c>
      <c r="AZ352" s="72" t="n">
        <v>-2.57</v>
      </c>
      <c r="BA352" s="64" t="inlineStr">
        <is>
          <t>2026-08-28</t>
        </is>
      </c>
      <c r="BB352" s="65" t="n">
        <v>660.4</v>
      </c>
      <c r="BC352" s="68" t="n">
        <v>156.2</v>
      </c>
      <c r="BD352" s="63" t="inlineStr">
        <is>
          <t>Y</t>
        </is>
      </c>
      <c r="BE352" s="74" t="n">
        <v>83.7</v>
      </c>
      <c r="BF352" s="74" t="n">
        <v>53.1</v>
      </c>
      <c r="BG352" s="74" t="n">
        <v>48.1</v>
      </c>
      <c r="BH352" s="74" t="n">
        <v>19.8</v>
      </c>
      <c r="BI352" s="75">
        <f>IF('BBG Verify'!S352="","not filed — run on terminal",'BBG Verify'!S352)</f>
        <v/>
      </c>
      <c r="BJ352" s="76" t="inlineStr">
        <is>
          <t>Y</t>
        </is>
      </c>
      <c r="BK352" s="63" t="inlineStr">
        <is>
          <t>688279.SS</t>
        </is>
      </c>
      <c r="BL352" s="72" t="n">
        <v>66.31999999999999</v>
      </c>
      <c r="BM352" s="66" t="n">
        <v>200.418</v>
      </c>
      <c r="BN352" s="80" t="n">
        <v>0.8594000000000001</v>
      </c>
      <c r="BO352" s="68" t="n">
        <v>26523.6</v>
      </c>
      <c r="BP352" s="75">
        <f>IF('BBG Verify'!Q352="","run on terminal",'BBG Verify'!Q352)</f>
        <v/>
      </c>
      <c r="BQ352" s="75">
        <f>IF('BBG Verify'!R352="","run on terminal",'BBG Verify'!R352)</f>
        <v/>
      </c>
      <c r="BR352" s="76" t="inlineStr">
        <is>
          <t>China International Capital Corporation Hong Kong Securities Limited</t>
        </is>
      </c>
      <c r="BS352" s="63" t="inlineStr">
        <is>
          <t>China International Capital Corporation Hong Kong Securities Limited</t>
        </is>
      </c>
      <c r="BT352" s="63" t="inlineStr">
        <is>
          <t>China International Capital Corporation Hong Kong Securities Limited; BOCI Asia Limited; GF Securities (Hong Kong) Brokerage Limited</t>
        </is>
      </c>
      <c r="BU352" s="63" t="inlineStr">
        <is>
          <t>BOCI Asia Limited; China International Capital Corporation Hong Kong Securities Limited; GF Securities (Hong Kong) Brokerage Limited</t>
        </is>
      </c>
      <c r="BV352" s="78">
        <f>HYPERLINK("https://www1.hkexnews.hk/listedco/listconews/sehk/2025/0630/2025063000015.pdf","prospectus")</f>
        <v/>
      </c>
      <c r="BW352" s="78">
        <f>HYPERLINK("https://www1.hkexnews.hk/listedco/listconews/sehk/2025/0708/2025070801154.pdf","allotment")</f>
        <v/>
      </c>
      <c r="BX352" s="78">
        <f>HYPERLINK("https://www1.hkexnews.hk/listedco/listconews/sehk/2025/0803/2025080300007.pdf","stabilisation")</f>
        <v/>
      </c>
      <c r="BY352" s="76" t="n"/>
      <c r="BZ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72" t="n"/>
      <c r="AC353" s="66" t="n"/>
      <c r="AD353" s="72" t="n"/>
      <c r="AE353" s="63" t="n"/>
      <c r="AF353" s="63" t="inlineStr">
        <is>
          <t>full</t>
        </is>
      </c>
      <c r="AG353" s="63" t="inlineStr">
        <is>
          <t>2025-08-03</t>
        </is>
      </c>
      <c r="AH353" s="63" t="inlineStr">
        <is>
          <t>C LSA Limited</t>
        </is>
      </c>
      <c r="AI353" s="63" t="inlineStr">
        <is>
          <t>C LSA</t>
        </is>
      </c>
      <c r="AJ353" s="73" t="n">
        <v>9.130000000000001</v>
      </c>
      <c r="AK353" s="72" t="n">
        <v>3.85</v>
      </c>
      <c r="AL353" s="72" t="n">
        <v>5.08</v>
      </c>
      <c r="AM353" s="72" t="n">
        <v>6.38</v>
      </c>
      <c r="AN353" s="72" t="n">
        <v>16.06</v>
      </c>
      <c r="AO353" s="72" t="n">
        <v>76.79000000000001</v>
      </c>
      <c r="AP353" s="72" t="n">
        <v>-2.52</v>
      </c>
      <c r="AQ353" s="72" t="n">
        <v>6.35</v>
      </c>
      <c r="AR353" s="72" t="n">
        <v>62</v>
      </c>
      <c r="AS353" s="72" t="n">
        <v>4.57</v>
      </c>
      <c r="AT353" s="72" t="n">
        <v>12.05</v>
      </c>
      <c r="AU353" s="72" t="n">
        <v>54.73</v>
      </c>
      <c r="AV353" s="72" t="n">
        <v>0.63</v>
      </c>
      <c r="AW353" s="72" t="n">
        <v>4.01</v>
      </c>
      <c r="AX353" s="72" t="n">
        <v>5.72</v>
      </c>
      <c r="AY353" s="63" t="inlineStr">
        <is>
          <t>HSTECH (Hang Seng TECH ETF)</t>
        </is>
      </c>
      <c r="AZ353" s="72" t="n">
        <v>36.41</v>
      </c>
      <c r="BA353" s="64" t="inlineStr">
        <is>
          <t>2026-08-28</t>
        </is>
      </c>
      <c r="BB353" s="65" t="n"/>
      <c r="BC353" s="68" t="n">
        <v>4044.5</v>
      </c>
      <c r="BD353" s="63" t="inlineStr">
        <is>
          <t>Y</t>
        </is>
      </c>
      <c r="BE353" s="74" t="n">
        <v>23.8</v>
      </c>
      <c r="BF353" s="74" t="n">
        <v>22.9</v>
      </c>
      <c r="BG353" s="74" t="n">
        <v>30.1</v>
      </c>
      <c r="BH353" s="74" t="n"/>
      <c r="BI353" s="75">
        <f>IF('BBG Verify'!S353="","not filed — run on terminal",'BBG Verify'!S353)</f>
        <v/>
      </c>
      <c r="BJ353" s="76" t="inlineStr">
        <is>
          <t>Y</t>
        </is>
      </c>
      <c r="BK353" s="63" t="inlineStr">
        <is>
          <t>300433.SZ</t>
        </is>
      </c>
      <c r="BL353" s="72" t="n">
        <v>40.38</v>
      </c>
      <c r="BM353" s="66" t="n">
        <v>25.5213</v>
      </c>
      <c r="BN353" s="80" t="n">
        <v>0.8149</v>
      </c>
      <c r="BO353" s="68" t="n">
        <v>239798</v>
      </c>
      <c r="BP353" s="75">
        <f>IF('BBG Verify'!Q353="","run on terminal",'BBG Verify'!Q353)</f>
        <v/>
      </c>
      <c r="BQ353" s="75">
        <f>IF('BBG Verify'!R353="","run on terminal",'BBG Verify'!R353)</f>
        <v/>
      </c>
      <c r="BR353" s="76" t="inlineStr">
        <is>
          <t>CITIC Securities (Hong Kong) Limited</t>
        </is>
      </c>
      <c r="BS353" s="63" t="inlineStr">
        <is>
          <t>CITIC Securities (Hong Kong) Limited</t>
        </is>
      </c>
      <c r="BT353" s="63" t="inlineStr">
        <is>
          <t>CLSA Limited; Merrill Lynch (Asia Pacific) Limited; ABCI Capital Limited; BOCI Asia Limited; Futu Securities International (Hong Kong) Limited; AVICT Global Asset Management Limited</t>
        </is>
      </c>
      <c r="BU353" s="63" t="inlineStr">
        <is>
          <t>ABCI Securities Company Limited; AVICT Global Asset Management Limited; BOCI Asia Limited; CLSA Limited; Futu Securities International (Hong Kong) Limited; Merrill Lynch (Asia Pacific) Limited</t>
        </is>
      </c>
      <c r="BV353" s="78">
        <f>HYPERLINK("https://www1.hkexnews.hk/listedco/listconews/sehk/2025/0630/2025063000031.pdf","prospectus")</f>
        <v/>
      </c>
      <c r="BW353" s="78">
        <f>HYPERLINK("https://www1.hkexnews.hk/listedco/listconews/sehk/2025/0708/2025070801180.pdf","allotment")</f>
        <v/>
      </c>
      <c r="BX353" s="78">
        <f>HYPERLINK("https://www1.hkexnews.hk/listedco/listconews/sehk/2025/0803/2025080300029.pdf","stabilisation")</f>
        <v/>
      </c>
      <c r="BY353" s="76" t="n"/>
      <c r="BZ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72" t="n"/>
      <c r="AC354" s="66" t="n"/>
      <c r="AD354" s="72" t="n"/>
      <c r="AE354" s="63" t="n"/>
      <c r="AF354" s="63" t="inlineStr">
        <is>
          <t>full</t>
        </is>
      </c>
      <c r="AG354" s="63" t="n"/>
      <c r="AH354" s="63" t="inlineStr">
        <is>
          <t>Morgan Stanley Asia Limited</t>
        </is>
      </c>
      <c r="AI354" s="63" t="inlineStr">
        <is>
          <t>Morgan Stanley</t>
        </is>
      </c>
      <c r="AJ354" s="73" t="n">
        <v>91.70999999999999</v>
      </c>
      <c r="AK354" s="72" t="n">
        <v>106.86</v>
      </c>
      <c r="AL354" s="72" t="n">
        <v>-7.32</v>
      </c>
      <c r="AM354" s="72" t="n">
        <v>100</v>
      </c>
      <c r="AN354" s="72" t="n">
        <v>94.29000000000001</v>
      </c>
      <c r="AO354" s="72" t="n">
        <v>69.14</v>
      </c>
      <c r="AP354" s="72" t="n">
        <v>4.32</v>
      </c>
      <c r="AQ354" s="72" t="n">
        <v>1.35</v>
      </c>
      <c r="AR354" s="72" t="n">
        <v>-11.77</v>
      </c>
      <c r="AS354" s="72" t="n">
        <v>96.86</v>
      </c>
      <c r="AT354" s="72" t="n">
        <v>84.23999999999999</v>
      </c>
      <c r="AU354" s="72" t="n">
        <v>66.01000000000001</v>
      </c>
      <c r="AV354" s="72" t="n">
        <v>-8.779999999999999</v>
      </c>
      <c r="AW354" s="72" t="n">
        <v>10.05</v>
      </c>
      <c r="AX354" s="72" t="n">
        <v>10.13</v>
      </c>
      <c r="AY354" s="63" t="inlineStr">
        <is>
          <t>China Biotech ETF (HS biotech proxy)</t>
        </is>
      </c>
      <c r="AZ354" s="72" t="n">
        <v>105.57</v>
      </c>
      <c r="BA354" s="64" t="inlineStr">
        <is>
          <t>2026-08-28</t>
        </is>
      </c>
      <c r="BB354" s="65" t="n">
        <v>9.800000000000001</v>
      </c>
      <c r="BC354" s="68" t="n">
        <v>-95.2</v>
      </c>
      <c r="BD354" s="63" t="inlineStr">
        <is>
          <t>N</t>
        </is>
      </c>
      <c r="BE354" s="63" t="inlineStr">
        <is>
          <t>n/m</t>
        </is>
      </c>
      <c r="BF354" s="74" t="n"/>
      <c r="BG354" s="74" t="n"/>
      <c r="BH354" s="74" t="n">
        <v>608</v>
      </c>
      <c r="BI354" s="75">
        <f>IF('BBG Verify'!S354="","not filed — run on terminal",'BBG Verify'!S354)</f>
        <v/>
      </c>
      <c r="BJ354" s="76" t="inlineStr">
        <is>
          <t>N</t>
        </is>
      </c>
      <c r="BK354" s="77">
        <f>IF('BBG Verify'!K354="","not filed — run on terminal",'BBG Verify'!K354)</f>
        <v/>
      </c>
      <c r="BL354" s="63" t="inlineStr">
        <is>
          <t>N/A</t>
        </is>
      </c>
      <c r="BM354" s="63" t="inlineStr">
        <is>
          <t>N/A</t>
        </is>
      </c>
      <c r="BN354" s="63" t="inlineStr">
        <is>
          <t>N/A</t>
        </is>
      </c>
      <c r="BO354" s="63" t="inlineStr">
        <is>
          <t>N/A</t>
        </is>
      </c>
      <c r="BP354" s="63" t="inlineStr">
        <is>
          <t>N/A</t>
        </is>
      </c>
      <c r="BQ354" s="63" t="inlineStr">
        <is>
          <t>N/A</t>
        </is>
      </c>
      <c r="BR354" s="76" t="inlineStr">
        <is>
          <t>Morgan StanleyAsia Limited; CITIC Securities (Hong Kong) Limited; CLSA Limited</t>
        </is>
      </c>
      <c r="BS354" s="63" t="inlineStr">
        <is>
          <t>Morgan Stanley Asia Limited; CITIC Securities (Hong Kong) Limited</t>
        </is>
      </c>
      <c r="BT354" s="63" t="inlineStr">
        <is>
          <t>CCB International Capital Limited; CLSA Limited; CMB International Capital Limited; Futu Securities International (Hong Kong) Limited; Morgan Stanley Asia Limited</t>
        </is>
      </c>
      <c r="BU354" s="63" t="inlineStr">
        <is>
          <t>CCB International Capital Limited; CLSA Limited; CMB International Capital Limited; Futu Securities International (Hong Kong) Limited; Morgan Stanley Asia Limited</t>
        </is>
      </c>
      <c r="BV354" s="78">
        <f>HYPERLINK("https://www1.hkexnews.hk/listedco/listconews/sehk/2025/0717/2025071700005.pdf","prospectus")</f>
        <v/>
      </c>
      <c r="BW354" s="78">
        <f>HYPERLINK("https://www1.hkexnews.hk/listedco/listconews/sehk/2025/0724/2025072401812.pdf","allotment")</f>
        <v/>
      </c>
      <c r="BX354" s="78">
        <f>HYPERLINK("https://www1.hkexnews.hk/listedco/listconews/sehk/2025/0821/2025082100862.pdf","stabilisation")</f>
        <v/>
      </c>
      <c r="BY354" s="76" t="n"/>
      <c r="BZ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72" t="n"/>
      <c r="AC355" s="66" t="n"/>
      <c r="AD355" s="72" t="n"/>
      <c r="AE355" s="63" t="n"/>
      <c r="AF355" s="63" t="n"/>
      <c r="AG355" s="63" t="n"/>
      <c r="AH355" s="63" t="n"/>
      <c r="AI355" s="63" t="n"/>
      <c r="AJ355" s="73" t="n">
        <v>157.98</v>
      </c>
      <c r="AK355" s="72" t="n">
        <v>155.81</v>
      </c>
      <c r="AL355" s="72" t="n">
        <v>0.85</v>
      </c>
      <c r="AM355" s="72" t="n">
        <v>314.73</v>
      </c>
      <c r="AN355" s="72" t="n">
        <v>261.09</v>
      </c>
      <c r="AO355" s="72" t="n">
        <v>212.71</v>
      </c>
      <c r="AP355" s="72" t="n">
        <v>60.76</v>
      </c>
      <c r="AQ355" s="72" t="n">
        <v>39.97</v>
      </c>
      <c r="AR355" s="72" t="n">
        <v>21.21</v>
      </c>
      <c r="AS355" s="72" t="n">
        <v>307.69</v>
      </c>
      <c r="AT355" s="72" t="n">
        <v>248.23</v>
      </c>
      <c r="AU355" s="72" t="n">
        <v>212.81</v>
      </c>
      <c r="AV355" s="72" t="n">
        <v>27.97</v>
      </c>
      <c r="AW355" s="72" t="n">
        <v>12.86</v>
      </c>
      <c r="AX355" s="72" t="n">
        <v>12</v>
      </c>
      <c r="AY355" s="63" t="inlineStr">
        <is>
          <t>China Biotech ETF (HS biotech proxy)</t>
        </is>
      </c>
      <c r="AZ355" s="72" t="n">
        <v>127.29</v>
      </c>
      <c r="BA355" s="64" t="inlineStr">
        <is>
          <t>2026-08-28</t>
        </is>
      </c>
      <c r="BB355" s="65" t="n">
        <v>0.3</v>
      </c>
      <c r="BC355" s="68" t="n">
        <v>0</v>
      </c>
      <c r="BD355" s="63" t="inlineStr">
        <is>
          <t>N</t>
        </is>
      </c>
      <c r="BE355" s="63" t="inlineStr">
        <is>
          <t>n/m</t>
        </is>
      </c>
      <c r="BF355" s="74" t="n"/>
      <c r="BG355" s="74" t="n"/>
      <c r="BH355" s="74" t="n">
        <v>16918</v>
      </c>
      <c r="BI355" s="75">
        <f>IF('BBG Verify'!S355="","not filed — run on terminal",'BBG Verify'!S355)</f>
        <v/>
      </c>
      <c r="BJ355" s="76" t="inlineStr">
        <is>
          <t>N</t>
        </is>
      </c>
      <c r="BK355" s="77">
        <f>IF('BBG Verify'!K355="","not filed — run on terminal",'BBG Verify'!K355)</f>
        <v/>
      </c>
      <c r="BL355" s="63" t="inlineStr">
        <is>
          <t>N/A</t>
        </is>
      </c>
      <c r="BM355" s="63" t="inlineStr">
        <is>
          <t>N/A</t>
        </is>
      </c>
      <c r="BN355" s="63" t="inlineStr">
        <is>
          <t>N/A</t>
        </is>
      </c>
      <c r="BO355" s="63" t="inlineStr">
        <is>
          <t>N/A</t>
        </is>
      </c>
      <c r="BP355" s="63" t="inlineStr">
        <is>
          <t>N/A</t>
        </is>
      </c>
      <c r="BQ355" s="63" t="inlineStr">
        <is>
          <t>N/A</t>
        </is>
      </c>
      <c r="BR355" s="76" t="inlineStr">
        <is>
          <t>CITIC Securities (Hong Kong) Limited; CMB International Capital Limited</t>
        </is>
      </c>
      <c r="BS355" s="63" t="inlineStr">
        <is>
          <t>CITIC Securities (Hong Kong) Limited; CMB International Capital Limited</t>
        </is>
      </c>
      <c r="BT355" s="63" t="inlineStr">
        <is>
          <t>CLSA Limited; CMB International Capital Limited; Livermore Holdings Limited; Funde Securities Limited; Aristo Securities Limited; BOCI Asia Limited; ICBC International Securities Limited</t>
        </is>
      </c>
      <c r="BU355" s="63" t="inlineStr">
        <is>
          <t>Aristo Securities Limited; BOCI Asia Limited; CLSA Limited; CMB International Capital Limited; Funde Securities Limited; ICBC International Securities Limited; Livermore Holdings Limited</t>
        </is>
      </c>
      <c r="BV355" s="78">
        <f>HYPERLINK("https://www1.hkexnews.hk/listedco/listconews/sehk/2025/0731/2025073100087.pdf","prospectus")</f>
        <v/>
      </c>
      <c r="BW355" s="78">
        <f>HYPERLINK("https://www1.hkexnews.hk/listedco/listconews/sehk/2025/0808/2025080801368.pdf","allotment")</f>
        <v/>
      </c>
      <c r="BX355" s="63" t="n"/>
      <c r="BY355" s="76" t="n"/>
      <c r="BZ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72" t="n"/>
      <c r="AC356" s="66" t="n"/>
      <c r="AD356" s="72" t="n"/>
      <c r="AE356" s="63" t="n"/>
      <c r="AF356" s="63" t="n"/>
      <c r="AG356" s="63" t="n"/>
      <c r="AH356" s="63" t="inlineStr">
        <is>
          <t>CLSA Limited</t>
        </is>
      </c>
      <c r="AI356" s="63" t="inlineStr">
        <is>
          <t>CLSA</t>
        </is>
      </c>
      <c r="AJ356" s="73" t="n">
        <v>206.48</v>
      </c>
      <c r="AK356" s="72" t="n">
        <v>285.44</v>
      </c>
      <c r="AL356" s="72" t="n">
        <v>-20.49</v>
      </c>
      <c r="AM356" s="72" t="n">
        <v>183.73</v>
      </c>
      <c r="AN356" s="72" t="n">
        <v>137.37</v>
      </c>
      <c r="AO356" s="72" t="n">
        <v>84.58</v>
      </c>
      <c r="AP356" s="72" t="n">
        <v>-7.42</v>
      </c>
      <c r="AQ356" s="72" t="n">
        <v>-22.55</v>
      </c>
      <c r="AR356" s="72" t="n">
        <v>-39.77</v>
      </c>
      <c r="AS356" s="72" t="n">
        <v>180.94</v>
      </c>
      <c r="AT356" s="72" t="n">
        <v>131.52</v>
      </c>
      <c r="AU356" s="72" t="n">
        <v>86.28</v>
      </c>
      <c r="AV356" s="72" t="n">
        <v>-26.92</v>
      </c>
      <c r="AW356" s="72" t="n">
        <v>5.85</v>
      </c>
      <c r="AX356" s="72" t="n">
        <v>4.37</v>
      </c>
      <c r="AY356" s="63" t="inlineStr">
        <is>
          <t>China Biotech ETF (HS biotech proxy)</t>
        </is>
      </c>
      <c r="AZ356" s="72" t="n">
        <v>-79.68000000000001</v>
      </c>
      <c r="BA356" s="64" t="inlineStr">
        <is>
          <t>2026-08-28</t>
        </is>
      </c>
      <c r="BB356" s="65" t="n">
        <v>42</v>
      </c>
      <c r="BC356" s="68" t="n">
        <v>-68.09999999999999</v>
      </c>
      <c r="BD356" s="63" t="inlineStr">
        <is>
          <t>N</t>
        </is>
      </c>
      <c r="BE356" s="63" t="inlineStr">
        <is>
          <t>n/m</t>
        </is>
      </c>
      <c r="BF356" s="74" t="n"/>
      <c r="BG356" s="74" t="n"/>
      <c r="BH356" s="74" t="n">
        <v>203.2</v>
      </c>
      <c r="BI356" s="75">
        <f>IF('BBG Verify'!S356="","not filed — run on terminal",'BBG Verify'!S356)</f>
        <v/>
      </c>
      <c r="BJ356" s="76" t="inlineStr">
        <is>
          <t>N</t>
        </is>
      </c>
      <c r="BK356" s="77">
        <f>IF('BBG Verify'!K356="","not filed — run on terminal",'BBG Verify'!K356)</f>
        <v/>
      </c>
      <c r="BL356" s="63" t="inlineStr">
        <is>
          <t>N/A</t>
        </is>
      </c>
      <c r="BM356" s="63" t="inlineStr">
        <is>
          <t>N/A</t>
        </is>
      </c>
      <c r="BN356" s="63" t="inlineStr">
        <is>
          <t>N/A</t>
        </is>
      </c>
      <c r="BO356" s="63" t="inlineStr">
        <is>
          <t>N/A</t>
        </is>
      </c>
      <c r="BP356" s="63" t="inlineStr">
        <is>
          <t>N/A</t>
        </is>
      </c>
      <c r="BQ356" s="63" t="inlineStr">
        <is>
          <t>N/A</t>
        </is>
      </c>
      <c r="BR356" s="76" t="inlineStr">
        <is>
          <t>CITIC Securities (Hong Kong) Limited; China International Capital Corporation Hong Kong Securities Limited</t>
        </is>
      </c>
      <c r="BS356" s="63" t="inlineStr">
        <is>
          <t>China International Capital Corporation Hong Kong Securities Limited; CITIC Securities (Hong Kong) Limited</t>
        </is>
      </c>
      <c r="BT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U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V356" s="78">
        <f>HYPERLINK("https://www1.hkexnews.hk/listedco/listconews/sehk/2025/0807/2025080700013.pdf","prospectus")</f>
        <v/>
      </c>
      <c r="BW356" s="78">
        <f>HYPERLINK("https://www1.hkexnews.hk/listedco/listconews/sehk/2025/0814/2025081401622.pdf","allotment")</f>
        <v/>
      </c>
      <c r="BX356" s="63" t="n"/>
      <c r="BY356" s="76" t="n"/>
      <c r="BZ356"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72" t="n"/>
      <c r="AC357" s="66" t="n"/>
      <c r="AD357" s="72" t="n"/>
      <c r="AE357" s="63" t="n"/>
      <c r="AF357" s="63" t="inlineStr">
        <is>
          <t>full</t>
        </is>
      </c>
      <c r="AG357" s="63" t="inlineStr">
        <is>
          <t>2025-09-14</t>
        </is>
      </c>
      <c r="AH357" s="63" t="inlineStr">
        <is>
          <t>China International Capital Corporation Hong Kong Securities Limited</t>
        </is>
      </c>
      <c r="AI357" s="63" t="inlineStr">
        <is>
          <t>China International</t>
        </is>
      </c>
      <c r="AJ357" s="73" t="n">
        <v>6.4</v>
      </c>
      <c r="AK357" s="72" t="n">
        <v>6.54</v>
      </c>
      <c r="AL357" s="72" t="n">
        <v>-0.13</v>
      </c>
      <c r="AM357" s="72" t="n">
        <v>2.34</v>
      </c>
      <c r="AN357" s="72" t="n">
        <v>42.29</v>
      </c>
      <c r="AO357" s="72" t="n">
        <v>23.25</v>
      </c>
      <c r="AP357" s="72" t="n">
        <v>-3.82</v>
      </c>
      <c r="AQ357" s="72" t="n">
        <v>33.73</v>
      </c>
      <c r="AR357" s="72" t="n">
        <v>15.84</v>
      </c>
      <c r="AS357" s="72" t="n">
        <v>-0.41</v>
      </c>
      <c r="AT357" s="72" t="n">
        <v>29.25</v>
      </c>
      <c r="AU357" s="72" t="n">
        <v>22.79</v>
      </c>
      <c r="AV357" s="72" t="n">
        <v>20.59</v>
      </c>
      <c r="AW357" s="72" t="n">
        <v>13.04</v>
      </c>
      <c r="AX357" s="72" t="n">
        <v>13.14</v>
      </c>
      <c r="AY357" s="63" t="inlineStr">
        <is>
          <t>HSTECH (Hang Seng TECH ETF)</t>
        </is>
      </c>
      <c r="AZ357" s="72" t="n">
        <v>54.67</v>
      </c>
      <c r="BA357" s="64" t="inlineStr">
        <is>
          <t>2026-08-28</t>
        </is>
      </c>
      <c r="BB357" s="65" t="n">
        <v>1945</v>
      </c>
      <c r="BC357" s="68" t="n">
        <v>196.9</v>
      </c>
      <c r="BD357" s="63" t="inlineStr">
        <is>
          <t>Y</t>
        </is>
      </c>
      <c r="BE357" s="74" t="n">
        <v>91.8</v>
      </c>
      <c r="BF357" s="74" t="n">
        <v>203.2</v>
      </c>
      <c r="BG357" s="74" t="n"/>
      <c r="BH357" s="74" t="n">
        <v>9.300000000000001</v>
      </c>
      <c r="BI357" s="75">
        <f>IF('BBG Verify'!S357="","not filed — run on terminal",'BBG Verify'!S357)</f>
        <v/>
      </c>
      <c r="BJ357" s="76" t="inlineStr">
        <is>
          <t>Y</t>
        </is>
      </c>
      <c r="BK357" s="63" t="inlineStr">
        <is>
          <t>688234.SS</t>
        </is>
      </c>
      <c r="BL357" s="72" t="n">
        <v>70.04000000000001</v>
      </c>
      <c r="BM357" s="66" t="n">
        <v>72.779</v>
      </c>
      <c r="BN357" s="80" t="n">
        <v>0.904</v>
      </c>
      <c r="BO357" s="68" t="n">
        <v>60737.1</v>
      </c>
      <c r="BP357" s="75">
        <f>IF('BBG Verify'!Q357="","run on terminal",'BBG Verify'!Q357)</f>
        <v/>
      </c>
      <c r="BQ357" s="75">
        <f>IF('BBG Verify'!R357="","run on terminal",'BBG Verify'!R357)</f>
        <v/>
      </c>
      <c r="BR357" s="76" t="inlineStr">
        <is>
          <t>China International Capital Corporation Hong Kong Securities Limited; CITIC Securities (Hong Kong) Limited; Sponsor-OC China International Capital Corporation Hong Kong Securities Limited; CLSA Limited</t>
        </is>
      </c>
      <c r="BS357" s="63" t="inlineStr">
        <is>
          <t>China International Capital Corporation Hong Kong Securities Limited; CITIC Securities (Hong Kong) Limited</t>
        </is>
      </c>
      <c r="BT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U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V357" s="78">
        <f>HYPERLINK("https://www1.hkexnews.hk/listedco/listconews/sehk/2025/0811/2025081100005.pdf","prospectus")</f>
        <v/>
      </c>
      <c r="BW357" s="78">
        <f>HYPERLINK("https://www1.hkexnews.hk/listedco/listconews/sehk/2025/0819/2025081901728.pdf","allotment")</f>
        <v/>
      </c>
      <c r="BX357" s="78">
        <f>HYPERLINK("https://www1.hkexnews.hk/listedco/listconews/sehk/2025/0914/2025091400109.pdf","stabilisation")</f>
        <v/>
      </c>
      <c r="BY357" s="76" t="n"/>
      <c r="BZ357" s="63" t="inlineStr">
        <is>
          <t>range low: cap-only pricing — the filing publishes a Maximum Offer Price and no indicative floor · A/H: Aug 2025 H listing (SiC substrates) · grey market: no grey-market headline on file for this deal — AAStocks publishes one per listing but keeps only recent items on the stock's news page, and no public archive of past evening sessions exists; captured from this run onward</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72" t="n">
        <v>73</v>
      </c>
      <c r="AC358" s="66" t="n">
        <v>25.1</v>
      </c>
      <c r="AD358" s="72" t="n">
        <v>-24.11</v>
      </c>
      <c r="AE358" s="63" t="inlineStr">
        <is>
          <t>Y</t>
        </is>
      </c>
      <c r="AF358" s="63" t="inlineStr">
        <is>
          <t>full</t>
        </is>
      </c>
      <c r="AG358" s="63" t="n"/>
      <c r="AH358" s="63" t="n"/>
      <c r="AI358" s="63" t="n"/>
      <c r="AJ358" s="73" t="n">
        <v>31.29</v>
      </c>
      <c r="AK358" s="72" t="n">
        <v>55.07</v>
      </c>
      <c r="AL358" s="72" t="n">
        <v>-15.34</v>
      </c>
      <c r="AM358" s="72" t="n">
        <v>20.06</v>
      </c>
      <c r="AN358" s="72" t="n">
        <v>24.4</v>
      </c>
      <c r="AO358" s="72" t="n">
        <v>20.06</v>
      </c>
      <c r="AP358" s="72" t="n">
        <v>-8.550000000000001</v>
      </c>
      <c r="AQ358" s="72" t="n">
        <v>-5.25</v>
      </c>
      <c r="AR358" s="72" t="n">
        <v>-8.550000000000001</v>
      </c>
      <c r="AS358" s="72" t="n">
        <v>20.83</v>
      </c>
      <c r="AT358" s="72" t="n">
        <v>18.63</v>
      </c>
      <c r="AU358" s="72" t="n">
        <v>22.09</v>
      </c>
      <c r="AV358" s="72" t="n">
        <v>-11.98</v>
      </c>
      <c r="AW358" s="72" t="n">
        <v>5.77</v>
      </c>
      <c r="AX358" s="72" t="n">
        <v>6.73</v>
      </c>
      <c r="AY358" s="63" t="inlineStr">
        <is>
          <t>Hang Seng Commerce &amp; Industry sub-index</t>
        </is>
      </c>
      <c r="AZ358" s="72" t="n">
        <v>-49.69</v>
      </c>
      <c r="BA358" s="64" t="inlineStr">
        <is>
          <t>2026-08-28</t>
        </is>
      </c>
      <c r="BB358" s="65" t="n">
        <v>4948.4</v>
      </c>
      <c r="BC358" s="68" t="n">
        <v>388.7</v>
      </c>
      <c r="BD358" s="63" t="inlineStr">
        <is>
          <t>Y</t>
        </is>
      </c>
      <c r="BE358" s="74" t="n">
        <v>15.6</v>
      </c>
      <c r="BF358" s="74" t="n"/>
      <c r="BG358" s="74" t="n">
        <v>10.2</v>
      </c>
      <c r="BH358" s="74" t="n">
        <v>1.2</v>
      </c>
      <c r="BI358" s="75">
        <f>IF('BBG Verify'!S358="","not filed — run on terminal",'BBG Verify'!S358)</f>
        <v/>
      </c>
      <c r="BJ358" s="76" t="inlineStr">
        <is>
          <t>N</t>
        </is>
      </c>
      <c r="BK358" s="77">
        <f>IF('BBG Verify'!K358="","not filed — run on terminal",'BBG Verify'!K358)</f>
        <v/>
      </c>
      <c r="BL358" s="63" t="inlineStr">
        <is>
          <t>N/A</t>
        </is>
      </c>
      <c r="BM358" s="63" t="inlineStr">
        <is>
          <t>N/A</t>
        </is>
      </c>
      <c r="BN358" s="63" t="inlineStr">
        <is>
          <t>N/A</t>
        </is>
      </c>
      <c r="BO358" s="63" t="inlineStr">
        <is>
          <t>N/A</t>
        </is>
      </c>
      <c r="BP358" s="63" t="inlineStr">
        <is>
          <t>N/A</t>
        </is>
      </c>
      <c r="BQ358" s="63" t="inlineStr">
        <is>
          <t>N/A</t>
        </is>
      </c>
      <c r="BR358" s="76" t="inlineStr">
        <is>
          <t>China International Capital Corporation Hong Kong Securities Limited; Huatai Financial Holdings (Hong Kong) Limited; CCB International Capital Limited</t>
        </is>
      </c>
      <c r="BS358" s="63" t="inlineStr">
        <is>
          <t>China International Capital Corporation Hong Kong Securities Limited; CCB International Capital Limited; Huatai Financial Holdings (Hong Kong) Limited</t>
        </is>
      </c>
      <c r="BT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U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V358" s="78">
        <f>HYPERLINK("https://www1.hkexnews.hk/listedco/listconews/sehk/2025/0818/2025081800011.pdf","prospectus")</f>
        <v/>
      </c>
      <c r="BW358" s="78">
        <f>HYPERLINK("https://www1.hkexnews.hk/listedco/listconews/sehk/2025/0825/2025082502151.pdf","allotment")</f>
        <v/>
      </c>
      <c r="BX358" s="78">
        <f>HYPERLINK("https://www1.hkexnews.hk/listedco/listconews/sehk/2025/0921/2025092100013.pdf","stabilisation")</f>
        <v/>
      </c>
      <c r="BY358" s="76" t="n"/>
      <c r="BZ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72" t="n"/>
      <c r="AC359" s="66" t="n"/>
      <c r="AD359" s="72" t="n"/>
      <c r="AE359" s="63" t="n"/>
      <c r="AF359" s="63" t="inlineStr">
        <is>
          <t>full</t>
        </is>
      </c>
      <c r="AG359" s="63" t="n"/>
      <c r="AH359" s="63" t="inlineStr">
        <is>
          <t>China International Capital Corporation Hong Kong Securities Limited</t>
        </is>
      </c>
      <c r="AI359" s="63" t="inlineStr">
        <is>
          <t>China International</t>
        </is>
      </c>
      <c r="AJ359" s="73" t="n">
        <v>177.84</v>
      </c>
      <c r="AK359" s="72" t="n">
        <v>108.79</v>
      </c>
      <c r="AL359" s="72" t="n">
        <v>33.07</v>
      </c>
      <c r="AM359" s="72" t="n">
        <v>193.59</v>
      </c>
      <c r="AN359" s="72" t="n">
        <v>146.34</v>
      </c>
      <c r="AO359" s="72" t="n">
        <v>225.09</v>
      </c>
      <c r="AP359" s="72" t="n">
        <v>5.67</v>
      </c>
      <c r="AQ359" s="72" t="n">
        <v>-11.34</v>
      </c>
      <c r="AR359" s="72" t="n">
        <v>17.01</v>
      </c>
      <c r="AS359" s="72" t="n">
        <v>194.12</v>
      </c>
      <c r="AT359" s="72" t="n">
        <v>140.11</v>
      </c>
      <c r="AU359" s="72" t="n">
        <v>225.18</v>
      </c>
      <c r="AV359" s="72" t="n">
        <v>-19.23</v>
      </c>
      <c r="AW359" s="72" t="n">
        <v>6.23</v>
      </c>
      <c r="AX359" s="72" t="n">
        <v>7.89</v>
      </c>
      <c r="AY359" s="63" t="inlineStr">
        <is>
          <t>Hang Seng Commerce &amp; Industry sub-index</t>
        </is>
      </c>
      <c r="AZ359" s="72" t="n">
        <v>508.06</v>
      </c>
      <c r="BA359" s="64" t="inlineStr">
        <is>
          <t>2026-08-28</t>
        </is>
      </c>
      <c r="BB359" s="65" t="n">
        <v>126.3</v>
      </c>
      <c r="BC359" s="68" t="n">
        <v>-176.5</v>
      </c>
      <c r="BD359" s="63" t="inlineStr">
        <is>
          <t>N</t>
        </is>
      </c>
      <c r="BE359" s="63" t="inlineStr">
        <is>
          <t>n/m</t>
        </is>
      </c>
      <c r="BF359" s="74" t="n"/>
      <c r="BG359" s="74" t="n">
        <v>76.59999999999999</v>
      </c>
      <c r="BH359" s="74" t="n">
        <v>38</v>
      </c>
      <c r="BI359" s="75">
        <f>IF('BBG Verify'!S359="","not filed — run on terminal",'BBG Verify'!S359)</f>
        <v/>
      </c>
      <c r="BJ359" s="76" t="inlineStr">
        <is>
          <t>N</t>
        </is>
      </c>
      <c r="BK359" s="77">
        <f>IF('BBG Verify'!K359="","not filed — run on terminal",'BBG Verify'!K359)</f>
        <v/>
      </c>
      <c r="BL359" s="63" t="inlineStr">
        <is>
          <t>N/A</t>
        </is>
      </c>
      <c r="BM359" s="63" t="inlineStr">
        <is>
          <t>N/A</t>
        </is>
      </c>
      <c r="BN359" s="63" t="inlineStr">
        <is>
          <t>N/A</t>
        </is>
      </c>
      <c r="BO359" s="63" t="inlineStr">
        <is>
          <t>N/A</t>
        </is>
      </c>
      <c r="BP359" s="63" t="inlineStr">
        <is>
          <t>N/A</t>
        </is>
      </c>
      <c r="BQ359" s="63" t="inlineStr">
        <is>
          <t>N/A</t>
        </is>
      </c>
      <c r="BR359" s="76" t="inlineStr">
        <is>
          <t>China International Capital Corporation Hong Kong Securities Limited</t>
        </is>
      </c>
      <c r="BS359" s="63" t="inlineStr">
        <is>
          <t>China International Capital Corporation Hong Kong Securities Limited</t>
        </is>
      </c>
      <c r="BT359" s="63" t="inlineStr">
        <is>
          <t>China International Capital Corporation Hong Kong Securities Limited; China Galaxy International Securities (Hong Kong) Co., Limited; CMB International Capital Limited; Celestial Securities Limited; ABCI Capital Limited; Tiger Brokers (HK) Global Limited</t>
        </is>
      </c>
      <c r="BU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V359" s="78">
        <f>HYPERLINK("https://www1.hkexnews.hk/listedco/listconews/sehk/2025/0820/2025082000021.pdf","prospectus")</f>
        <v/>
      </c>
      <c r="BW359" s="78">
        <f>HYPERLINK("https://www1.hkexnews.hk/listedco/listconews/sehk/2025/0827/2025082702293.pdf","allotment")</f>
        <v/>
      </c>
      <c r="BX359" s="78">
        <f>HYPERLINK("https://www1.hkexnews.hk/listedco/listconews/sehk/2025/0924/2025092401050.pdf","stabilisation")</f>
        <v/>
      </c>
      <c r="BY359" s="76" t="n"/>
      <c r="BZ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72" t="n">
        <v>-4.1</v>
      </c>
      <c r="AC360" s="66" t="n">
        <v>16.7</v>
      </c>
      <c r="AD360" s="72" t="n">
        <v>-1.36</v>
      </c>
      <c r="AE360" s="63" t="inlineStr">
        <is>
          <t>Y</t>
        </is>
      </c>
      <c r="AF360" s="63" t="inlineStr">
        <is>
          <t>lapsed</t>
        </is>
      </c>
      <c r="AG360" s="63" t="inlineStr">
        <is>
          <t>2025-09-27</t>
        </is>
      </c>
      <c r="AH360" s="63" t="inlineStr">
        <is>
          <t>China International Capital Corporation Hong Kong Securities Limited</t>
        </is>
      </c>
      <c r="AI360" s="63" t="inlineStr">
        <is>
          <t>China International</t>
        </is>
      </c>
      <c r="AJ360" s="73" t="n">
        <v>-5.4</v>
      </c>
      <c r="AK360" s="72" t="n">
        <v>-7.58</v>
      </c>
      <c r="AL360" s="72" t="n">
        <v>2.36</v>
      </c>
      <c r="AM360" s="72" t="n">
        <v>-7.58</v>
      </c>
      <c r="AN360" s="72" t="n">
        <v>-20.49</v>
      </c>
      <c r="AO360" s="72" t="n">
        <v>-9.300000000000001</v>
      </c>
      <c r="AP360" s="72" t="n">
        <v>-2.3</v>
      </c>
      <c r="AQ360" s="72" t="n">
        <v>-15.95</v>
      </c>
      <c r="AR360" s="72" t="n">
        <v>-4.12</v>
      </c>
      <c r="AS360" s="72" t="n">
        <v>-8.109999999999999</v>
      </c>
      <c r="AT360" s="72" t="n">
        <v>-35.88</v>
      </c>
      <c r="AU360" s="72" t="n">
        <v>-4.64</v>
      </c>
      <c r="AV360" s="72" t="n">
        <v>-32.47</v>
      </c>
      <c r="AW360" s="72" t="n">
        <v>15.39</v>
      </c>
      <c r="AX360" s="72" t="n">
        <v>16.52</v>
      </c>
      <c r="AY360" s="63" t="inlineStr">
        <is>
          <t>HSTECH (Hang Seng TECH ETF)</t>
        </is>
      </c>
      <c r="AZ360" s="72" t="n">
        <v>-43.17</v>
      </c>
      <c r="BA360" s="64" t="inlineStr">
        <is>
          <t>2026-08-28</t>
        </is>
      </c>
      <c r="BB360" s="65" t="n">
        <v>32735.3</v>
      </c>
      <c r="BC360" s="68" t="n">
        <v>3201.2</v>
      </c>
      <c r="BD360" s="63" t="inlineStr">
        <is>
          <t>Y</t>
        </is>
      </c>
      <c r="BE360" s="74" t="n">
        <v>7.8</v>
      </c>
      <c r="BF360" s="74" t="n">
        <v>6.8</v>
      </c>
      <c r="BG360" s="74" t="n">
        <v>5.6</v>
      </c>
      <c r="BH360" s="74" t="n">
        <v>0.8</v>
      </c>
      <c r="BI360" s="75">
        <f>IF('BBG Verify'!S360="","not filed — run on terminal",'BBG Verify'!S360)</f>
        <v/>
      </c>
      <c r="BJ360" s="76" t="inlineStr">
        <is>
          <t>N</t>
        </is>
      </c>
      <c r="BK360" s="77">
        <f>IF('BBG Verify'!K360="","not filed — run on terminal",'BBG Verify'!K360)</f>
        <v/>
      </c>
      <c r="BL360" s="63" t="inlineStr">
        <is>
          <t>N/A</t>
        </is>
      </c>
      <c r="BM360" s="63" t="inlineStr">
        <is>
          <t>N/A</t>
        </is>
      </c>
      <c r="BN360" s="63" t="inlineStr">
        <is>
          <t>N/A</t>
        </is>
      </c>
      <c r="BO360" s="63" t="inlineStr">
        <is>
          <t>N/A</t>
        </is>
      </c>
      <c r="BP360" s="63" t="inlineStr">
        <is>
          <t>N/A</t>
        </is>
      </c>
      <c r="BQ360" s="63" t="inlineStr">
        <is>
          <t>N/A</t>
        </is>
      </c>
      <c r="BR360" s="76" t="inlineStr">
        <is>
          <t>CICC</t>
        </is>
      </c>
      <c r="BS360" s="63" t="inlineStr">
        <is>
          <t>China International Capital Corporation Hong Kong Securities Limited</t>
        </is>
      </c>
      <c r="BT360" s="63" t="inlineStr">
        <is>
          <t>ABCI Securities Company Limited; China International Capital Corporation Hong Kong Securities Limited; Futu Securities International (Hong Kong) Limited; ICBC International Securities Limited; Orient Securities (Hong Kong)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78">
        <f>HYPERLINK("https://www1.hkexnews.hk/listedco/listconews/sehk/2025/0825/2025082500020.htm","prospectus")</f>
        <v/>
      </c>
      <c r="BW360" s="78">
        <f>HYPERLINK("https://www1.hkexnews.hk/listedco/listconews/sehk/2025/0901/2025090103683.pdf","allotment")</f>
        <v/>
      </c>
      <c r="BX360" s="78">
        <f>HYPERLINK("https://www1.hkexnews.hk/listedco/listconews/sehk/2025/0928/2025092800005.pdf","stabilisation")</f>
        <v/>
      </c>
      <c r="BY360" s="76" t="n"/>
      <c r="BZ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72" t="n">
        <v>37.6</v>
      </c>
      <c r="AC361" s="66" t="n">
        <v>68.09999999999999</v>
      </c>
      <c r="AD361" s="72" t="n">
        <v>-16.46</v>
      </c>
      <c r="AE361" s="63" t="inlineStr">
        <is>
          <t>Y</t>
        </is>
      </c>
      <c r="AF361" s="63" t="inlineStr">
        <is>
          <t>partial</t>
        </is>
      </c>
      <c r="AG361" s="63" t="inlineStr">
        <is>
          <t>2025-10-04</t>
        </is>
      </c>
      <c r="AH361" s="63" t="inlineStr">
        <is>
          <t>China Securities</t>
        </is>
      </c>
      <c r="AI361" s="63" t="inlineStr">
        <is>
          <t>China Securities</t>
        </is>
      </c>
      <c r="AJ361" s="73" t="n">
        <v>14.95</v>
      </c>
      <c r="AK361" s="72" t="n">
        <v>36.36</v>
      </c>
      <c r="AL361" s="72" t="n">
        <v>-15.7</v>
      </c>
      <c r="AM361" s="72" t="n">
        <v>30</v>
      </c>
      <c r="AN361" s="72" t="n">
        <v>0.89</v>
      </c>
      <c r="AO361" s="72" t="n">
        <v>-17.45</v>
      </c>
      <c r="AP361" s="72" t="n">
        <v>13.09</v>
      </c>
      <c r="AQ361" s="72" t="n">
        <v>-12.23</v>
      </c>
      <c r="AR361" s="72" t="n">
        <v>-28.19</v>
      </c>
      <c r="AS361" s="72" t="n">
        <v>24.33</v>
      </c>
      <c r="AT361" s="72" t="n">
        <v>-8.15</v>
      </c>
      <c r="AU361" s="72" t="n">
        <v>-14.17</v>
      </c>
      <c r="AV361" s="72" t="n">
        <v>-19.84</v>
      </c>
      <c r="AW361" s="72" t="n">
        <v>9.039999999999999</v>
      </c>
      <c r="AX361" s="72" t="n">
        <v>7.61</v>
      </c>
      <c r="AY361" s="63" t="inlineStr">
        <is>
          <t>HSTECH (Hang Seng TECH ETF)</t>
        </is>
      </c>
      <c r="AZ361" s="72" t="n">
        <v>-26.22</v>
      </c>
      <c r="BA361" s="64" t="inlineStr">
        <is>
          <t>2026-08-28</t>
        </is>
      </c>
      <c r="BB361" s="65" t="n">
        <v>495.8</v>
      </c>
      <c r="BC361" s="68" t="n">
        <v>57.5</v>
      </c>
      <c r="BD361" s="63" t="inlineStr">
        <is>
          <t>Y</t>
        </is>
      </c>
      <c r="BE361" s="74" t="n">
        <v>27.3</v>
      </c>
      <c r="BF361" s="74" t="n"/>
      <c r="BG361" s="74" t="n"/>
      <c r="BH361" s="74" t="n">
        <v>3.2</v>
      </c>
      <c r="BI361" s="75">
        <f>IF('BBG Verify'!S361="","not filed — run on terminal",'BBG Verify'!S361)</f>
        <v/>
      </c>
      <c r="BJ361" s="76" t="inlineStr">
        <is>
          <t>N</t>
        </is>
      </c>
      <c r="BK361" s="77">
        <f>IF('BBG Verify'!K361="","not filed — run on terminal",'BBG Verify'!K361)</f>
        <v/>
      </c>
      <c r="BL361" s="63" t="inlineStr">
        <is>
          <t>N/A</t>
        </is>
      </c>
      <c r="BM361" s="63" t="inlineStr">
        <is>
          <t>N/A</t>
        </is>
      </c>
      <c r="BN361" s="63" t="inlineStr">
        <is>
          <t>N/A</t>
        </is>
      </c>
      <c r="BO361" s="63" t="inlineStr">
        <is>
          <t>N/A</t>
        </is>
      </c>
      <c r="BP361" s="63" t="inlineStr">
        <is>
          <t>N/A</t>
        </is>
      </c>
      <c r="BQ361" s="63" t="inlineStr">
        <is>
          <t>N/A</t>
        </is>
      </c>
      <c r="BR361" s="76" t="inlineStr">
        <is>
          <t>China Securities (International) Corporate Finance Company Limited</t>
        </is>
      </c>
      <c r="BS361" s="63" t="inlineStr">
        <is>
          <t>China Securities (International) Corporate Finance Company Limited</t>
        </is>
      </c>
      <c r="BT361" s="63" t="inlineStr">
        <is>
          <t>China Securities (International) Corporate Finance Company Limited; ABCI Capital Limited; BOCI Asia Limited; CCB International Capital Limited; CMB International Capital Limited; Futu Securities International (Hong Kong) Limited</t>
        </is>
      </c>
      <c r="BU361" s="63" t="inlineStr">
        <is>
          <t>ABCI Securities Company Limited; BOCI Asia Limited; CCB International Capital Limited; CMB International Capital Corporation Limited; China Securities (International) Corporate Finance Company Limited; Futu Securities International (Hong Kong) Limited</t>
        </is>
      </c>
      <c r="BV361" s="78">
        <f>HYPERLINK("https://www1.hkexnews.hk/listedco/listconews/sehk/2025/0901/2025090100007.pdf","prospectus")</f>
        <v/>
      </c>
      <c r="BW361" s="78">
        <f>HYPERLINK("https://www1.hkexnews.hk/listedco/listconews/sehk/2025/0908/2025090801334.pdf","allotment")</f>
        <v/>
      </c>
      <c r="BX361" s="78">
        <f>HYPERLINK("https://www1.hkexnews.hk/listedco/listconews/sehk/2025/1005/2025100500245.pdf","stabilisation")</f>
        <v/>
      </c>
      <c r="BY361" s="76" t="n"/>
      <c r="BZ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72" t="n"/>
      <c r="AC362" s="66" t="n"/>
      <c r="AD362" s="72" t="n"/>
      <c r="AE362" s="63" t="n"/>
      <c r="AF362" s="63" t="inlineStr">
        <is>
          <t>full</t>
        </is>
      </c>
      <c r="AG362" s="63" t="inlineStr">
        <is>
          <t>2025-10-11</t>
        </is>
      </c>
      <c r="AH362" s="63" t="inlineStr">
        <is>
          <t>China International Capital Corporation Hong Kong Securities Limited</t>
        </is>
      </c>
      <c r="AI362" s="63" t="inlineStr">
        <is>
          <t>China International</t>
        </is>
      </c>
      <c r="AJ362" s="73" t="n">
        <v>9.960000000000001</v>
      </c>
      <c r="AK362" s="72" t="n">
        <v>7.71</v>
      </c>
      <c r="AL362" s="72" t="n">
        <v>2.09</v>
      </c>
      <c r="AM362" s="72" t="n">
        <v>8.08</v>
      </c>
      <c r="AN362" s="72" t="n">
        <v>-20.49</v>
      </c>
      <c r="AO362" s="72" t="n">
        <v>-20.39</v>
      </c>
      <c r="AP362" s="72" t="n">
        <v>-1.71</v>
      </c>
      <c r="AQ362" s="72" t="n">
        <v>-27.69</v>
      </c>
      <c r="AR362" s="72" t="n">
        <v>-27.6</v>
      </c>
      <c r="AS362" s="72" t="n">
        <v>6.14</v>
      </c>
      <c r="AT362" s="72" t="n">
        <v>-15.52</v>
      </c>
      <c r="AU362" s="72" t="n">
        <v>-10.61</v>
      </c>
      <c r="AV362" s="72" t="n">
        <v>-22.24</v>
      </c>
      <c r="AW362" s="72" t="n">
        <v>-4.97</v>
      </c>
      <c r="AX362" s="72" t="n">
        <v>-5.45</v>
      </c>
      <c r="AY362" s="63" t="inlineStr">
        <is>
          <t>HSTECH (Hang Seng TECH ETF)</t>
        </is>
      </c>
      <c r="AZ362" s="72" t="n">
        <v>-38.65</v>
      </c>
      <c r="BA362" s="64" t="inlineStr">
        <is>
          <t>2026-08-31</t>
        </is>
      </c>
      <c r="BB362" s="65" t="n">
        <v>2284.9</v>
      </c>
      <c r="BC362" s="68" t="n">
        <v>-112.6</v>
      </c>
      <c r="BD362" s="63" t="inlineStr">
        <is>
          <t>N</t>
        </is>
      </c>
      <c r="BE362" s="63" t="inlineStr">
        <is>
          <t>n/m</t>
        </is>
      </c>
      <c r="BF362" s="74" t="n">
        <v>293.1</v>
      </c>
      <c r="BG362" s="74" t="n">
        <v>39.2</v>
      </c>
      <c r="BH362" s="74" t="n">
        <v>107.1</v>
      </c>
      <c r="BI362" s="75">
        <f>IF('BBG Verify'!S362="","not filed — run on terminal",'BBG Verify'!S362)</f>
        <v/>
      </c>
      <c r="BJ362" s="76" t="inlineStr">
        <is>
          <t>N</t>
        </is>
      </c>
      <c r="BK362" s="77">
        <f>IF('BBG Verify'!K362="","not filed — run on terminal",'BBG Verify'!K362)</f>
        <v/>
      </c>
      <c r="BL362" s="63" t="inlineStr">
        <is>
          <t>N/A</t>
        </is>
      </c>
      <c r="BM362" s="63" t="inlineStr">
        <is>
          <t>N/A</t>
        </is>
      </c>
      <c r="BN362" s="63" t="inlineStr">
        <is>
          <t>N/A</t>
        </is>
      </c>
      <c r="BO362" s="63" t="inlineStr">
        <is>
          <t>N/A</t>
        </is>
      </c>
      <c r="BP362" s="63" t="inlineStr">
        <is>
          <t>N/A</t>
        </is>
      </c>
      <c r="BQ362" s="63" t="inlineStr">
        <is>
          <t>N/A</t>
        </is>
      </c>
      <c r="BR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S362" s="63" t="inlineStr">
        <is>
          <t>China International Capital Corporation Hong Kong Securities Limited; Guotai Junan Capital Limited; CMB International Capital Limited</t>
        </is>
      </c>
      <c r="BT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U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V362" s="78">
        <f>HYPERLINK("https://www1.hkexnews.hk/listedco/listconews/sehk/2025/0908/2025090800017.pdf","prospectus")</f>
        <v/>
      </c>
      <c r="BW362" s="78">
        <f>HYPERLINK("https://www1.hkexnews.hk/listedco/listconews/sehk/2025/0915/2025091501458.pdf","allotment")</f>
        <v/>
      </c>
      <c r="BX362" s="78">
        <f>HYPERLINK("https://www1.hkexnews.hk/listedco/listconews/sehk/2025/1012/2025101200001.pdf","stabilisation")</f>
        <v/>
      </c>
      <c r="BY362" s="76" t="n"/>
      <c r="BZ362"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72" t="n">
        <v>143.9</v>
      </c>
      <c r="AC363" s="66" t="n">
        <v>29</v>
      </c>
      <c r="AD363" s="72" t="n">
        <v>-2.69</v>
      </c>
      <c r="AE363" s="63" t="inlineStr">
        <is>
          <t>Y</t>
        </is>
      </c>
      <c r="AF363" s="63" t="n"/>
      <c r="AG363" s="63" t="inlineStr">
        <is>
          <t>2025-10-12</t>
        </is>
      </c>
      <c r="AH363" s="63" t="inlineStr">
        <is>
          <t>Shenwan Hongyuan Securities</t>
        </is>
      </c>
      <c r="AI363" s="63" t="inlineStr">
        <is>
          <t>Shenwan Hongyuan</t>
        </is>
      </c>
      <c r="AJ363" s="73" t="n">
        <v>137.34</v>
      </c>
      <c r="AK363" s="72" t="n">
        <v>152.14</v>
      </c>
      <c r="AL363" s="72" t="n">
        <v>-5.87</v>
      </c>
      <c r="AM363" s="72" t="n">
        <v>139.7</v>
      </c>
      <c r="AN363" s="72" t="n">
        <v>236.92</v>
      </c>
      <c r="AO363" s="72" t="n">
        <v>337.76</v>
      </c>
      <c r="AP363" s="72" t="n">
        <v>0.99</v>
      </c>
      <c r="AQ363" s="72" t="n">
        <v>41.96</v>
      </c>
      <c r="AR363" s="72" t="n">
        <v>84.44</v>
      </c>
      <c r="AS363" s="72" t="n">
        <v>140.29</v>
      </c>
      <c r="AT363" s="72" t="n">
        <v>243.75</v>
      </c>
      <c r="AU363" s="72" t="n">
        <v>351.57</v>
      </c>
      <c r="AV363" s="72" t="n">
        <v>48.93</v>
      </c>
      <c r="AW363" s="72" t="n">
        <v>-6.83</v>
      </c>
      <c r="AX363" s="72" t="n">
        <v>-6.97</v>
      </c>
      <c r="AY363" s="63" t="inlineStr">
        <is>
          <t>China Biotech ETF (HS biotech proxy)</t>
        </is>
      </c>
      <c r="AZ363" s="72" t="n">
        <v>-13.29</v>
      </c>
      <c r="BA363" s="64" t="inlineStr">
        <is>
          <t>2026-08-28</t>
        </is>
      </c>
      <c r="BB363" s="65" t="n">
        <v>682.8</v>
      </c>
      <c r="BC363" s="68" t="n">
        <v>-119.1</v>
      </c>
      <c r="BD363" s="63" t="inlineStr">
        <is>
          <t>N</t>
        </is>
      </c>
      <c r="BE363" s="63" t="inlineStr">
        <is>
          <t>n/m</t>
        </is>
      </c>
      <c r="BF363" s="74" t="n"/>
      <c r="BG363" s="74" t="n"/>
      <c r="BH363" s="74" t="n">
        <v>5.9</v>
      </c>
      <c r="BI363" s="75">
        <f>IF('BBG Verify'!S363="","not filed — run on terminal",'BBG Verify'!S363)</f>
        <v/>
      </c>
      <c r="BJ363" s="76" t="inlineStr">
        <is>
          <t>N</t>
        </is>
      </c>
      <c r="BK363" s="77">
        <f>IF('BBG Verify'!K363="","not filed — run on terminal",'BBG Verify'!K363)</f>
        <v/>
      </c>
      <c r="BL363" s="63" t="inlineStr">
        <is>
          <t>N/A</t>
        </is>
      </c>
      <c r="BM363" s="63" t="inlineStr">
        <is>
          <t>N/A</t>
        </is>
      </c>
      <c r="BN363" s="63" t="inlineStr">
        <is>
          <t>N/A</t>
        </is>
      </c>
      <c r="BO363" s="63" t="inlineStr">
        <is>
          <t>N/A</t>
        </is>
      </c>
      <c r="BP363" s="63" t="inlineStr">
        <is>
          <t>N/A</t>
        </is>
      </c>
      <c r="BQ363" s="63" t="inlineStr">
        <is>
          <t>N/A</t>
        </is>
      </c>
      <c r="BR363" s="76" t="inlineStr">
        <is>
          <t>Shenwan Hongyuan Capital (H.K.) Limited; Zero2IPO Capital Limited</t>
        </is>
      </c>
      <c r="BS363" s="63" t="inlineStr">
        <is>
          <t>Zero2IPO Capital Limited; Shenwan Hongyuan Capital (H.K.) Limited</t>
        </is>
      </c>
      <c r="BT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U363" s="63" t="inlineStr">
        <is>
          <t>ABCI Securities Company Limited; BOCI Asia Limited; Eddid Securities and Futures Limited; Innovation Securities Co., Limited; Livermore Holdings Limited; South China Securities Limited; Shenwan Hongyuan Securities (H.K.) Limited; Sun Securities Limited</t>
        </is>
      </c>
      <c r="BV363" s="78">
        <f>HYPERLINK("https://www1.hkexnews.hk/listedco/listconews/sehk/2025/0909/2025090900019.pdf","prospectus")</f>
        <v/>
      </c>
      <c r="BW363" s="78">
        <f>HYPERLINK("https://www1.hkexnews.hk/listedco/listconews/sehk/2025/0916/2025091601472.pdf","allotment")</f>
        <v/>
      </c>
      <c r="BX363" s="63" t="n"/>
      <c r="BY363" s="76" t="n"/>
      <c r="BZ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72" t="n"/>
      <c r="AC364" s="66" t="n"/>
      <c r="AD364" s="72" t="n"/>
      <c r="AE364" s="63" t="n"/>
      <c r="AF364" s="63" t="inlineStr">
        <is>
          <t>full</t>
        </is>
      </c>
      <c r="AG364" s="63" t="inlineStr">
        <is>
          <t>2025-10-16</t>
        </is>
      </c>
      <c r="AH364" s="63" t="inlineStr">
        <is>
          <t>CLSA Limited</t>
        </is>
      </c>
      <c r="AI364" s="63" t="inlineStr">
        <is>
          <t>CLSA</t>
        </is>
      </c>
      <c r="AJ364" s="73" t="n">
        <v>106.47</v>
      </c>
      <c r="AK364" s="72" t="n">
        <v>115.79</v>
      </c>
      <c r="AL364" s="72" t="n">
        <v>-4.32</v>
      </c>
      <c r="AM364" s="72" t="n">
        <v>87.34999999999999</v>
      </c>
      <c r="AN364" s="72" t="n">
        <v>30.06</v>
      </c>
      <c r="AO364" s="72" t="n">
        <v>25.75</v>
      </c>
      <c r="AP364" s="72" t="n">
        <v>-9.26</v>
      </c>
      <c r="AQ364" s="72" t="n">
        <v>-37.01</v>
      </c>
      <c r="AR364" s="72" t="n">
        <v>-39.1</v>
      </c>
      <c r="AS364" s="72" t="n">
        <v>89.94</v>
      </c>
      <c r="AT364" s="72" t="n">
        <v>37.77</v>
      </c>
      <c r="AU364" s="72" t="n">
        <v>39.29</v>
      </c>
      <c r="AV364" s="72" t="n">
        <v>-30.89</v>
      </c>
      <c r="AW364" s="72" t="n">
        <v>-7.71</v>
      </c>
      <c r="AX364" s="72" t="n">
        <v>-6.12</v>
      </c>
      <c r="AY364" s="63" t="inlineStr">
        <is>
          <t>China Biotech ETF (HS biotech proxy)</t>
        </is>
      </c>
      <c r="AZ364" s="72" t="n">
        <v>54.39</v>
      </c>
      <c r="BA364" s="64" t="inlineStr">
        <is>
          <t>2026-08-28</t>
        </is>
      </c>
      <c r="BB364" s="65" t="n">
        <v>115.2</v>
      </c>
      <c r="BC364" s="68" t="n">
        <v>-745.4</v>
      </c>
      <c r="BD364" s="63" t="inlineStr">
        <is>
          <t>N</t>
        </is>
      </c>
      <c r="BE364" s="63" t="inlineStr">
        <is>
          <t>n/m</t>
        </is>
      </c>
      <c r="BF364" s="74" t="n"/>
      <c r="BG364" s="74" t="n"/>
      <c r="BH364" s="74" t="n">
        <v>61.1</v>
      </c>
      <c r="BI364" s="75">
        <f>IF('BBG Verify'!S364="","not filed — run on terminal",'BBG Verify'!S364)</f>
        <v/>
      </c>
      <c r="BJ364" s="76" t="inlineStr">
        <is>
          <t>N</t>
        </is>
      </c>
      <c r="BK364" s="77">
        <f>IF('BBG Verify'!K364="","not filed — run on terminal",'BBG Verify'!K364)</f>
        <v/>
      </c>
      <c r="BL364" s="63" t="inlineStr">
        <is>
          <t>N/A</t>
        </is>
      </c>
      <c r="BM364" s="63" t="inlineStr">
        <is>
          <t>N/A</t>
        </is>
      </c>
      <c r="BN364" s="63" t="inlineStr">
        <is>
          <t>N/A</t>
        </is>
      </c>
      <c r="BO364" s="63" t="inlineStr">
        <is>
          <t>N/A</t>
        </is>
      </c>
      <c r="BP364" s="63" t="inlineStr">
        <is>
          <t>N/A</t>
        </is>
      </c>
      <c r="BQ364" s="63" t="inlineStr">
        <is>
          <t>N/A</t>
        </is>
      </c>
      <c r="BR364" s="76" t="inlineStr">
        <is>
          <t>CITIC Securities (Hong Kong) Limited; CLSA Limited</t>
        </is>
      </c>
      <c r="BS364" s="63" t="inlineStr">
        <is>
          <t>CITIC Securities (Hong Kong) Limited</t>
        </is>
      </c>
      <c r="BT364" s="63" t="inlineStr">
        <is>
          <t>CLSA Limited; Fosun International Securities Limited; ABCI Capital Limited; CCB International Capital Limited; BOCOM International Securities Limited; China Renaissance Securities (Hong Kong) Limited; GF Securities (Hong Kong) Brokerage Limited</t>
        </is>
      </c>
      <c r="BU364" s="63" t="inlineStr">
        <is>
          <t>ABCI Securities Company Limited; BOCOM International Securities Limited; CCB International Capital Limited; CLSA Limited; China Renaissance Securities (Hong Kong) Limited; Fosun International Securities Limited; GF Securities (Hong Kong) Brokerage Limited</t>
        </is>
      </c>
      <c r="BV364" s="78">
        <f>HYPERLINK("https://www1.hkexnews.hk/listedco/listconews/sehk/2025/0911/2025091100031.pdf","prospectus")</f>
        <v/>
      </c>
      <c r="BW364" s="78">
        <f>HYPERLINK("https://www1.hkexnews.hk/listedco/listconews/sehk/2025/0918/2025091801757.pdf","allotment")</f>
        <v/>
      </c>
      <c r="BX364" s="78">
        <f>HYPERLINK("https://www1.hkexnews.hk/listedco/listconews/sehk/2025/1016/2025101601000.pdf","stabilisation")</f>
        <v/>
      </c>
      <c r="BY364" s="76" t="n"/>
      <c r="BZ36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72" t="n"/>
      <c r="AC365" s="66" t="n"/>
      <c r="AD365" s="72" t="n"/>
      <c r="AE365" s="63" t="n"/>
      <c r="AF365" s="63" t="n"/>
      <c r="AG365" s="63" t="inlineStr">
        <is>
          <t>2025-10-17</t>
        </is>
      </c>
      <c r="AH365" s="63" t="inlineStr">
        <is>
          <t>CLSA Limited</t>
        </is>
      </c>
      <c r="AI365" s="63" t="inlineStr">
        <is>
          <t>CLSA</t>
        </is>
      </c>
      <c r="AJ365" s="73" t="n">
        <v>43.96</v>
      </c>
      <c r="AK365" s="72" t="n">
        <v>41.01</v>
      </c>
      <c r="AL365" s="72" t="n">
        <v>2.09</v>
      </c>
      <c r="AM365" s="72" t="n">
        <v>46.07</v>
      </c>
      <c r="AN365" s="72" t="n">
        <v>36.31</v>
      </c>
      <c r="AO365" s="72" t="n">
        <v>44.66</v>
      </c>
      <c r="AP365" s="72" t="n">
        <v>1.47</v>
      </c>
      <c r="AQ365" s="72" t="n">
        <v>-5.31</v>
      </c>
      <c r="AR365" s="72" t="n">
        <v>0.49</v>
      </c>
      <c r="AS365" s="72" t="n">
        <v>43.57</v>
      </c>
      <c r="AT365" s="72" t="n">
        <v>38.3</v>
      </c>
      <c r="AU365" s="72" t="n">
        <v>53.02</v>
      </c>
      <c r="AV365" s="72" t="n">
        <v>-4.43</v>
      </c>
      <c r="AW365" s="72" t="n">
        <v>-1.99</v>
      </c>
      <c r="AX365" s="72" t="n">
        <v>-0.88</v>
      </c>
      <c r="AY365" s="63" t="inlineStr">
        <is>
          <t>Hang Seng Commerce &amp; Industry sub-index</t>
        </is>
      </c>
      <c r="AZ365" s="72" t="n">
        <v>-41.07</v>
      </c>
      <c r="BA365" s="64" t="inlineStr">
        <is>
          <t>2026-08-31</t>
        </is>
      </c>
      <c r="BB365" s="65" t="n">
        <v>1373.8</v>
      </c>
      <c r="BC365" s="68" t="n">
        <v>64.40000000000001</v>
      </c>
      <c r="BD365" s="63" t="inlineStr">
        <is>
          <t>Y</t>
        </is>
      </c>
      <c r="BE365" s="74" t="n">
        <v>100.3</v>
      </c>
      <c r="BF365" s="74" t="n"/>
      <c r="BG365" s="74" t="n"/>
      <c r="BH365" s="74" t="n">
        <v>4.7</v>
      </c>
      <c r="BI365" s="75">
        <f>IF('BBG Verify'!S365="","not filed — run on terminal",'BBG Verify'!S365)</f>
        <v/>
      </c>
      <c r="BJ365" s="76" t="inlineStr">
        <is>
          <t>N</t>
        </is>
      </c>
      <c r="BK365" s="77">
        <f>IF('BBG Verify'!K365="","not filed — run on terminal",'BBG Verify'!K365)</f>
        <v/>
      </c>
      <c r="BL365" s="63" t="inlineStr">
        <is>
          <t>N/A</t>
        </is>
      </c>
      <c r="BM365" s="63" t="inlineStr">
        <is>
          <t>N/A</t>
        </is>
      </c>
      <c r="BN365" s="63" t="inlineStr">
        <is>
          <t>N/A</t>
        </is>
      </c>
      <c r="BO365" s="63" t="inlineStr">
        <is>
          <t>N/A</t>
        </is>
      </c>
      <c r="BP365" s="63" t="inlineStr">
        <is>
          <t>N/A</t>
        </is>
      </c>
      <c r="BQ365" s="63" t="inlineStr">
        <is>
          <t>N/A</t>
        </is>
      </c>
      <c r="BR365" s="76" t="n"/>
      <c r="BS365" s="63" t="inlineStr">
        <is>
          <t>Haitong International Capital Limited; CITIC Securities (Hong Kong) Limited</t>
        </is>
      </c>
      <c r="BT365" s="63" t="inlineStr">
        <is>
          <t>CLSA Limited; Futu Securities International (Hong Kong) Limited; Huatai Financial Holdings (Hong Kong) Limited; Haitong International Securities Company Limited; Livermore Holdings Limited; Patrons Securities Limited</t>
        </is>
      </c>
      <c r="BU365" s="63" t="inlineStr">
        <is>
          <t>CLSA Limited; Futu Securities International (Hong Kong) Limited; Huatai Financial Holdings (Hong Kong) Limited; Haitong International Securities Company Limited; Livermore Holdings Limited; Patrons Securities Limited; SPDB International Capital Limited</t>
        </is>
      </c>
      <c r="BV365" s="63" t="n"/>
      <c r="BW365" s="78">
        <f>HYPERLINK("https://www1.hkexnews.hk/listedco/listconews/sehk/2025/0922/2025092201984.pdf","allotment")</f>
        <v/>
      </c>
      <c r="BX365" s="63" t="n"/>
      <c r="BY365" s="76" t="n"/>
      <c r="BZ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72" t="n"/>
      <c r="AC366" s="66" t="n"/>
      <c r="AD366" s="72" t="n"/>
      <c r="AE366" s="63" t="n"/>
      <c r="AF366" s="63" t="inlineStr">
        <is>
          <t>partial</t>
        </is>
      </c>
      <c r="AG366" s="63" t="n"/>
      <c r="AH366" s="63" t="inlineStr">
        <is>
          <t>China International Capital Corporation Hong Kong Securities Limited</t>
        </is>
      </c>
      <c r="AI366" s="63" t="inlineStr">
        <is>
          <t>China International</t>
        </is>
      </c>
      <c r="AJ366" s="73" t="n">
        <v>3.8</v>
      </c>
      <c r="AK366" s="72" t="n">
        <v>11.22</v>
      </c>
      <c r="AL366" s="72" t="n">
        <v>-6.67</v>
      </c>
      <c r="AM366" s="72" t="n">
        <v>3.67</v>
      </c>
      <c r="AN366" s="72" t="n">
        <v>6.41</v>
      </c>
      <c r="AO366" s="72" t="n">
        <v>-0.16</v>
      </c>
      <c r="AP366" s="72" t="n">
        <v>-0.13</v>
      </c>
      <c r="AQ366" s="72" t="n">
        <v>2.51</v>
      </c>
      <c r="AR366" s="72" t="n">
        <v>-3.82</v>
      </c>
      <c r="AS366" s="72" t="n">
        <v>0.61</v>
      </c>
      <c r="AT366" s="72" t="n">
        <v>9.49</v>
      </c>
      <c r="AU366" s="72" t="n">
        <v>9.07</v>
      </c>
      <c r="AV366" s="72" t="n">
        <v>5.94</v>
      </c>
      <c r="AW366" s="72" t="n">
        <v>-3.08</v>
      </c>
      <c r="AX366" s="72" t="n">
        <v>-3.43</v>
      </c>
      <c r="AY366" s="63" t="inlineStr">
        <is>
          <t>Hang Seng Commerce &amp; Industry sub-index</t>
        </is>
      </c>
      <c r="AZ366" s="72" t="n">
        <v>-15.84</v>
      </c>
      <c r="BA366" s="64" t="inlineStr">
        <is>
          <t>2026-08-28</t>
        </is>
      </c>
      <c r="BB366" s="65" t="n">
        <v>296886.7</v>
      </c>
      <c r="BC366" s="68" t="n">
        <v>15548.5</v>
      </c>
      <c r="BD366" s="63" t="inlineStr">
        <is>
          <t>Y</t>
        </is>
      </c>
      <c r="BE366" s="74" t="n">
        <v>10.3</v>
      </c>
      <c r="BF366" s="74" t="n">
        <v>10</v>
      </c>
      <c r="BG366" s="74" t="n">
        <v>6.5</v>
      </c>
      <c r="BH366" s="74" t="n">
        <v>0.5</v>
      </c>
      <c r="BI366" s="75">
        <f>IF('BBG Verify'!S366="","not filed — run on terminal",'BBG Verify'!S366)</f>
        <v/>
      </c>
      <c r="BJ366" s="76" t="inlineStr">
        <is>
          <t>N</t>
        </is>
      </c>
      <c r="BK366" s="77">
        <f>IF('BBG Verify'!K366="","not filed — run on terminal",'BBG Verify'!K366)</f>
        <v/>
      </c>
      <c r="BL366" s="63" t="inlineStr">
        <is>
          <t>N/A</t>
        </is>
      </c>
      <c r="BM366" s="63" t="inlineStr">
        <is>
          <t>N/A</t>
        </is>
      </c>
      <c r="BN366" s="63" t="inlineStr">
        <is>
          <t>N/A</t>
        </is>
      </c>
      <c r="BO366" s="63" t="inlineStr">
        <is>
          <t>N/A</t>
        </is>
      </c>
      <c r="BP366" s="63" t="inlineStr">
        <is>
          <t>N/A</t>
        </is>
      </c>
      <c r="BQ366" s="63" t="inlineStr">
        <is>
          <t>N/A</t>
        </is>
      </c>
      <c r="BR366" s="76" t="inlineStr">
        <is>
          <t>China International Capital Corporation Hong Kong Securities Limited; Huatai Financial Holdings (Hong Kong) Limited; GF Capital (Hong Kong) Limited</t>
        </is>
      </c>
      <c r="BS366" s="63"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U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V366" s="78">
        <f>HYPERLINK("https://www1.hkexnews.hk/listedco/listconews/sehk/2025/0917/2025091700013.pdf","prospectus")</f>
        <v/>
      </c>
      <c r="BW366" s="78">
        <f>HYPERLINK("https://www1.hkexnews.hk/listedco/listconews/sehk/2025/0924/2025092401262.pdf","allotment")</f>
        <v/>
      </c>
      <c r="BX366" s="78">
        <f>HYPERLINK("https://www1.hkexnews.hk/listedco/listconews/sehk/2025/1022/2025102201148.pdf","stabilisation")</f>
        <v/>
      </c>
      <c r="BY366" s="76" t="n"/>
      <c r="BZ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72" t="n">
        <v>189.4</v>
      </c>
      <c r="AC367" s="66" t="n">
        <v>85.65000000000001</v>
      </c>
      <c r="AD367" s="72" t="n">
        <v>23.74</v>
      </c>
      <c r="AE367" s="63" t="inlineStr">
        <is>
          <t>Y</t>
        </is>
      </c>
      <c r="AF367" s="63" t="n"/>
      <c r="AG367" s="63" t="n"/>
      <c r="AH367" s="63" t="n"/>
      <c r="AI367" s="63" t="n"/>
      <c r="AJ367" s="73" t="n">
        <v>258.11</v>
      </c>
      <c r="AK367" s="72" t="n">
        <v>183.78</v>
      </c>
      <c r="AL367" s="72" t="n">
        <v>26.19</v>
      </c>
      <c r="AM367" s="72" t="n">
        <v>457.43</v>
      </c>
      <c r="AN367" s="72" t="n">
        <v>456.42</v>
      </c>
      <c r="AO367" s="72" t="n">
        <v>467.23</v>
      </c>
      <c r="AP367" s="72" t="n">
        <v>55.66</v>
      </c>
      <c r="AQ367" s="72" t="n">
        <v>55.38</v>
      </c>
      <c r="AR367" s="72" t="n">
        <v>58.4</v>
      </c>
      <c r="AS367" s="72" t="n">
        <v>456.21</v>
      </c>
      <c r="AT367" s="72" t="n">
        <v>461.42</v>
      </c>
      <c r="AU367" s="72" t="n">
        <v>474.36</v>
      </c>
      <c r="AV367" s="72" t="n">
        <v>61.55</v>
      </c>
      <c r="AW367" s="72" t="n">
        <v>-5</v>
      </c>
      <c r="AX367" s="72" t="n">
        <v>-6.17</v>
      </c>
      <c r="AY367" s="63" t="inlineStr">
        <is>
          <t>Hang Seng Commerce &amp; Industry sub-index</t>
        </is>
      </c>
      <c r="AZ367" s="72" t="n">
        <v>169.26</v>
      </c>
      <c r="BA367" s="64" t="inlineStr">
        <is>
          <t>2026-08-28</t>
        </is>
      </c>
      <c r="BB367" s="65" t="n">
        <v>502.2</v>
      </c>
      <c r="BC367" s="68" t="n">
        <v>54.3</v>
      </c>
      <c r="BD367" s="63" t="inlineStr">
        <is>
          <t>Y</t>
        </is>
      </c>
      <c r="BE367" s="74" t="n">
        <v>32.1</v>
      </c>
      <c r="BF367" s="74" t="n"/>
      <c r="BG367" s="74" t="n">
        <v>25</v>
      </c>
      <c r="BH367" s="74" t="n">
        <v>3.5</v>
      </c>
      <c r="BI367" s="75">
        <f>IF('BBG Verify'!S367="","not filed — run on terminal",'BBG Verify'!S367)</f>
        <v/>
      </c>
      <c r="BJ367" s="76" t="inlineStr">
        <is>
          <t>N</t>
        </is>
      </c>
      <c r="BK367" s="77">
        <f>IF('BBG Verify'!K367="","not filed — run on terminal",'BBG Verify'!K367)</f>
        <v/>
      </c>
      <c r="BL367" s="63" t="inlineStr">
        <is>
          <t>N/A</t>
        </is>
      </c>
      <c r="BM367" s="63" t="inlineStr">
        <is>
          <t>N/A</t>
        </is>
      </c>
      <c r="BN367" s="63" t="inlineStr">
        <is>
          <t>N/A</t>
        </is>
      </c>
      <c r="BO367" s="63" t="inlineStr">
        <is>
          <t>N/A</t>
        </is>
      </c>
      <c r="BP367" s="63" t="inlineStr">
        <is>
          <t>N/A</t>
        </is>
      </c>
      <c r="BQ367" s="63" t="inlineStr">
        <is>
          <t>N/A</t>
        </is>
      </c>
      <c r="BR367" s="76" t="inlineStr">
        <is>
          <t>Ping An of China Capital (Hong Kong) Company Limited</t>
        </is>
      </c>
      <c r="BS367" s="63" t="inlineStr">
        <is>
          <t>Ping An of China Capital (Hong Kong) Company Limited</t>
        </is>
      </c>
      <c r="BT367" s="63" t="inlineStr">
        <is>
          <t>Ping An Securities (Hong Kong) Company Limited; A VICT Global Asset Management Limited; uSMART Securities Limited; ABCI Capital Limited</t>
        </is>
      </c>
      <c r="BU367" s="63" t="inlineStr">
        <is>
          <t>ABCI Securities Company Limited; AVICT Global Asset Management Limited; Ping An Securities (Hong Kong) Company Limited; Patrons Securities Limited; Ruibang Securities Limited</t>
        </is>
      </c>
      <c r="BV367" s="78">
        <f>HYPERLINK("https://www1.hkexnews.hk/listedco/listconews/sehk/2025/0919/2025091900019.pdf","prospectus")</f>
        <v/>
      </c>
      <c r="BW367" s="78">
        <f>HYPERLINK("https://www1.hkexnews.hk/listedco/listconews/sehk/2025/0929/2025092902274.pdf","allotment")</f>
        <v/>
      </c>
      <c r="BX367" s="63" t="n"/>
      <c r="BY367" s="76" t="n"/>
      <c r="BZ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72" t="n"/>
      <c r="AC368" s="66" t="n"/>
      <c r="AD368" s="72" t="n"/>
      <c r="AE368" s="63" t="n"/>
      <c r="AF368" s="63" t="n"/>
      <c r="AG368" s="63" t="n"/>
      <c r="AH368" s="63" t="inlineStr">
        <is>
          <t>China International Capital Corporation Hong Kong Securities Limited</t>
        </is>
      </c>
      <c r="AI368" s="63" t="inlineStr">
        <is>
          <t>China International</t>
        </is>
      </c>
      <c r="AJ368" s="73" t="n">
        <v>53.58</v>
      </c>
      <c r="AK368" s="72" t="n">
        <v>32.06</v>
      </c>
      <c r="AL368" s="72" t="n">
        <v>16.3</v>
      </c>
      <c r="AM368" s="72" t="n">
        <v>98.95999999999999</v>
      </c>
      <c r="AN368" s="72" t="n">
        <v>68.05</v>
      </c>
      <c r="AO368" s="72" t="n">
        <v>110.51</v>
      </c>
      <c r="AP368" s="72" t="n">
        <v>29.55</v>
      </c>
      <c r="AQ368" s="72" t="n">
        <v>9.42</v>
      </c>
      <c r="AR368" s="72" t="n">
        <v>37.07</v>
      </c>
      <c r="AS368" s="72" t="n">
        <v>97.73999999999999</v>
      </c>
      <c r="AT368" s="72" t="n">
        <v>73.05</v>
      </c>
      <c r="AU368" s="72" t="n">
        <v>117.64</v>
      </c>
      <c r="AV368" s="72" t="n">
        <v>15.59</v>
      </c>
      <c r="AW368" s="72" t="n">
        <v>-5</v>
      </c>
      <c r="AX368" s="72" t="n">
        <v>-6.17</v>
      </c>
      <c r="AY368" s="63" t="inlineStr">
        <is>
          <t>Hang Seng Commerce &amp; Industry sub-index</t>
        </is>
      </c>
      <c r="AZ368" s="72" t="n">
        <v>56.61</v>
      </c>
      <c r="BA368" s="64" t="inlineStr">
        <is>
          <t>2026-08-28</t>
        </is>
      </c>
      <c r="BB368" s="65" t="n">
        <v>2812.7</v>
      </c>
      <c r="BC368" s="68" t="n">
        <v>-595.4</v>
      </c>
      <c r="BD368" s="63" t="inlineStr">
        <is>
          <t>N</t>
        </is>
      </c>
      <c r="BE368" s="63" t="inlineStr">
        <is>
          <t>n/m</t>
        </is>
      </c>
      <c r="BF368" s="74" t="n"/>
      <c r="BG368" s="74" t="n"/>
      <c r="BH368" s="74" t="n">
        <v>5.5</v>
      </c>
      <c r="BI368" s="75">
        <f>IF('BBG Verify'!S368="","not filed — run on terminal",'BBG Verify'!S368)</f>
        <v/>
      </c>
      <c r="BJ368" s="76" t="inlineStr">
        <is>
          <t>N</t>
        </is>
      </c>
      <c r="BK368" s="77">
        <f>IF('BBG Verify'!K368="","not filed — run on terminal",'BBG Verify'!K368)</f>
        <v/>
      </c>
      <c r="BL368" s="63" t="inlineStr">
        <is>
          <t>N/A</t>
        </is>
      </c>
      <c r="BM368" s="63" t="inlineStr">
        <is>
          <t>N/A</t>
        </is>
      </c>
      <c r="BN368" s="63" t="inlineStr">
        <is>
          <t>N/A</t>
        </is>
      </c>
      <c r="BO368" s="63" t="inlineStr">
        <is>
          <t>N/A</t>
        </is>
      </c>
      <c r="BP368" s="63" t="inlineStr">
        <is>
          <t>N/A</t>
        </is>
      </c>
      <c r="BQ368" s="63" t="inlineStr">
        <is>
          <t>N/A</t>
        </is>
      </c>
      <c r="BR368" s="76" t="n"/>
      <c r="BS368" s="63" t="inlineStr">
        <is>
          <t>China International Capital Corporation Hong Kong Securities Limited; Huatai Financial Holdings (Hong Kong) Limited; CITIC Securities (Hong Kong) Limited; Guotai Junan Capital Limited; CMB International Capital Limited</t>
        </is>
      </c>
      <c r="BT368" s="63" t="inlineStr">
        <is>
          <t>ABCI Securities Company Limited; BOCI Asia Limited; China International Capital Corporation Hong Kong Securities Limited; CLSA Limited; CMB International Capital Limited; Guotai Junan Securities (Hong Kong) Limited</t>
        </is>
      </c>
      <c r="BU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V368" s="63" t="n"/>
      <c r="BW368" s="78">
        <f>HYPERLINK("https://www1.hkexnews.hk/listedco/listconews/sehk/2025/0929/2025092903622.pdf","allotment")</f>
        <v/>
      </c>
      <c r="BX368" s="63" t="n"/>
      <c r="BY368" s="76" t="n"/>
      <c r="BZ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72" t="n"/>
      <c r="AC369" s="66" t="n"/>
      <c r="AD369" s="72" t="n"/>
      <c r="AE369" s="63" t="n"/>
      <c r="AF369" s="63" t="n"/>
      <c r="AG369" s="63" t="n"/>
      <c r="AH369" s="63" t="inlineStr">
        <is>
          <t>Morgan Stanley Asia Limited</t>
        </is>
      </c>
      <c r="AI369" s="63" t="inlineStr">
        <is>
          <t>Morgan Stanley</t>
        </is>
      </c>
      <c r="AJ369" s="73" t="n">
        <v>68.45999999999999</v>
      </c>
      <c r="AK369" s="72" t="n">
        <v>55.75</v>
      </c>
      <c r="AL369" s="72" t="n">
        <v>8.16</v>
      </c>
      <c r="AM369" s="72" t="n">
        <v>97.37</v>
      </c>
      <c r="AN369" s="72" t="n">
        <v>81.45</v>
      </c>
      <c r="AO369" s="72" t="n">
        <v>100.73</v>
      </c>
      <c r="AP369" s="72" t="n">
        <v>17.16</v>
      </c>
      <c r="AQ369" s="72" t="n">
        <v>7.71</v>
      </c>
      <c r="AR369" s="72" t="n">
        <v>19.16</v>
      </c>
      <c r="AS369" s="72" t="n">
        <v>96.15000000000001</v>
      </c>
      <c r="AT369" s="72" t="n">
        <v>86.45</v>
      </c>
      <c r="AU369" s="72" t="n">
        <v>107.86</v>
      </c>
      <c r="AV369" s="72" t="n">
        <v>13.88</v>
      </c>
      <c r="AW369" s="72" t="n">
        <v>-5</v>
      </c>
      <c r="AX369" s="72" t="n">
        <v>-6.17</v>
      </c>
      <c r="AY369" s="63" t="inlineStr">
        <is>
          <t>Hang Seng Commerce &amp; Industry sub-index</t>
        </is>
      </c>
      <c r="AZ369" s="72" t="n">
        <v>125.17</v>
      </c>
      <c r="BA369" s="64" t="inlineStr">
        <is>
          <t>2026-08-28</t>
        </is>
      </c>
      <c r="BB369" s="65" t="n">
        <v>23293</v>
      </c>
      <c r="BC369" s="68" t="n">
        <v>4840.7</v>
      </c>
      <c r="BD369" s="63" t="inlineStr">
        <is>
          <t>Y</t>
        </is>
      </c>
      <c r="BE369" s="74" t="n">
        <v>38.8</v>
      </c>
      <c r="BF369" s="74" t="n">
        <v>21.6</v>
      </c>
      <c r="BG369" s="74" t="n">
        <v>14.3</v>
      </c>
      <c r="BH369" s="74" t="n">
        <v>8.1</v>
      </c>
      <c r="BI369" s="75">
        <f>IF('BBG Verify'!S369="","not filed — run on terminal",'BBG Verify'!S369)</f>
        <v/>
      </c>
      <c r="BJ369" s="76" t="inlineStr">
        <is>
          <t>N</t>
        </is>
      </c>
      <c r="BK369" s="77">
        <f>IF('BBG Verify'!K369="","not filed — run on terminal",'BBG Verify'!K369)</f>
        <v/>
      </c>
      <c r="BL369" s="63" t="inlineStr">
        <is>
          <t>N/A</t>
        </is>
      </c>
      <c r="BM369" s="63" t="inlineStr">
        <is>
          <t>N/A</t>
        </is>
      </c>
      <c r="BN369" s="63" t="inlineStr">
        <is>
          <t>N/A</t>
        </is>
      </c>
      <c r="BO369" s="63" t="inlineStr">
        <is>
          <t>N/A</t>
        </is>
      </c>
      <c r="BP369" s="63" t="inlineStr">
        <is>
          <t>N/A</t>
        </is>
      </c>
      <c r="BQ369" s="63" t="inlineStr">
        <is>
          <t>N/A</t>
        </is>
      </c>
      <c r="BR369" s="76" t="inlineStr">
        <is>
          <t>Morgan Stanley Asia Limited; CITIC Securities (Hong Kong) Limited</t>
        </is>
      </c>
      <c r="BS369" s="63" t="inlineStr">
        <is>
          <t>Morgan Stanley Asia Limited; CITIC Securities (Hong Kong) Limited</t>
        </is>
      </c>
      <c r="BT369" s="63" t="inlineStr">
        <is>
          <t>Morgan Stanley &amp; Co. International plc; Canary Wharf London E14 4QA United Kingdom CLSA Limited; GF Securities (Hong Kong) Brokerage Limited; Huatai Financial Holdings (Hong Kong) Limited</t>
        </is>
      </c>
      <c r="BU369" s="63" t="inlineStr">
        <is>
          <t>China Industrial Securities International Capital Limited; CLSA Limited; GF Securities (Hong Kong) Brokerage Limited; Huatai Financial Holdings (Hong Kong) Limited; Macquarie Capital Limited; Morgan Stanley Asia Limited</t>
        </is>
      </c>
      <c r="BV369" s="78">
        <f>HYPERLINK("https://www1.hkexnews.hk/listedco/listconews/sehk/2025/0919/2025091900073.pdf","prospectus")</f>
        <v/>
      </c>
      <c r="BW369" s="78">
        <f>HYPERLINK("https://www1.hkexnews.hk/listedco/listconews/sehk/2025/0929/2025092903788.pdf","allotment")</f>
        <v/>
      </c>
      <c r="BX369" s="78">
        <f>HYPERLINK("https://www1.hkexnews.hk/listedco/listconews/sehk/2025/1026/2025102600001.pdf","stabilisation")</f>
        <v/>
      </c>
      <c r="BY369" s="76" t="n"/>
      <c r="BZ369" s="63" t="inlineStr">
        <is>
          <t>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72" t="n"/>
      <c r="AC370" s="66" t="n"/>
      <c r="AD370" s="72" t="n"/>
      <c r="AE370" s="63" t="n"/>
      <c r="AF370" s="63" t="n"/>
      <c r="AG370" s="63" t="n"/>
      <c r="AH370" s="63" t="n"/>
      <c r="AI370" s="63" t="n"/>
      <c r="AJ370" s="73" t="n">
        <v>161.02</v>
      </c>
      <c r="AK370" s="72" t="n">
        <v>218.64</v>
      </c>
      <c r="AL370" s="72" t="n">
        <v>-18.08</v>
      </c>
      <c r="AM370" s="72" t="n">
        <v>94.58</v>
      </c>
      <c r="AN370" s="72" t="n">
        <v>89.83</v>
      </c>
      <c r="AO370" s="72" t="n">
        <v>112.88</v>
      </c>
      <c r="AP370" s="72" t="n">
        <v>-25.45</v>
      </c>
      <c r="AQ370" s="72" t="n">
        <v>-27.27</v>
      </c>
      <c r="AR370" s="72" t="n">
        <v>-18.44</v>
      </c>
      <c r="AS370" s="72" t="n">
        <v>103.84</v>
      </c>
      <c r="AT370" s="72" t="n">
        <v>102.26</v>
      </c>
      <c r="AU370" s="72" t="n">
        <v>122.87</v>
      </c>
      <c r="AV370" s="72" t="n">
        <v>-13.89</v>
      </c>
      <c r="AW370" s="72" t="n">
        <v>-12.43</v>
      </c>
      <c r="AX370" s="72" t="n">
        <v>-13.38</v>
      </c>
      <c r="AY370" s="63" t="inlineStr">
        <is>
          <t>China Biotech ETF (HS biotech proxy)</t>
        </is>
      </c>
      <c r="AZ370" s="72" t="n">
        <v>-1.63</v>
      </c>
      <c r="BA370" s="64" t="inlineStr">
        <is>
          <t>2026-08-28</t>
        </is>
      </c>
      <c r="BB370" s="65" t="n">
        <v>668.5</v>
      </c>
      <c r="BC370" s="68" t="n"/>
      <c r="BD370" s="63" t="inlineStr">
        <is>
          <t>Y</t>
        </is>
      </c>
      <c r="BE370" s="75">
        <f>IF('BBG Verify'!O370="","not filed — run on terminal",'BBG Verify'!O370)</f>
        <v/>
      </c>
      <c r="BF370" s="74" t="n"/>
      <c r="BG370" s="74" t="n"/>
      <c r="BH370" s="74" t="n">
        <v>9.1</v>
      </c>
      <c r="BI370" s="75">
        <f>IF('BBG Verify'!S370="","not filed — run on terminal",'BBG Verify'!S370)</f>
        <v/>
      </c>
      <c r="BJ370" s="76" t="inlineStr">
        <is>
          <t>N</t>
        </is>
      </c>
      <c r="BK370" s="77">
        <f>IF('BBG Verify'!K370="","not filed — run on terminal",'BBG Verify'!K370)</f>
        <v/>
      </c>
      <c r="BL370" s="63" t="inlineStr">
        <is>
          <t>N/A</t>
        </is>
      </c>
      <c r="BM370" s="63" t="inlineStr">
        <is>
          <t>N/A</t>
        </is>
      </c>
      <c r="BN370" s="63" t="inlineStr">
        <is>
          <t>N/A</t>
        </is>
      </c>
      <c r="BO370" s="63" t="inlineStr">
        <is>
          <t>N/A</t>
        </is>
      </c>
      <c r="BP370" s="63" t="inlineStr">
        <is>
          <t>N/A</t>
        </is>
      </c>
      <c r="BQ370" s="63" t="inlineStr">
        <is>
          <t>N/A</t>
        </is>
      </c>
      <c r="BR370" s="76" t="inlineStr">
        <is>
          <t>CITIC Securities (Hong Kong) Limited; CMB International Capital Limited</t>
        </is>
      </c>
      <c r="BS370" s="63" t="inlineStr">
        <is>
          <t>CITIC Securities (Hong Kong) Limited</t>
        </is>
      </c>
      <c r="BT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U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V370" s="78">
        <f>HYPERLINK("https://www1.hkexnews.hk/listedco/listconews/sehk/2025/0926/2025092600041.pdf","prospectus")</f>
        <v/>
      </c>
      <c r="BW370" s="78">
        <f>HYPERLINK("https://www1.hkexnews.hk/listedco/listconews/sehk/2025/1006/2025100601430.pdf","allotment")</f>
        <v/>
      </c>
      <c r="BX370" s="63" t="n"/>
      <c r="BY370" s="76" t="n"/>
      <c r="BZ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72" t="n">
        <v>181.4</v>
      </c>
      <c r="AC371" s="66" t="n">
        <v>188.3</v>
      </c>
      <c r="AD371" s="72" t="n">
        <v>3.82</v>
      </c>
      <c r="AE371" s="63" t="inlineStr">
        <is>
          <t>Y</t>
        </is>
      </c>
      <c r="AF371" s="63" t="inlineStr">
        <is>
          <t>lapsed</t>
        </is>
      </c>
      <c r="AG371" s="63" t="inlineStr">
        <is>
          <t>2025-11-05</t>
        </is>
      </c>
      <c r="AH371" s="63" t="inlineStr">
        <is>
          <t>Shenwan Hongyuan Securities</t>
        </is>
      </c>
      <c r="AI371" s="63" t="inlineStr">
        <is>
          <t>Shenwan Hongyuan</t>
        </is>
      </c>
      <c r="AJ371" s="73" t="n">
        <v>192.14</v>
      </c>
      <c r="AK371" s="72" t="n">
        <v>183.92</v>
      </c>
      <c r="AL371" s="72" t="n">
        <v>2.9</v>
      </c>
      <c r="AM371" s="72" t="n">
        <v>171.22</v>
      </c>
      <c r="AN371" s="72" t="n">
        <v>167.04</v>
      </c>
      <c r="AO371" s="72" t="n">
        <v>258.64</v>
      </c>
      <c r="AP371" s="72" t="n">
        <v>-7.16</v>
      </c>
      <c r="AQ371" s="72" t="n">
        <v>-8.59</v>
      </c>
      <c r="AR371" s="72" t="n">
        <v>22.76</v>
      </c>
      <c r="AS371" s="72" t="n">
        <v>179.37</v>
      </c>
      <c r="AT371" s="72" t="n">
        <v>172.3</v>
      </c>
      <c r="AU371" s="72" t="n">
        <v>265.13</v>
      </c>
      <c r="AV371" s="72" t="n">
        <v>-5.91</v>
      </c>
      <c r="AW371" s="72" t="n">
        <v>-5.26</v>
      </c>
      <c r="AX371" s="72" t="n">
        <v>-2.68</v>
      </c>
      <c r="AY371" s="63" t="inlineStr">
        <is>
          <t>Hang Seng Commerce &amp; Industry sub-index</t>
        </is>
      </c>
      <c r="AZ371" s="72" t="n">
        <v>-33.28</v>
      </c>
      <c r="BA371" s="64" t="inlineStr">
        <is>
          <t>2026-08-31</t>
        </is>
      </c>
      <c r="BB371" s="65" t="n">
        <v>652.7</v>
      </c>
      <c r="BC371" s="68" t="n">
        <v>-259.5</v>
      </c>
      <c r="BD371" s="63" t="inlineStr">
        <is>
          <t>N</t>
        </is>
      </c>
      <c r="BE371" s="63" t="inlineStr">
        <is>
          <t>n/m</t>
        </is>
      </c>
      <c r="BF371" s="74" t="n"/>
      <c r="BG371" s="74" t="n"/>
      <c r="BH371" s="74" t="n">
        <v>6.1</v>
      </c>
      <c r="BI371" s="75">
        <f>IF('BBG Verify'!S371="","not filed — run on terminal",'BBG Verify'!S371)</f>
        <v/>
      </c>
      <c r="BJ371" s="76" t="inlineStr">
        <is>
          <t>N</t>
        </is>
      </c>
      <c r="BK371" s="77">
        <f>IF('BBG Verify'!K371="","not filed — run on terminal",'BBG Verify'!K371)</f>
        <v/>
      </c>
      <c r="BL371" s="63" t="inlineStr">
        <is>
          <t>N/A</t>
        </is>
      </c>
      <c r="BM371" s="63" t="inlineStr">
        <is>
          <t>N/A</t>
        </is>
      </c>
      <c r="BN371" s="63" t="inlineStr">
        <is>
          <t>N/A</t>
        </is>
      </c>
      <c r="BO371" s="63" t="inlineStr">
        <is>
          <t>N/A</t>
        </is>
      </c>
      <c r="BP371" s="63" t="inlineStr">
        <is>
          <t>N/A</t>
        </is>
      </c>
      <c r="BQ371" s="63" t="inlineStr">
        <is>
          <t>N/A</t>
        </is>
      </c>
      <c r="BR371" s="76" t="inlineStr">
        <is>
          <t>Shenwan Hongyuan Capital (H.K.) Limited</t>
        </is>
      </c>
      <c r="BS371" s="63" t="inlineStr">
        <is>
          <t>Shenwan Hongyuan Capital (H.K.) Limited</t>
        </is>
      </c>
      <c r="BT371" s="63" t="inlineStr">
        <is>
          <t>Shenwan Hongyuan Securities (H.K.) Limited; BOCOM International Securities Limited; First Shanghai Securities Limited; China Industrial Securities International Capital Limited; Livermore Holdings Limited; SPDB International Capital Limited</t>
        </is>
      </c>
      <c r="BU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V371" s="78">
        <f>HYPERLINK("https://www1.hkexnews.hk/listedco/listconews/sehk/2025/0930/2025093000033.pdf","prospectus")</f>
        <v/>
      </c>
      <c r="BW371" s="78">
        <f>HYPERLINK("https://www1.hkexnews.hk/listedco/listconews/sehk/2025/1009/2025100901252.pdf","allotment")</f>
        <v/>
      </c>
      <c r="BX371" s="78">
        <f>HYPERLINK("https://www1.hkexnews.hk/listedco/listconews/sehk/2025/1105/2025110500584.pdf","stabilisation")</f>
        <v/>
      </c>
      <c r="BY371" s="76" t="n"/>
      <c r="BZ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72" t="n"/>
      <c r="AC372" s="66" t="n"/>
      <c r="AD372" s="72" t="n"/>
      <c r="AE372" s="63" t="n"/>
      <c r="AF372" s="63" t="n"/>
      <c r="AG372" s="63" t="n"/>
      <c r="AH372" s="63" t="n"/>
      <c r="AI372" s="63" t="n"/>
      <c r="AJ372" s="73" t="n">
        <v>126.72</v>
      </c>
      <c r="AK372" s="72" t="n">
        <v>153.97</v>
      </c>
      <c r="AL372" s="72" t="n">
        <v>-10.73</v>
      </c>
      <c r="AM372" s="72" t="n">
        <v>417.24</v>
      </c>
      <c r="AN372" s="72" t="n">
        <v>451.29</v>
      </c>
      <c r="AO372" s="72" t="n">
        <v>509.05</v>
      </c>
      <c r="AP372" s="72" t="n">
        <v>128.14</v>
      </c>
      <c r="AQ372" s="72" t="n">
        <v>143.16</v>
      </c>
      <c r="AR372" s="72" t="n">
        <v>168.64</v>
      </c>
      <c r="AS372" s="72" t="n">
        <v>416.05</v>
      </c>
      <c r="AT372" s="72" t="n">
        <v>448.13</v>
      </c>
      <c r="AU372" s="72" t="n">
        <v>508.14</v>
      </c>
      <c r="AV372" s="72" t="n">
        <v>141.98</v>
      </c>
      <c r="AW372" s="72" t="n">
        <v>3.16</v>
      </c>
      <c r="AX372" s="72" t="n">
        <v>1.18</v>
      </c>
      <c r="AY372" s="63" t="inlineStr">
        <is>
          <t>China Biotech ETF (HS biotech proxy)</t>
        </is>
      </c>
      <c r="AZ372" s="72" t="n">
        <v>-8.880000000000001</v>
      </c>
      <c r="BA372" s="64" t="inlineStr">
        <is>
          <t>2026-08-28</t>
        </is>
      </c>
      <c r="BB372" s="65" t="n">
        <v>17.6</v>
      </c>
      <c r="BC372" s="68" t="n">
        <v>-612.1</v>
      </c>
      <c r="BD372" s="63" t="inlineStr">
        <is>
          <t>N</t>
        </is>
      </c>
      <c r="BE372" s="63" t="inlineStr">
        <is>
          <t>n/m</t>
        </is>
      </c>
      <c r="BF372" s="74" t="n"/>
      <c r="BG372" s="74" t="n"/>
      <c r="BH372" s="74" t="n">
        <v>341.4</v>
      </c>
      <c r="BI372" s="75">
        <f>IF('BBG Verify'!S372="","not filed — run on terminal",'BBG Verify'!S372)</f>
        <v/>
      </c>
      <c r="BJ372" s="76" t="inlineStr">
        <is>
          <t>N</t>
        </is>
      </c>
      <c r="BK372" s="77">
        <f>IF('BBG Verify'!K372="","not filed — run on terminal",'BBG Verify'!K372)</f>
        <v/>
      </c>
      <c r="BL372" s="63" t="inlineStr">
        <is>
          <t>N/A</t>
        </is>
      </c>
      <c r="BM372" s="63" t="inlineStr">
        <is>
          <t>N/A</t>
        </is>
      </c>
      <c r="BN372" s="63" t="inlineStr">
        <is>
          <t>N/A</t>
        </is>
      </c>
      <c r="BO372" s="63" t="inlineStr">
        <is>
          <t>N/A</t>
        </is>
      </c>
      <c r="BP372" s="63" t="inlineStr">
        <is>
          <t>N/A</t>
        </is>
      </c>
      <c r="BQ372" s="63" t="inlineStr">
        <is>
          <t>N/A</t>
        </is>
      </c>
      <c r="BR372" s="76" t="inlineStr">
        <is>
          <t>First Shanghai Capital Limited; CMB Wing Lung Bank Limited; China CITIC Bank International Limited; Ms. Wang Y u ( ˮρ) H Share Registrar Computershare Hong Kong Investor Services Limited</t>
        </is>
      </c>
      <c r="BS372" s="63" t="inlineStr">
        <is>
          <t>China International Capital Corporation Hong Kong Securities Limited</t>
        </is>
      </c>
      <c r="BT372" s="63" t="inlineStr">
        <is>
          <t>China International Capital Corporation Hong Kong Securities Limited; CMB International Capital Limited</t>
        </is>
      </c>
      <c r="BU372" s="63" t="inlineStr">
        <is>
          <t>China International Capital Corporation Hong Kong Securities Limited; CMB International Capital Limited</t>
        </is>
      </c>
      <c r="BV372" s="78">
        <f>HYPERLINK("https://www1.hkexnews.hk/listedco/listconews/sehk/2025/1006/2025100600007.pdf","prospectus")</f>
        <v/>
      </c>
      <c r="BW372" s="78">
        <f>HYPERLINK("https://www1.hkexnews.hk/listedco/listconews/sehk/2025/1014/2025101401222.pdf","allotment")</f>
        <v/>
      </c>
      <c r="BX372" s="63" t="n"/>
      <c r="BY372" s="76" t="n"/>
      <c r="BZ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72" t="n"/>
      <c r="AC373" s="66" t="n"/>
      <c r="AD373" s="72" t="n"/>
      <c r="AE373" s="63" t="n"/>
      <c r="AF373" s="63" t="inlineStr">
        <is>
          <t>full</t>
        </is>
      </c>
      <c r="AG373" s="63" t="inlineStr">
        <is>
          <t>2025-11-12</t>
        </is>
      </c>
      <c r="AH373" s="63" t="inlineStr">
        <is>
          <t>CLSA Limited</t>
        </is>
      </c>
      <c r="AI373" s="63" t="inlineStr">
        <is>
          <t>CLSA</t>
        </is>
      </c>
      <c r="AJ373" s="73" t="n">
        <v>26.05</v>
      </c>
      <c r="AK373" s="72" t="n">
        <v>49.37</v>
      </c>
      <c r="AL373" s="72" t="n">
        <v>-15.61</v>
      </c>
      <c r="AM373" s="72" t="n">
        <v>29.18</v>
      </c>
      <c r="AN373" s="72" t="n">
        <v>18.2</v>
      </c>
      <c r="AO373" s="72" t="n">
        <v>23.74</v>
      </c>
      <c r="AP373" s="72" t="n">
        <v>2.48</v>
      </c>
      <c r="AQ373" s="72" t="n">
        <v>-6.23</v>
      </c>
      <c r="AR373" s="72" t="n">
        <v>-1.83</v>
      </c>
      <c r="AS373" s="72" t="n">
        <v>31.36</v>
      </c>
      <c r="AT373" s="72" t="n">
        <v>23.4</v>
      </c>
      <c r="AU373" s="72" t="n">
        <v>29.28</v>
      </c>
      <c r="AV373" s="72" t="n">
        <v>-2.15</v>
      </c>
      <c r="AW373" s="72" t="n">
        <v>-5.2</v>
      </c>
      <c r="AX373" s="72" t="n">
        <v>-4.08</v>
      </c>
      <c r="AY373" s="63" t="inlineStr">
        <is>
          <t>HSTECH (Hang Seng TECH ETF)</t>
        </is>
      </c>
      <c r="AZ373" s="72" t="n">
        <v>31.8</v>
      </c>
      <c r="BA373" s="64" t="inlineStr">
        <is>
          <t>2026-08-28</t>
        </is>
      </c>
      <c r="BB373" s="65" t="n">
        <v>269.3</v>
      </c>
      <c r="BC373" s="68" t="n">
        <v>-64</v>
      </c>
      <c r="BD373" s="63" t="inlineStr">
        <is>
          <t>N</t>
        </is>
      </c>
      <c r="BE373" s="63" t="inlineStr">
        <is>
          <t>n/m</t>
        </is>
      </c>
      <c r="BF373" s="74" t="n"/>
      <c r="BG373" s="74" t="n"/>
      <c r="BH373" s="74" t="n">
        <v>21.9</v>
      </c>
      <c r="BI373" s="75">
        <f>IF('BBG Verify'!S373="","not filed — run on terminal",'BBG Verify'!S373)</f>
        <v/>
      </c>
      <c r="BJ373" s="76" t="inlineStr">
        <is>
          <t>N</t>
        </is>
      </c>
      <c r="BK373" s="77">
        <f>IF('BBG Verify'!K373="","not filed — run on terminal",'BBG Verify'!K373)</f>
        <v/>
      </c>
      <c r="BL373" s="63" t="inlineStr">
        <is>
          <t>N/A</t>
        </is>
      </c>
      <c r="BM373" s="63" t="inlineStr">
        <is>
          <t>N/A</t>
        </is>
      </c>
      <c r="BN373" s="63" t="inlineStr">
        <is>
          <t>N/A</t>
        </is>
      </c>
      <c r="BO373" s="63" t="inlineStr">
        <is>
          <t>N/A</t>
        </is>
      </c>
      <c r="BP373" s="63" t="inlineStr">
        <is>
          <t>N/A</t>
        </is>
      </c>
      <c r="BQ373" s="63" t="inlineStr">
        <is>
          <t>N/A</t>
        </is>
      </c>
      <c r="BR373" s="76" t="inlineStr">
        <is>
          <t>CITIC Securities (Hong Kong) Limited; CCB International Capital Limited</t>
        </is>
      </c>
      <c r="BS373" s="63" t="inlineStr">
        <is>
          <t>CCB International Capital Limited; CITIC Securities (Hong Kong) Limited</t>
        </is>
      </c>
      <c r="BT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U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V373" s="78">
        <f>HYPERLINK("https://www1.hkexnews.hk/listedco/listconews/sehk/2025/1008/2025100800003.pdf","prospectus")</f>
        <v/>
      </c>
      <c r="BW373" s="78">
        <f>HYPERLINK("https://www1.hkexnews.hk/listedco/listconews/sehk/2025/1015/2025101501398.pdf","allotment")</f>
        <v/>
      </c>
      <c r="BX373" s="78">
        <f>HYPERLINK("https://www1.hkexnews.hk/listedco/listconews/sehk/2025/1112/2025111201502.pdf","stabilisation")</f>
        <v/>
      </c>
      <c r="BY373" s="76" t="n"/>
      <c r="BZ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72" t="n"/>
      <c r="AC374" s="66" t="n"/>
      <c r="AD374" s="72" t="n"/>
      <c r="AE374" s="63" t="n"/>
      <c r="AF374" s="63" t="n"/>
      <c r="AG374" s="63" t="n"/>
      <c r="AH374" s="63" t="n"/>
      <c r="AI374" s="63" t="n"/>
      <c r="AJ374" s="73" t="n">
        <v>20.6</v>
      </c>
      <c r="AK374" s="72" t="n">
        <v>18.06</v>
      </c>
      <c r="AL374" s="72" t="n">
        <v>2.15</v>
      </c>
      <c r="AM374" s="72" t="n">
        <v>30.67</v>
      </c>
      <c r="AN374" s="72" t="n">
        <v>47.57</v>
      </c>
      <c r="AO374" s="72" t="n">
        <v>62.85</v>
      </c>
      <c r="AP374" s="72" t="n">
        <v>8.35</v>
      </c>
      <c r="AQ374" s="72" t="n">
        <v>22.36</v>
      </c>
      <c r="AR374" s="72" t="n">
        <v>35.03</v>
      </c>
      <c r="AS374" s="72" t="n">
        <v>29.21</v>
      </c>
      <c r="AT374" s="72" t="n">
        <v>49.17</v>
      </c>
      <c r="AU374" s="72" t="n">
        <v>66.48</v>
      </c>
      <c r="AV374" s="72" t="n">
        <v>24.54</v>
      </c>
      <c r="AW374" s="72" t="n">
        <v>-1.6</v>
      </c>
      <c r="AX374" s="72" t="n">
        <v>-2.18</v>
      </c>
      <c r="AY374" s="63" t="inlineStr">
        <is>
          <t>China Biotech ETF (HS biotech proxy)</t>
        </is>
      </c>
      <c r="AZ374" s="72" t="n">
        <v>122.22</v>
      </c>
      <c r="BA374" s="64" t="inlineStr">
        <is>
          <t>2026-08-31</t>
        </is>
      </c>
      <c r="BB374" s="65" t="n">
        <v>513.4</v>
      </c>
      <c r="BC374" s="68" t="n">
        <v>149.7</v>
      </c>
      <c r="BD374" s="63" t="inlineStr">
        <is>
          <t>Y</t>
        </is>
      </c>
      <c r="BE374" s="74" t="n">
        <v>45.4</v>
      </c>
      <c r="BF374" s="74" t="n"/>
      <c r="BG374" s="74" t="n"/>
      <c r="BH374" s="74" t="n">
        <v>13.2</v>
      </c>
      <c r="BI374" s="75">
        <f>IF('BBG Verify'!S374="","not filed — run on terminal",'BBG Verify'!S374)</f>
        <v/>
      </c>
      <c r="BJ374" s="76" t="inlineStr">
        <is>
          <t>N</t>
        </is>
      </c>
      <c r="BK374" s="77">
        <f>IF('BBG Verify'!K374="","not filed — run on terminal",'BBG Verify'!K374)</f>
        <v/>
      </c>
      <c r="BL374" s="63" t="inlineStr">
        <is>
          <t>N/A</t>
        </is>
      </c>
      <c r="BM374" s="63" t="inlineStr">
        <is>
          <t>N/A</t>
        </is>
      </c>
      <c r="BN374" s="63" t="inlineStr">
        <is>
          <t>N/A</t>
        </is>
      </c>
      <c r="BO374" s="63" t="inlineStr">
        <is>
          <t>N/A</t>
        </is>
      </c>
      <c r="BP374" s="63" t="inlineStr">
        <is>
          <t>N/A</t>
        </is>
      </c>
      <c r="BQ374" s="63" t="inlineStr">
        <is>
          <t>N/A</t>
        </is>
      </c>
      <c r="BR374" s="76" t="inlineStr">
        <is>
          <t>Huatai Financial Holdings (Hong Kong) Limited; CMB International Capital Limited</t>
        </is>
      </c>
      <c r="BS374" s="63" t="inlineStr">
        <is>
          <t>Huatai Financial Holdings (Hong Kong) Limited; CMB International Capital Limited</t>
        </is>
      </c>
      <c r="BT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U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V374" s="78">
        <f>HYPERLINK("https://www1.hkexnews.hk/listedco/listconews/sehk/2025/1009/2025100900041.pdf","prospectus")</f>
        <v/>
      </c>
      <c r="BW374" s="78">
        <f>HYPERLINK("https://www1.hkexnews.hk/listedco/listconews/sehk/2025/1017/2025101701654.pdf","allotment")</f>
        <v/>
      </c>
      <c r="BX374" s="63" t="n"/>
      <c r="BY374" s="76" t="n"/>
      <c r="BZ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72" t="n">
        <v>37.3</v>
      </c>
      <c r="AC375" s="66" t="n">
        <v>42</v>
      </c>
      <c r="AD375" s="72" t="n">
        <v>-9.789999999999999</v>
      </c>
      <c r="AE375" s="63" t="inlineStr">
        <is>
          <t>Y</t>
        </is>
      </c>
      <c r="AF375" s="63" t="inlineStr">
        <is>
          <t>full</t>
        </is>
      </c>
      <c r="AG375" s="63" t="n"/>
      <c r="AH375" s="63" t="inlineStr">
        <is>
          <t>China International Capital Corporation Hong Kong Securities Limited</t>
        </is>
      </c>
      <c r="AI375" s="63" t="inlineStr">
        <is>
          <t>China International</t>
        </is>
      </c>
      <c r="AJ375" s="73" t="n">
        <v>23.86</v>
      </c>
      <c r="AK375" s="72" t="n">
        <v>24.18</v>
      </c>
      <c r="AL375" s="72" t="n">
        <v>-0.26</v>
      </c>
      <c r="AM375" s="72" t="n">
        <v>8.5</v>
      </c>
      <c r="AN375" s="72" t="n">
        <v>-15.1</v>
      </c>
      <c r="AO375" s="72" t="n">
        <v>-6.27</v>
      </c>
      <c r="AP375" s="72" t="n">
        <v>-12.4</v>
      </c>
      <c r="AQ375" s="72" t="n">
        <v>-31.45</v>
      </c>
      <c r="AR375" s="72" t="n">
        <v>-24.33</v>
      </c>
      <c r="AS375" s="72" t="n">
        <v>6.01</v>
      </c>
      <c r="AT375" s="72" t="n">
        <v>-9.17</v>
      </c>
      <c r="AU375" s="72" t="n">
        <v>-3.26</v>
      </c>
      <c r="AV375" s="72" t="n">
        <v>-24.32</v>
      </c>
      <c r="AW375" s="72" t="n">
        <v>-5.93</v>
      </c>
      <c r="AX375" s="72" t="n">
        <v>-7.13</v>
      </c>
      <c r="AY375" s="63" t="inlineStr">
        <is>
          <t>HSTECH (Hang Seng TECH ETF)</t>
        </is>
      </c>
      <c r="AZ375" s="72" t="n">
        <v>-48.63</v>
      </c>
      <c r="BA375" s="64" t="inlineStr">
        <is>
          <t>2026-08-28</t>
        </is>
      </c>
      <c r="BB375" s="65" t="n">
        <v>1000.7</v>
      </c>
      <c r="BC375" s="68" t="n"/>
      <c r="BD375" s="63" t="inlineStr">
        <is>
          <t>Y</t>
        </is>
      </c>
      <c r="BE375" s="75">
        <f>IF('BBG Verify'!O375="","not filed — run on terminal",'BBG Verify'!O375)</f>
        <v/>
      </c>
      <c r="BF375" s="74" t="n"/>
      <c r="BG375" s="74" t="n"/>
      <c r="BH375" s="74" t="n">
        <v>13</v>
      </c>
      <c r="BI375" s="75">
        <f>IF('BBG Verify'!S375="","not filed — run on terminal",'BBG Verify'!S375)</f>
        <v/>
      </c>
      <c r="BJ375" s="76" t="inlineStr">
        <is>
          <t>N</t>
        </is>
      </c>
      <c r="BK375" s="77">
        <f>IF('BBG Verify'!K375="","not filed — run on terminal",'BBG Verify'!K375)</f>
        <v/>
      </c>
      <c r="BL375" s="63" t="inlineStr">
        <is>
          <t>N/A</t>
        </is>
      </c>
      <c r="BM375" s="63" t="inlineStr">
        <is>
          <t>N/A</t>
        </is>
      </c>
      <c r="BN375" s="63" t="inlineStr">
        <is>
          <t>N/A</t>
        </is>
      </c>
      <c r="BO375" s="63" t="inlineStr">
        <is>
          <t>N/A</t>
        </is>
      </c>
      <c r="BP375" s="63" t="inlineStr">
        <is>
          <t>N/A</t>
        </is>
      </c>
      <c r="BQ375" s="63" t="inlineStr">
        <is>
          <t>N/A</t>
        </is>
      </c>
      <c r="BR375" s="76" t="inlineStr">
        <is>
          <t>China International Capital Corporation Hong Kong Securities Limited; J.P. Morgan Securities (Far East) Limited</t>
        </is>
      </c>
      <c r="BS375" s="63" t="inlineStr">
        <is>
          <t>China International Capital Corporation Hong Kong Securities Limited; J.P. Morgan Securities (Far East) Limited</t>
        </is>
      </c>
      <c r="BT375" s="63" t="inlineStr">
        <is>
          <t>China International Capital Corporation Hong Kong Securities Limited; J.P. Morgan Securities (Asia Pacific) Limited</t>
        </is>
      </c>
      <c r="BU375" s="63" t="inlineStr">
        <is>
          <t>China International Capital Corporation Hong Kong Securities Limited; Futu Securities International (Hong Kong) Limited; J.P. Morgan Securities (Asia Pacific) Limited</t>
        </is>
      </c>
      <c r="BV375" s="78">
        <f>HYPERLINK("https://www1.hkexnews.hk/listedco/listconews/sehk/2025/1013/2025101300005.pdf","prospectus")</f>
        <v/>
      </c>
      <c r="BW375" s="78">
        <f>HYPERLINK("https://www1.hkexnews.hk/listedco/listconews/sehk/2025/1020/2025102001624.pdf","allotment")</f>
        <v/>
      </c>
      <c r="BX375" s="78">
        <f>HYPERLINK("https://www1.hkexnews.hk/listedco/listconews/sehk/2025/1116/2025111600017.pdf","stabilisation")</f>
        <v/>
      </c>
      <c r="BY375" s="76" t="n"/>
      <c r="BZ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72" t="n">
        <v>0</v>
      </c>
      <c r="AC376" s="66" t="n">
        <v>21.5</v>
      </c>
      <c r="AD376" s="72" t="n">
        <v>-11.72</v>
      </c>
      <c r="AE376" s="63" t="inlineStr">
        <is>
          <t>Y</t>
        </is>
      </c>
      <c r="AF376" s="63" t="n"/>
      <c r="AG376" s="63" t="inlineStr">
        <is>
          <t>2025-11-16</t>
        </is>
      </c>
      <c r="AH376" s="63" t="n"/>
      <c r="AI376" s="63" t="n"/>
      <c r="AJ376" s="73" t="n">
        <v>-11.72</v>
      </c>
      <c r="AK376" s="72" t="n">
        <v>0</v>
      </c>
      <c r="AL376" s="72" t="n">
        <v>-11.72</v>
      </c>
      <c r="AM376" s="72" t="n">
        <v>-10.23</v>
      </c>
      <c r="AN376" s="72" t="n">
        <v>-27.91</v>
      </c>
      <c r="AO376" s="72" t="n">
        <v>-24.88</v>
      </c>
      <c r="AP376" s="72" t="n">
        <v>1.69</v>
      </c>
      <c r="AQ376" s="72" t="n">
        <v>-18.34</v>
      </c>
      <c r="AR376" s="72" t="n">
        <v>-14.91</v>
      </c>
      <c r="AS376" s="72" t="n">
        <v>-10.99</v>
      </c>
      <c r="AT376" s="72" t="n">
        <v>-17.38</v>
      </c>
      <c r="AU376" s="72" t="n">
        <v>-21.14</v>
      </c>
      <c r="AV376" s="72" t="n">
        <v>-9.039999999999999</v>
      </c>
      <c r="AW376" s="72" t="n">
        <v>-10.53</v>
      </c>
      <c r="AX376" s="72" t="n">
        <v>-9.300000000000001</v>
      </c>
      <c r="AY376" s="63" t="inlineStr">
        <is>
          <t>HSTECH (Hang Seng TECH ETF)</t>
        </is>
      </c>
      <c r="AZ376" s="72" t="n">
        <v>-64.95</v>
      </c>
      <c r="BA376" s="64" t="inlineStr">
        <is>
          <t>2026-08-28</t>
        </is>
      </c>
      <c r="BB376" s="65" t="n">
        <v>9007.700000000001</v>
      </c>
      <c r="BC376" s="68" t="n">
        <v>734.8</v>
      </c>
      <c r="BD376" s="63" t="inlineStr">
        <is>
          <t>Y</t>
        </is>
      </c>
      <c r="BE376" s="74" t="n">
        <v>25.4</v>
      </c>
      <c r="BF376" s="74" t="n"/>
      <c r="BG376" s="74" t="n"/>
      <c r="BH376" s="74" t="n">
        <v>2.1</v>
      </c>
      <c r="BI376" s="75">
        <f>IF('BBG Verify'!S376="","not filed — run on terminal",'BBG Verify'!S376)</f>
        <v/>
      </c>
      <c r="BJ376" s="76" t="inlineStr">
        <is>
          <t>Y</t>
        </is>
      </c>
      <c r="BK376" s="63" t="inlineStr">
        <is>
          <t>300638.SZ</t>
        </is>
      </c>
      <c r="BL376" s="72" t="n">
        <v>51.88</v>
      </c>
      <c r="BM376" s="66" t="n">
        <v>32.6548</v>
      </c>
      <c r="BN376" s="80" t="n">
        <v>1.9709</v>
      </c>
      <c r="BO376" s="68" t="n">
        <v>20864.2</v>
      </c>
      <c r="BP376" s="75">
        <f>IF('BBG Verify'!Q376="","run on terminal",'BBG Verify'!Q376)</f>
        <v/>
      </c>
      <c r="BQ376" s="75">
        <f>IF('BBG Verify'!R376="","run on terminal",'BBG Verify'!R376)</f>
        <v/>
      </c>
      <c r="BR376" s="76" t="n"/>
      <c r="BS376" s="63" t="inlineStr">
        <is>
          <t>CITIC Securities (Hong Kong) Limited</t>
        </is>
      </c>
      <c r="BT376" s="63" t="inlineStr">
        <is>
          <t>ABCI Securities Company Limited; CLSA Limited; CMB International Capital Limited; China Sunrise Securities (International) Limited; Futu Securities International (Hong Kong) Limited; SDICS International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n"/>
      <c r="BW376" s="78">
        <f>HYPERLINK("https://www1.hkexnews.hk/listedco/listconews/sehk/2025/1021/2025102101036.pdf","allotment")</f>
        <v/>
      </c>
      <c r="BX376" s="63" t="n"/>
      <c r="BY376" s="76" t="n"/>
      <c r="BZ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72" t="n"/>
      <c r="AC377" s="66" t="n"/>
      <c r="AD377" s="72" t="n"/>
      <c r="AE377" s="63" t="n"/>
      <c r="AF377" s="63" t="n"/>
      <c r="AG377" s="63" t="n"/>
      <c r="AH377" s="63" t="n"/>
      <c r="AI377" s="63" t="n"/>
      <c r="AJ377" s="73" t="n">
        <v>150.56</v>
      </c>
      <c r="AK377" s="72" t="n">
        <v>111.93</v>
      </c>
      <c r="AL377" s="72" t="n">
        <v>18.23</v>
      </c>
      <c r="AM377" s="72" t="n">
        <v>278.84</v>
      </c>
      <c r="AN377" s="72" t="n">
        <v>169.5</v>
      </c>
      <c r="AO377" s="72" t="n">
        <v>205.51</v>
      </c>
      <c r="AP377" s="72" t="n">
        <v>51.2</v>
      </c>
      <c r="AQ377" s="72" t="n">
        <v>7.56</v>
      </c>
      <c r="AR377" s="72" t="n">
        <v>21.93</v>
      </c>
      <c r="AS377" s="72" t="n">
        <v>285.12</v>
      </c>
      <c r="AT377" s="72" t="n">
        <v>178.84</v>
      </c>
      <c r="AU377" s="72" t="n">
        <v>211.13</v>
      </c>
      <c r="AV377" s="72" t="n">
        <v>15.53</v>
      </c>
      <c r="AW377" s="72" t="n">
        <v>-9.34</v>
      </c>
      <c r="AX377" s="72" t="n">
        <v>-7.97</v>
      </c>
      <c r="AY377" s="63" t="inlineStr">
        <is>
          <t>HSTECH (Hang Seng TECH ETF)</t>
        </is>
      </c>
      <c r="AZ377" s="72" t="n">
        <v>24.61</v>
      </c>
      <c r="BA377" s="64" t="inlineStr">
        <is>
          <t>2026-08-28</t>
        </is>
      </c>
      <c r="BB377" s="65" t="n">
        <v>267.2</v>
      </c>
      <c r="BC377" s="68" t="n">
        <v>-1380.5</v>
      </c>
      <c r="BD377" s="63" t="inlineStr">
        <is>
          <t>N</t>
        </is>
      </c>
      <c r="BE377" s="63" t="inlineStr">
        <is>
          <t>n/m</t>
        </is>
      </c>
      <c r="BF377" s="74" t="n"/>
      <c r="BG377" s="74" t="n"/>
      <c r="BH377" s="74" t="n">
        <v>32.6</v>
      </c>
      <c r="BI377" s="75">
        <f>IF('BBG Verify'!S377="","not filed — run on terminal",'BBG Verify'!S377)</f>
        <v/>
      </c>
      <c r="BJ377" s="76" t="inlineStr">
        <is>
          <t>N</t>
        </is>
      </c>
      <c r="BK377" s="77">
        <f>IF('BBG Verify'!K377="","not filed — run on terminal",'BBG Verify'!K377)</f>
        <v/>
      </c>
      <c r="BL377" s="63" t="inlineStr">
        <is>
          <t>N/A</t>
        </is>
      </c>
      <c r="BM377" s="63" t="inlineStr">
        <is>
          <t>N/A</t>
        </is>
      </c>
      <c r="BN377" s="63" t="inlineStr">
        <is>
          <t>N/A</t>
        </is>
      </c>
      <c r="BO377" s="63" t="inlineStr">
        <is>
          <t>N/A</t>
        </is>
      </c>
      <c r="BP377" s="63" t="inlineStr">
        <is>
          <t>N/A</t>
        </is>
      </c>
      <c r="BQ377" s="63" t="inlineStr">
        <is>
          <t>N/A</t>
        </is>
      </c>
      <c r="BR377" s="76" t="inlineStr">
        <is>
          <t>CITIC Securities (Hong Kong) Limited; CMBC International Capital Limited; Guotai Junan Capital Limited; SPDB International Capital Limited; BOCOM International (Asia) Limited</t>
        </is>
      </c>
      <c r="BS377" s="63" t="inlineStr">
        <is>
          <t>CITIC Securities (Hong Kong) Limited; BOCOM International (Asia) Limited; Guotai Junan Capital Limited; CMBC International Capital Limited; SPDB International Capital Limited</t>
        </is>
      </c>
      <c r="BT377" s="63" t="inlineStr">
        <is>
          <t>BOCOM International Securities Limited; CLSA Limited; CMBC Securities Company Limited; Guotai Junan Securities (Hong Kong) Limited; Livermore Holdings Limited; SPDB International Capital Limited</t>
        </is>
      </c>
      <c r="BU377" s="63" t="inlineStr">
        <is>
          <t>BOCOM International Securities Limited; CLSA Limited; CMBC Securities Company Limited; Guotai Junan Securities (Hong Kong) Limited; Livermore Holdings Limited; SPDB International Capital Limited; Yellow River Securities Limited</t>
        </is>
      </c>
      <c r="BV377" s="78">
        <f>HYPERLINK("https://www1.hkexnews.hk/listedco/listconews/sehk/2025/1020/2025102000015.pdf","prospectus")</f>
        <v/>
      </c>
      <c r="BW377" s="78">
        <f>HYPERLINK("https://www1.hkexnews.hk/listedco/listconews/sehk/2025/1027/2025102701434.pdf","allotment")</f>
        <v/>
      </c>
      <c r="BX377" s="63" t="n"/>
      <c r="BY377" s="76" t="n"/>
      <c r="BZ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72" t="n"/>
      <c r="AC378" s="66" t="n"/>
      <c r="AD378" s="72" t="n"/>
      <c r="AE378" s="63" t="n"/>
      <c r="AF378" s="63" t="inlineStr">
        <is>
          <t>partial</t>
        </is>
      </c>
      <c r="AG378" s="63" t="inlineStr">
        <is>
          <t>2025-11-22</t>
        </is>
      </c>
      <c r="AH378" s="63" t="inlineStr">
        <is>
          <t>CLSA Limited</t>
        </is>
      </c>
      <c r="AI378" s="63" t="inlineStr">
        <is>
          <t>CLSA</t>
        </is>
      </c>
      <c r="AJ378" s="73" t="n">
        <v>2.82</v>
      </c>
      <c r="AK378" s="72" t="n">
        <v>0</v>
      </c>
      <c r="AL378" s="72" t="n">
        <v>2.82</v>
      </c>
      <c r="AM378" s="72" t="n">
        <v>6.67</v>
      </c>
      <c r="AN378" s="72" t="n">
        <v>0.19</v>
      </c>
      <c r="AO378" s="72" t="n">
        <v>18.78</v>
      </c>
      <c r="AP378" s="72" t="n">
        <v>3.74</v>
      </c>
      <c r="AQ378" s="72" t="n">
        <v>-2.56</v>
      </c>
      <c r="AR378" s="72" t="n">
        <v>15.52</v>
      </c>
      <c r="AS378" s="72" t="n">
        <v>11.46</v>
      </c>
      <c r="AT378" s="72" t="n">
        <v>6.17</v>
      </c>
      <c r="AU378" s="72" t="n">
        <v>19.75</v>
      </c>
      <c r="AV378" s="72" t="n">
        <v>2.09</v>
      </c>
      <c r="AW378" s="72" t="n">
        <v>-5.98</v>
      </c>
      <c r="AX378" s="72" t="n">
        <v>-4.65</v>
      </c>
      <c r="AY378" s="63" t="inlineStr">
        <is>
          <t>Hang Seng Commerce &amp; Industry sub-index</t>
        </is>
      </c>
      <c r="AZ378" s="72" t="n">
        <v>-12.72</v>
      </c>
      <c r="BA378" s="64" t="inlineStr">
        <is>
          <t>2026-08-28</t>
        </is>
      </c>
      <c r="BB378" s="65" t="n">
        <v>86221.7</v>
      </c>
      <c r="BC378" s="68" t="n">
        <v>6701.8</v>
      </c>
      <c r="BD378" s="63" t="inlineStr">
        <is>
          <t>Y</t>
        </is>
      </c>
      <c r="BE378" s="74" t="n">
        <v>27.5</v>
      </c>
      <c r="BF378" s="74" t="n">
        <v>22.3</v>
      </c>
      <c r="BG378" s="74" t="n">
        <v>16.3</v>
      </c>
      <c r="BH378" s="74" t="n">
        <v>2.1</v>
      </c>
      <c r="BI378" s="75">
        <f>IF('BBG Verify'!S378="","not filed — run on terminal",'BBG Verify'!S378)</f>
        <v/>
      </c>
      <c r="BJ378" s="76" t="inlineStr">
        <is>
          <t>Y</t>
        </is>
      </c>
      <c r="BK378" s="63" t="inlineStr">
        <is>
          <t>600031.SS</t>
        </is>
      </c>
      <c r="BL378" s="72" t="n">
        <v>15.4</v>
      </c>
      <c r="BM378" s="66" t="n">
        <v>24.5793</v>
      </c>
      <c r="BN378" s="80" t="n">
        <v>0.1893</v>
      </c>
      <c r="BO378" s="68" t="n">
        <v>214697.9</v>
      </c>
      <c r="BP378" s="75">
        <f>IF('BBG Verify'!Q378="","run on terminal",'BBG Verify'!Q378)</f>
        <v/>
      </c>
      <c r="BQ378" s="75">
        <f>IF('BBG Verify'!R378="","run on terminal",'BBG Verify'!R378)</f>
        <v/>
      </c>
      <c r="BR378" s="76" t="inlineStr">
        <is>
          <t>CITIC Securities (Hong Kong) Limited</t>
        </is>
      </c>
      <c r="BS378" s="63" t="inlineStr">
        <is>
          <t>CITIC Securities (Hong Kong) Limited</t>
        </is>
      </c>
      <c r="BT378" s="63" t="inlineStr">
        <is>
          <t>CLSA Limited; China International Capital Corporation Hong Kong Securities Limited; BOCI Asia Limited; ABCI Capital Limited; ICBC International Securities Limited; China Merchants Securities (HK) Co., Limited</t>
        </is>
      </c>
      <c r="BU378" s="63" t="inlineStr">
        <is>
          <t>ABCI Securities Company Limited; BOCI Asia Limited; China International Capital Corporation Hong Kong Securities Limited; CLSA Limited; China Merchants Securities (HK) Company Limited; ICBC International Securities Limited</t>
        </is>
      </c>
      <c r="BV378" s="78">
        <f>HYPERLINK("https://www1.hkexnews.hk/listedco/listconews/sehk/2025/1020/2025102000017.pdf","prospectus")</f>
        <v/>
      </c>
      <c r="BW378" s="78">
        <f>HYPERLINK("https://www1.hkexnews.hk/listedco/listconews/sehk/2025/1027/2025102701586.pdf","allotment")</f>
        <v/>
      </c>
      <c r="BX378" s="78">
        <f>HYPERLINK("https://www1.hkexnews.hk/listedco/listconews/sehk/2025/1123/2025112300093.pdf","stabilisation")</f>
        <v/>
      </c>
      <c r="BY378" s="76" t="n"/>
      <c r="BZ378" s="63" t="inlineStr">
        <is>
          <t>range low: cap-only pricing — the filing publishes a Maximum Offer Price and no indicative floor · A/H: Oct 2025, ~US$1.72bn · grey market: no grey-market headline on file for this deal — AAStocks publishes one per listing but keeps only recent items on the stock's news page, and no public archive of past evening sessions exists; captured from this run onward</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72" t="n"/>
      <c r="AC379" s="66" t="n"/>
      <c r="AD379" s="72" t="n"/>
      <c r="AE379" s="63" t="n"/>
      <c r="AF379" s="63" t="n"/>
      <c r="AG379" s="63" t="inlineStr">
        <is>
          <t>2025-11-22</t>
        </is>
      </c>
      <c r="AH379" s="63" t="inlineStr">
        <is>
          <t>Guotai Junan Securities</t>
        </is>
      </c>
      <c r="AI379" s="63" t="inlineStr">
        <is>
          <t>Guotai Junan</t>
        </is>
      </c>
      <c r="AJ379" s="73" t="n">
        <v>33.86</v>
      </c>
      <c r="AK379" s="72" t="n">
        <v>36.47</v>
      </c>
      <c r="AL379" s="72" t="n">
        <v>-1.91</v>
      </c>
      <c r="AM379" s="72" t="n">
        <v>13.53</v>
      </c>
      <c r="AN379" s="72" t="n">
        <v>14.76</v>
      </c>
      <c r="AO379" s="72" t="n">
        <v>19.05</v>
      </c>
      <c r="AP379" s="72" t="n">
        <v>-15.19</v>
      </c>
      <c r="AQ379" s="72" t="n">
        <v>-14.27</v>
      </c>
      <c r="AR379" s="72" t="n">
        <v>-11.06</v>
      </c>
      <c r="AS379" s="72" t="n">
        <v>19.81</v>
      </c>
      <c r="AT379" s="72" t="n">
        <v>24.1</v>
      </c>
      <c r="AU379" s="72" t="n">
        <v>24.67</v>
      </c>
      <c r="AV379" s="72" t="n">
        <v>-6.3</v>
      </c>
      <c r="AW379" s="72" t="n">
        <v>-9.34</v>
      </c>
      <c r="AX379" s="72" t="n">
        <v>-7.97</v>
      </c>
      <c r="AY379" s="63" t="inlineStr">
        <is>
          <t>HSTECH (Hang Seng TECH ETF)</t>
        </is>
      </c>
      <c r="AZ379" s="72" t="n">
        <v>49.39</v>
      </c>
      <c r="BA379" s="64" t="inlineStr">
        <is>
          <t>2026-08-28</t>
        </is>
      </c>
      <c r="BB379" s="65" t="n">
        <v>4014.9</v>
      </c>
      <c r="BC379" s="68" t="n">
        <v>183.3</v>
      </c>
      <c r="BD379" s="63" t="inlineStr">
        <is>
          <t>Y</t>
        </is>
      </c>
      <c r="BE379" s="74" t="n">
        <v>138.4</v>
      </c>
      <c r="BF379" s="74" t="n">
        <v>107.9</v>
      </c>
      <c r="BG379" s="74" t="n">
        <v>93.7</v>
      </c>
      <c r="BH379" s="74" t="n">
        <v>6.3</v>
      </c>
      <c r="BI379" s="75">
        <f>IF('BBG Verify'!S379="","not filed — run on terminal",'BBG Verify'!S379)</f>
        <v/>
      </c>
      <c r="BJ379" s="76" t="inlineStr">
        <is>
          <t>Y</t>
        </is>
      </c>
      <c r="BK379" s="63" t="inlineStr">
        <is>
          <t>603083.SS</t>
        </is>
      </c>
      <c r="BL379" s="72" t="n">
        <v>88.48</v>
      </c>
      <c r="BM379" s="66" t="n">
        <v>129.8239</v>
      </c>
      <c r="BN379" s="80" t="n">
        <v>1.1758</v>
      </c>
      <c r="BO379" s="68" t="n">
        <v>80609.5</v>
      </c>
      <c r="BP379" s="75">
        <f>IF('BBG Verify'!Q379="","run on terminal",'BBG Verify'!Q379)</f>
        <v/>
      </c>
      <c r="BQ379" s="75">
        <f>IF('BBG Verify'!R379="","run on terminal",'BBG Verify'!R379)</f>
        <v/>
      </c>
      <c r="BR379" s="76" t="n"/>
      <c r="BS379" s="63" t="inlineStr">
        <is>
          <t>Guotai Junan Capital Limited</t>
        </is>
      </c>
      <c r="BT379" s="63" t="inlineStr">
        <is>
          <t>CLSA Limited; DBS Asia Capital Limited; Guotai Junan Securities (Hong Kong) Limited; Star River Securities Limited</t>
        </is>
      </c>
      <c r="BU379" s="63" t="inlineStr">
        <is>
          <t>CLSA Limited; DBS Asia Capital Limited; Guotai Junan Securities (Hong Kong) Limited; Star River Securities Limited</t>
        </is>
      </c>
      <c r="BV379" s="63" t="n"/>
      <c r="BW379" s="78">
        <f>HYPERLINK("https://www1.hkexnews.hk/listedco/listconews/sehk/2025/1027/2025102701698.pdf","allotment")</f>
        <v/>
      </c>
      <c r="BX379" s="63" t="n"/>
      <c r="BY379" s="76" t="n"/>
      <c r="BZ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72" t="n">
        <v>60.2</v>
      </c>
      <c r="AC380" s="66" t="n">
        <v>80.09999999999999</v>
      </c>
      <c r="AD380" s="72" t="n">
        <v>16.54</v>
      </c>
      <c r="AE380" s="63" t="inlineStr">
        <is>
          <t>Y</t>
        </is>
      </c>
      <c r="AF380" s="63" t="n"/>
      <c r="AG380" s="63" t="n"/>
      <c r="AH380" s="63" t="n"/>
      <c r="AI380" s="63" t="n"/>
      <c r="AJ380" s="73" t="n">
        <v>86.7</v>
      </c>
      <c r="AK380" s="72" t="n">
        <v>60.2</v>
      </c>
      <c r="AL380" s="72" t="n">
        <v>16.54</v>
      </c>
      <c r="AM380" s="72" t="n">
        <v>46</v>
      </c>
      <c r="AN380" s="72" t="n">
        <v>5</v>
      </c>
      <c r="AO380" s="72" t="n">
        <v>-40.04</v>
      </c>
      <c r="AP380" s="72" t="n">
        <v>-21.8</v>
      </c>
      <c r="AQ380" s="72" t="n">
        <v>-43.76</v>
      </c>
      <c r="AR380" s="72" t="n">
        <v>-67.88</v>
      </c>
      <c r="AS380" s="72" t="n">
        <v>50.79</v>
      </c>
      <c r="AT380" s="72" t="n">
        <v>10.98</v>
      </c>
      <c r="AU380" s="72" t="n">
        <v>-39.07</v>
      </c>
      <c r="AV380" s="72" t="n">
        <v>-39.11</v>
      </c>
      <c r="AW380" s="72" t="n">
        <v>-5.98</v>
      </c>
      <c r="AX380" s="72" t="n">
        <v>-4.65</v>
      </c>
      <c r="AY380" s="63" t="inlineStr">
        <is>
          <t>Hang Seng Commerce &amp; Industry sub-index</t>
        </is>
      </c>
      <c r="AZ380" s="72" t="n">
        <v>-36.32</v>
      </c>
      <c r="BA380" s="64" t="inlineStr">
        <is>
          <t>2026-08-28</t>
        </is>
      </c>
      <c r="BB380" s="65" t="n">
        <v>2357.6</v>
      </c>
      <c r="BC380" s="68" t="n">
        <v>246.6</v>
      </c>
      <c r="BD380" s="63" t="inlineStr">
        <is>
          <t>Y</t>
        </is>
      </c>
      <c r="BE380" s="74" t="n">
        <v>17.2</v>
      </c>
      <c r="BF380" s="74" t="n">
        <v>32.7</v>
      </c>
      <c r="BG380" s="74" t="n">
        <v>7.7</v>
      </c>
      <c r="BH380" s="74" t="n">
        <v>1.8</v>
      </c>
      <c r="BI380" s="75">
        <f>IF('BBG Verify'!S380="","not filed — run on terminal",'BBG Verify'!S380)</f>
        <v/>
      </c>
      <c r="BJ380" s="76" t="inlineStr">
        <is>
          <t>N</t>
        </is>
      </c>
      <c r="BK380" s="77">
        <f>IF('BBG Verify'!K380="","not filed — run on terminal",'BBG Verify'!K380)</f>
        <v/>
      </c>
      <c r="BL380" s="63" t="inlineStr">
        <is>
          <t>N/A</t>
        </is>
      </c>
      <c r="BM380" s="63" t="inlineStr">
        <is>
          <t>N/A</t>
        </is>
      </c>
      <c r="BN380" s="63" t="inlineStr">
        <is>
          <t>N/A</t>
        </is>
      </c>
      <c r="BO380" s="63" t="inlineStr">
        <is>
          <t>N/A</t>
        </is>
      </c>
      <c r="BP380" s="63" t="inlineStr">
        <is>
          <t>N/A</t>
        </is>
      </c>
      <c r="BQ380" s="63" t="inlineStr">
        <is>
          <t>N/A</t>
        </is>
      </c>
      <c r="BR380" s="76" t="inlineStr">
        <is>
          <t>Huatai Financial Holdings (Hong Kong) Limited; ABCI Capital Limited; TFI Capital Limited</t>
        </is>
      </c>
      <c r="BS380" s="63" t="inlineStr">
        <is>
          <t>Huatai Financial Holdings (Hong Kong) Limited; TFI Capital Limited; ABCI Capital Limited</t>
        </is>
      </c>
      <c r="BT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U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V380" s="78">
        <f>HYPERLINK("https://www1.hkexnews.hk/listedco/listconews/sehk/2025/1020/2025102000021.pdf","prospectus")</f>
        <v/>
      </c>
      <c r="BW380" s="78">
        <f>HYPERLINK("https://www1.hkexnews.hk/listedco/listconews/sehk/2025/1027/2025102701732.pdf","allotment")</f>
        <v/>
      </c>
      <c r="BX380" s="63" t="n"/>
      <c r="BY380" s="76" t="n"/>
      <c r="BZ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72" t="n">
        <v>110.6</v>
      </c>
      <c r="AC381" s="66" t="n">
        <v>297</v>
      </c>
      <c r="AD381" s="72" t="n">
        <v>-2.14</v>
      </c>
      <c r="AE381" s="63" t="inlineStr">
        <is>
          <t>Y</t>
        </is>
      </c>
      <c r="AF381" s="63" t="n"/>
      <c r="AG381" s="63" t="inlineStr">
        <is>
          <t>2025-11-27</t>
        </is>
      </c>
      <c r="AH381" s="63" t="inlineStr">
        <is>
          <t>China International Capital Corporation Hong Kong Securities Limited</t>
        </is>
      </c>
      <c r="AI381" s="63" t="inlineStr">
        <is>
          <t>China International</t>
        </is>
      </c>
      <c r="AJ381" s="73" t="n">
        <v>106.1</v>
      </c>
      <c r="AK381" s="72" t="n">
        <v>98.58</v>
      </c>
      <c r="AL381" s="72" t="n">
        <v>3.79</v>
      </c>
      <c r="AM381" s="72" t="n">
        <v>57.16</v>
      </c>
      <c r="AN381" s="72" t="n">
        <v>45.25</v>
      </c>
      <c r="AO381" s="72" t="n">
        <v>77.87</v>
      </c>
      <c r="AP381" s="72" t="n">
        <v>-23.75</v>
      </c>
      <c r="AQ381" s="72" t="n">
        <v>-29.52</v>
      </c>
      <c r="AR381" s="72" t="n">
        <v>-13.7</v>
      </c>
      <c r="AS381" s="72" t="n">
        <v>57.42</v>
      </c>
      <c r="AT381" s="72" t="n">
        <v>50.16</v>
      </c>
      <c r="AU381" s="72" t="n">
        <v>85.79000000000001</v>
      </c>
      <c r="AV381" s="72" t="n">
        <v>-24.52</v>
      </c>
      <c r="AW381" s="72" t="n">
        <v>-4.91</v>
      </c>
      <c r="AX381" s="72" t="n">
        <v>-5</v>
      </c>
      <c r="AY381" s="63" t="inlineStr">
        <is>
          <t>HSTECH (Hang Seng TECH ETF)</t>
        </is>
      </c>
      <c r="AZ381" s="72" t="n">
        <v>-70.28</v>
      </c>
      <c r="BA381" s="64" t="inlineStr">
        <is>
          <t>2026-08-28</t>
        </is>
      </c>
      <c r="BB381" s="65" t="n">
        <v>1519.5</v>
      </c>
      <c r="BC381" s="68" t="n"/>
      <c r="BD381" s="63" t="inlineStr">
        <is>
          <t>Y</t>
        </is>
      </c>
      <c r="BE381" s="75">
        <f>IF('BBG Verify'!O381="","not filed — run on terminal",'BBG Verify'!O381)</f>
        <v/>
      </c>
      <c r="BF381" s="74" t="n"/>
      <c r="BG381" s="74" t="n"/>
      <c r="BH381" s="74" t="n">
        <v>13.4</v>
      </c>
      <c r="BI381" s="75">
        <f>IF('BBG Verify'!S381="","not filed — run on terminal",'BBG Verify'!S381)</f>
        <v/>
      </c>
      <c r="BJ381" s="76" t="inlineStr">
        <is>
          <t>N</t>
        </is>
      </c>
      <c r="BK381" s="77">
        <f>IF('BBG Verify'!K381="","not filed — run on terminal",'BBG Verify'!K381)</f>
        <v/>
      </c>
      <c r="BL381" s="63" t="inlineStr">
        <is>
          <t>N/A</t>
        </is>
      </c>
      <c r="BM381" s="63" t="inlineStr">
        <is>
          <t>N/A</t>
        </is>
      </c>
      <c r="BN381" s="63" t="inlineStr">
        <is>
          <t>N/A</t>
        </is>
      </c>
      <c r="BO381" s="63" t="inlineStr">
        <is>
          <t>N/A</t>
        </is>
      </c>
      <c r="BP381" s="63" t="inlineStr">
        <is>
          <t>N/A</t>
        </is>
      </c>
      <c r="BQ381" s="63" t="inlineStr">
        <is>
          <t>N/A</t>
        </is>
      </c>
      <c r="BR381" s="76" t="n"/>
      <c r="BS381" s="63" t="inlineStr">
        <is>
          <t>China International Capital Corporation Hong Kong Securities Limited</t>
        </is>
      </c>
      <c r="BT381" s="63" t="inlineStr">
        <is>
          <t>China International Capital Corporation Hong Kong Securities Limited; Citrus Securities Limited; CLSA Limited; China Renaissance Securities (Hong Kong) Limited; Futu Securities International (Hong Kong) Limited; FUZE SECURITIES (INTERNATIONAL)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V381" s="63" t="n"/>
      <c r="BW381" s="78">
        <f>HYPERLINK("https://www1.hkexnews.hk/listedco/listconews/sehk/2025/1031/2025103103042.pdf","allotment")</f>
        <v/>
      </c>
      <c r="BX381" s="63" t="n"/>
      <c r="BY381" s="76" t="n"/>
      <c r="BZ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72" t="n"/>
      <c r="AC382" s="66" t="n"/>
      <c r="AD382" s="72" t="n"/>
      <c r="AE382" s="63" t="n"/>
      <c r="AF382" s="63" t="inlineStr">
        <is>
          <t>partial</t>
        </is>
      </c>
      <c r="AG382" s="63" t="inlineStr">
        <is>
          <t>2025-11-30</t>
        </is>
      </c>
      <c r="AH382" s="63" t="inlineStr">
        <is>
          <t>China International Capital Corporation Hong Kong Securities Limited</t>
        </is>
      </c>
      <c r="AI382" s="63" t="inlineStr">
        <is>
          <t>China International</t>
        </is>
      </c>
      <c r="AJ382" s="73" t="n">
        <v>0</v>
      </c>
      <c r="AK382" s="72" t="n">
        <v>-1.98</v>
      </c>
      <c r="AL382" s="72" t="n">
        <v>2.02</v>
      </c>
      <c r="AM382" s="72" t="n">
        <v>-12.17</v>
      </c>
      <c r="AN382" s="72" t="n">
        <v>-11.94</v>
      </c>
      <c r="AO382" s="72" t="n">
        <v>-26.2</v>
      </c>
      <c r="AP382" s="72" t="n">
        <v>-12.17</v>
      </c>
      <c r="AQ382" s="72" t="n">
        <v>-11.94</v>
      </c>
      <c r="AR382" s="72" t="n">
        <v>-26.2</v>
      </c>
      <c r="AS382" s="72" t="n">
        <v>-15.09</v>
      </c>
      <c r="AT382" s="72" t="n">
        <v>-11.49</v>
      </c>
      <c r="AU382" s="72" t="n">
        <v>-24.44</v>
      </c>
      <c r="AV382" s="72" t="n">
        <v>-11.54</v>
      </c>
      <c r="AW382" s="72" t="n">
        <v>-0.45</v>
      </c>
      <c r="AX382" s="72" t="n">
        <v>-0.4</v>
      </c>
      <c r="AY382" s="63" t="inlineStr">
        <is>
          <t>Hang Seng Commerce &amp; Industry sub-index</t>
        </is>
      </c>
      <c r="AZ382" s="72" t="n">
        <v>-68.97</v>
      </c>
      <c r="BA382" s="64" t="inlineStr">
        <is>
          <t>2026-08-28</t>
        </is>
      </c>
      <c r="BB382" s="65" t="n">
        <v>159625</v>
      </c>
      <c r="BC382" s="68" t="n">
        <v>-1527.6</v>
      </c>
      <c r="BD382" s="63" t="inlineStr">
        <is>
          <t>N</t>
        </is>
      </c>
      <c r="BE382" s="63" t="inlineStr">
        <is>
          <t>n/m</t>
        </is>
      </c>
      <c r="BF382" s="74" t="n">
        <v>25.5</v>
      </c>
      <c r="BG382" s="74" t="n">
        <v>9.699999999999999</v>
      </c>
      <c r="BH382" s="74" t="n">
        <v>1.4</v>
      </c>
      <c r="BI382" s="75">
        <f>IF('BBG Verify'!S382="","not filed — run on terminal",'BBG Verify'!S382)</f>
        <v/>
      </c>
      <c r="BJ382" s="76" t="inlineStr">
        <is>
          <t>Y</t>
        </is>
      </c>
      <c r="BK382" s="63" t="inlineStr">
        <is>
          <t>601127.SS</t>
        </is>
      </c>
      <c r="BL382" s="72" t="n">
        <v>27.41</v>
      </c>
      <c r="BM382" s="66" t="n">
        <v>167.5467</v>
      </c>
      <c r="BN382" s="80" t="n">
        <v>0.4643</v>
      </c>
      <c r="BO382" s="68" t="n">
        <v>100820.2</v>
      </c>
      <c r="BP382" s="75">
        <f>IF('BBG Verify'!Q382="","run on terminal",'BBG Verify'!Q382)</f>
        <v/>
      </c>
      <c r="BQ382" s="75">
        <f>IF('BBG Verify'!R382="","run on terminal",'BBG Verify'!R382)</f>
        <v/>
      </c>
      <c r="BR382" s="76" t="inlineStr">
        <is>
          <t>CICC; China Galaxy International</t>
        </is>
      </c>
      <c r="BS382" s="63" t="inlineStr">
        <is>
          <t>China International Capital Corporation Hong Kong Securities Limited; China Galaxy International Securities (Hong Kong) Company Limited</t>
        </is>
      </c>
      <c r="BT382" s="63" t="inlineStr">
        <is>
          <t>China International Capital Corporation Hong Kong Securities Limited; China Galaxy International Securities (Hong Kong) Co., Limited; Huatai Financial Holdings (Hong Kong) Limited</t>
        </is>
      </c>
      <c r="BU382" s="63" t="inlineStr">
        <is>
          <t>China Galaxy International Securities (Hong Kong) Company Limited; China International Capital Corporation Hong Kong Securities Limited; Huatai Financial Holdings (Hong Kong) Limited</t>
        </is>
      </c>
      <c r="BV382" s="78">
        <f>HYPERLINK("https://www1.hkexnews.hk/listedco/listconews/sehk/2025/1027/2025102700059.pdf","prospectus")</f>
        <v/>
      </c>
      <c r="BW382" s="78">
        <f>HYPERLINK("https://www1.hkexnews.hk/listedco/listconews/sehk/2025/1104/2025110402282.pdf","allotment")</f>
        <v/>
      </c>
      <c r="BX382" s="78">
        <f>HYPERLINK("https://www1.hkexnews.hk/listedco/listconews/sehk/2025/1130/2025113000281.pdf","stabilisation")</f>
        <v/>
      </c>
      <c r="BY382" s="76" t="n"/>
      <c r="BZ382" s="63" t="inlineStr">
        <is>
          <t>P/E: n/m — loss-making at IPO (use P/S) · range low: cap-only pricing — the filing publishes a Maximum Offer Price and no indicative floor · A/H: Nov 2025, HK$14.28bn (~US$1.8bn) — 3rd-largest HK IPO of 2025; flat debut · grey market: no grey-market headline on file for this deal — AAStocks publishes one per listing but keeps only recent items on the stock's news page, and no public archive of past evening sessions exists; captured from this run onward</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72" t="n">
        <v>154.7</v>
      </c>
      <c r="AC383" s="66" t="n">
        <v>85</v>
      </c>
      <c r="AD383" s="72" t="n">
        <v>-3.52</v>
      </c>
      <c r="AE383" s="63" t="inlineStr">
        <is>
          <t>Y</t>
        </is>
      </c>
      <c r="AF383" s="63" t="inlineStr">
        <is>
          <t>lapsed (no over-allocation)</t>
        </is>
      </c>
      <c r="AG383" s="63" t="inlineStr">
        <is>
          <t>2025-12-03</t>
        </is>
      </c>
      <c r="AH383" s="63" t="inlineStr">
        <is>
          <t>CLSA Limited</t>
        </is>
      </c>
      <c r="AI383" s="63" t="inlineStr">
        <is>
          <t>CLSA</t>
        </is>
      </c>
      <c r="AJ383" s="73" t="n">
        <v>145.73</v>
      </c>
      <c r="AK383" s="72" t="n">
        <v>184.69</v>
      </c>
      <c r="AL383" s="72" t="n">
        <v>-13.69</v>
      </c>
      <c r="AM383" s="72" t="n">
        <v>64.97</v>
      </c>
      <c r="AN383" s="72" t="n">
        <v>131.05</v>
      </c>
      <c r="AO383" s="72" t="n">
        <v>216.15</v>
      </c>
      <c r="AP383" s="72" t="n">
        <v>-32.87</v>
      </c>
      <c r="AQ383" s="72" t="n">
        <v>-5.97</v>
      </c>
      <c r="AR383" s="72" t="n">
        <v>28.66</v>
      </c>
      <c r="AS383" s="72" t="n">
        <v>61.71</v>
      </c>
      <c r="AT383" s="72" t="n">
        <v>132.59</v>
      </c>
      <c r="AU383" s="72" t="n">
        <v>223.02</v>
      </c>
      <c r="AV383" s="72" t="n">
        <v>-4.04</v>
      </c>
      <c r="AW383" s="72" t="n">
        <v>-1.54</v>
      </c>
      <c r="AX383" s="72" t="n">
        <v>-1.93</v>
      </c>
      <c r="AY383" s="63" t="inlineStr">
        <is>
          <t>China Biotech ETF (HS biotech proxy)</t>
        </is>
      </c>
      <c r="AZ383" s="72" t="n">
        <v>198.62</v>
      </c>
      <c r="BA383" s="64" t="inlineStr">
        <is>
          <t>2026-08-28</t>
        </is>
      </c>
      <c r="BB383" s="65" t="n">
        <v>3.5</v>
      </c>
      <c r="BC383" s="68" t="n">
        <v>-81.2</v>
      </c>
      <c r="BD383" s="63" t="inlineStr">
        <is>
          <t>N</t>
        </is>
      </c>
      <c r="BE383" s="63" t="inlineStr">
        <is>
          <t>n/m</t>
        </is>
      </c>
      <c r="BF383" s="74" t="n"/>
      <c r="BG383" s="74" t="n"/>
      <c r="BH383" s="74" t="n">
        <v>1597.9</v>
      </c>
      <c r="BI383" s="75">
        <f>IF('BBG Verify'!S383="","not filed — run on terminal",'BBG Verify'!S383)</f>
        <v/>
      </c>
      <c r="BJ383" s="76" t="inlineStr">
        <is>
          <t>N</t>
        </is>
      </c>
      <c r="BK383" s="77">
        <f>IF('BBG Verify'!K383="","not filed — run on terminal",'BBG Verify'!K383)</f>
        <v/>
      </c>
      <c r="BL383" s="63" t="inlineStr">
        <is>
          <t>N/A</t>
        </is>
      </c>
      <c r="BM383" s="63" t="inlineStr">
        <is>
          <t>N/A</t>
        </is>
      </c>
      <c r="BN383" s="63" t="inlineStr">
        <is>
          <t>N/A</t>
        </is>
      </c>
      <c r="BO383" s="63" t="inlineStr">
        <is>
          <t>N/A</t>
        </is>
      </c>
      <c r="BP383" s="63" t="inlineStr">
        <is>
          <t>N/A</t>
        </is>
      </c>
      <c r="BQ383" s="63" t="inlineStr">
        <is>
          <t>N/A</t>
        </is>
      </c>
      <c r="BR383" s="76" t="inlineStr">
        <is>
          <t>CITIC Securities (Hong Kong) Limited</t>
        </is>
      </c>
      <c r="BS383" s="63" t="inlineStr">
        <is>
          <t>CITIC Securities (Hong Kong) Limited</t>
        </is>
      </c>
      <c r="BT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U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V383" s="78">
        <f>HYPERLINK("https://www1.hkexnews.hk/listedco/listconews/sehk/2025/1028/2025102800017.pdf","prospectus")</f>
        <v/>
      </c>
      <c r="BW383" s="78">
        <f>HYPERLINK("https://www1.hkexnews.hk/listedco/listconews/sehk/2025/1105/2025110502006.pdf","allotment")</f>
        <v/>
      </c>
      <c r="BX383" s="78">
        <f>HYPERLINK("https://www1.hkexnews.hk/listedco/listconews/sehk/2025/1203/2025120300845.pdf","stabilisation")</f>
        <v/>
      </c>
      <c r="BY383" s="76" t="n"/>
      <c r="BZ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72" t="n"/>
      <c r="AC384" s="66" t="n"/>
      <c r="AD384" s="72" t="n"/>
      <c r="AE384" s="63" t="n"/>
      <c r="AF384" s="63" t="inlineStr">
        <is>
          <t>lapsed</t>
        </is>
      </c>
      <c r="AG384" s="63" t="inlineStr">
        <is>
          <t>2025-12-03</t>
        </is>
      </c>
      <c r="AH384" s="63" t="inlineStr">
        <is>
          <t>Goldman Sachs</t>
        </is>
      </c>
      <c r="AI384" s="63" t="inlineStr">
        <is>
          <t>Goldman Sachs</t>
        </is>
      </c>
      <c r="AJ384" s="73" t="n">
        <v>-9.279999999999999</v>
      </c>
      <c r="AK384" s="72" t="n">
        <v>-10.79</v>
      </c>
      <c r="AL384" s="72" t="n">
        <v>1.69</v>
      </c>
      <c r="AM384" s="72" t="n">
        <v>-22.3</v>
      </c>
      <c r="AN384" s="72" t="n">
        <v>-16.47</v>
      </c>
      <c r="AO384" s="72" t="n">
        <v>-25.4</v>
      </c>
      <c r="AP384" s="72" t="n">
        <v>-14.35</v>
      </c>
      <c r="AQ384" s="72" t="n">
        <v>-7.93</v>
      </c>
      <c r="AR384" s="72" t="n">
        <v>-17.77</v>
      </c>
      <c r="AS384" s="72" t="n">
        <v>-25.56</v>
      </c>
      <c r="AT384" s="72" t="n">
        <v>-14.18</v>
      </c>
      <c r="AU384" s="72" t="n">
        <v>-17.64</v>
      </c>
      <c r="AV384" s="72" t="n">
        <v>-3.04</v>
      </c>
      <c r="AW384" s="72" t="n">
        <v>-2.29</v>
      </c>
      <c r="AX384" s="72" t="n">
        <v>-4.89</v>
      </c>
      <c r="AY384" s="63" t="inlineStr">
        <is>
          <t>HSTECH (Hang Seng TECH ETF)</t>
        </is>
      </c>
      <c r="AZ384" s="72" t="n">
        <v>-59.78</v>
      </c>
      <c r="BA384" s="64" t="inlineStr">
        <is>
          <t>2026-08-31</t>
        </is>
      </c>
      <c r="BB384" s="65" t="n">
        <v>585.2</v>
      </c>
      <c r="BC384" s="68" t="n">
        <v>-2138.1</v>
      </c>
      <c r="BD384" s="63" t="inlineStr">
        <is>
          <t>N</t>
        </is>
      </c>
      <c r="BE384" s="63" t="inlineStr">
        <is>
          <t>n/m</t>
        </is>
      </c>
      <c r="BF384" s="74" t="n"/>
      <c r="BG384" s="74" t="n"/>
      <c r="BH384" s="74" t="n">
        <v>103.2</v>
      </c>
      <c r="BI384" s="75">
        <f>IF('BBG Verify'!S384="","not filed — run on terminal",'BBG Verify'!S384)</f>
        <v/>
      </c>
      <c r="BJ384" s="76" t="inlineStr">
        <is>
          <t>N</t>
        </is>
      </c>
      <c r="BK384" s="77">
        <f>IF('BBG Verify'!K384="","not filed — run on terminal",'BBG Verify'!K384)</f>
        <v/>
      </c>
      <c r="BL384" s="63" t="inlineStr">
        <is>
          <t>N/A</t>
        </is>
      </c>
      <c r="BM384" s="63" t="inlineStr">
        <is>
          <t>N/A</t>
        </is>
      </c>
      <c r="BN384" s="63" t="inlineStr">
        <is>
          <t>N/A</t>
        </is>
      </c>
      <c r="BO384" s="63" t="inlineStr">
        <is>
          <t>N/A</t>
        </is>
      </c>
      <c r="BP384" s="63" t="inlineStr">
        <is>
          <t>N/A</t>
        </is>
      </c>
      <c r="BQ384" s="63" t="inlineStr">
        <is>
          <t>N/A</t>
        </is>
      </c>
      <c r="BR384" s="82" t="inlineStr">
        <is>
          <t>Goldman Sachs (Asia) L.L.C; Merrill Lynch (Asia Pacific) Limited; Deutsche Securities Asia Limited; Huatai Financial Holdings (Hong Kong) Limited</t>
        </is>
      </c>
      <c r="BS384" s="63" t="inlineStr">
        <is>
          <t>Merrill Lynch (Asia Pacific) Limited; Goldman Sachs (Asia) L.L.C.; Huatai Financial Holdings (Hong Kong) Limited; Deutsche Securities Asia Limited</t>
        </is>
      </c>
      <c r="BT384" s="63" t="inlineStr">
        <is>
          <t>Goldman Sachs (Asia) L.L.C; Merrill Lynch (Asia Pacific) Limited; Deutsche Bank AG, Hong Kong Branch; Huatai Financial Holdings (Hong Kong) Limited; CLSA Limited; BOCI Asia Limited</t>
        </is>
      </c>
      <c r="BU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V384" s="78">
        <f>HYPERLINK("https://www1.hkexnews.hk/listedco/listconews/sehk/2025/1028/2025102800087.pdf","prospectus")</f>
        <v/>
      </c>
      <c r="BW384" s="78">
        <f>HYPERLINK("https://www1.hkexnews.hk/listedco/listconews/sehk/2025/1105/2025110502018.pdf","allotment")</f>
        <v/>
      </c>
      <c r="BX384" s="78">
        <f>HYPERLINK("https://www1.hkexnews.hk/listedco/listconews/sehk/2025/1203/2025120302148.pdf","stabilisation")</f>
        <v/>
      </c>
      <c r="BY384" s="76" t="n"/>
      <c r="BZ384"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72" t="n"/>
      <c r="AC385" s="66" t="n"/>
      <c r="AD385" s="72" t="n"/>
      <c r="AE385" s="63" t="n"/>
      <c r="AF385" s="63" t="n"/>
      <c r="AG385" s="63" t="n"/>
      <c r="AH385" s="63" t="inlineStr">
        <is>
          <t>China International Capital Corporation Hong Kong Securities Limited</t>
        </is>
      </c>
      <c r="AI385" s="63" t="inlineStr">
        <is>
          <t>China International</t>
        </is>
      </c>
      <c r="AJ385" s="73" t="n">
        <v>-8</v>
      </c>
      <c r="AK385" s="72" t="n">
        <v>-2.27</v>
      </c>
      <c r="AL385" s="72" t="n">
        <v>-5.86</v>
      </c>
      <c r="AM385" s="72" t="n">
        <v>-20.45</v>
      </c>
      <c r="AN385" s="72" t="n">
        <v>-20.82</v>
      </c>
      <c r="AO385" s="72" t="n">
        <v>-22.86</v>
      </c>
      <c r="AP385" s="72" t="n">
        <v>-13.53</v>
      </c>
      <c r="AQ385" s="72" t="n">
        <v>-13.93</v>
      </c>
      <c r="AR385" s="72" t="n">
        <v>-16.15</v>
      </c>
      <c r="AS385" s="72" t="n">
        <v>-24.17</v>
      </c>
      <c r="AT385" s="72" t="n">
        <v>-20.92</v>
      </c>
      <c r="AU385" s="72" t="n">
        <v>-20.29</v>
      </c>
      <c r="AV385" s="72" t="n">
        <v>-11.74</v>
      </c>
      <c r="AW385" s="72" t="n">
        <v>0.1</v>
      </c>
      <c r="AX385" s="72" t="n">
        <v>-2.19</v>
      </c>
      <c r="AY385" s="63" t="inlineStr">
        <is>
          <t>Hang Seng Commerce &amp; Industry sub-index</t>
        </is>
      </c>
      <c r="AZ385" s="72" t="n">
        <v>-44.55</v>
      </c>
      <c r="BA385" s="64" t="inlineStr">
        <is>
          <t>2026-08-28</t>
        </is>
      </c>
      <c r="BB385" s="65" t="n">
        <v>61449.9</v>
      </c>
      <c r="BC385" s="68" t="n">
        <v>1049.7</v>
      </c>
      <c r="BD385" s="63" t="inlineStr">
        <is>
          <t>Y</t>
        </is>
      </c>
      <c r="BE385" s="74" t="n">
        <v>32.5</v>
      </c>
      <c r="BF385" s="74" t="n"/>
      <c r="BG385" s="74" t="n"/>
      <c r="BH385" s="74" t="n">
        <v>0.6</v>
      </c>
      <c r="BI385" s="75">
        <f>IF('BBG Verify'!S385="","not filed — run on terminal",'BBG Verify'!S385)</f>
        <v/>
      </c>
      <c r="BJ385" s="76" t="inlineStr">
        <is>
          <t>Y</t>
        </is>
      </c>
      <c r="BK385" s="63" t="inlineStr">
        <is>
          <t>600699.SS</t>
        </is>
      </c>
      <c r="BL385" s="72" t="n">
        <v>48.18</v>
      </c>
      <c r="BM385" s="66" t="n">
        <v>32.5992</v>
      </c>
      <c r="BN385" s="80" t="n">
        <v>0.8457</v>
      </c>
      <c r="BO385" s="68" t="n">
        <v>34668.6</v>
      </c>
      <c r="BP385" s="75">
        <f>IF('BBG Verify'!Q385="","run on terminal",'BBG Verify'!Q385)</f>
        <v/>
      </c>
      <c r="BQ385" s="75">
        <f>IF('BBG Verify'!R385="","run on terminal",'BBG Verify'!R385)</f>
        <v/>
      </c>
      <c r="BR385" s="76" t="inlineStr">
        <is>
          <t>China International Capital Corporation Hong Kong Securities Limited; UBS Securities Hong Kong Limited</t>
        </is>
      </c>
      <c r="BS385" s="63" t="inlineStr">
        <is>
          <t>China International Capital Corporation Hong Kong Securities Limited; UBS Securities Hong Kong Limited</t>
        </is>
      </c>
      <c r="BT385" s="63" t="inlineStr">
        <is>
          <t>ABCI Securities Company Limited; China International Capital Corporation Hong Kong Securities Limited; China Renaissance Securities (Hong Kong) Limited; GF Securities (Hong Kong) Brokerage Limited; UBS AG Hong Kong Branch</t>
        </is>
      </c>
      <c r="BU385" s="63" t="inlineStr">
        <is>
          <t>ABCI Securities Company Limited; China International Capital Corporation Hong Kong Securities Limited; China Renaissance Securities (Hong Kong) Limited; GF Securities (Hong Kong) Brokerage Limited; UBS AG Hong Kong Branch</t>
        </is>
      </c>
      <c r="BV385" s="63" t="n"/>
      <c r="BW385" s="78">
        <f>HYPERLINK("https://www1.hkexnews.hk/listedco/listconews/sehk/2025/1105/2025110502028.pdf","allotment")</f>
        <v/>
      </c>
      <c r="BX385" s="63" t="n"/>
      <c r="BY385" s="76" t="n"/>
      <c r="BZ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72" t="n"/>
      <c r="AC386" s="66" t="n"/>
      <c r="AD386" s="72" t="n"/>
      <c r="AE386" s="63" t="n"/>
      <c r="AF386" s="63" t="n"/>
      <c r="AG386" s="63" t="inlineStr">
        <is>
          <t>2025-12-05</t>
        </is>
      </c>
      <c r="AH386" s="63" t="inlineStr">
        <is>
          <t>China International Capital Corporation Hong Kong Securities Limited</t>
        </is>
      </c>
      <c r="AI386" s="63" t="inlineStr">
        <is>
          <t>China International</t>
        </is>
      </c>
      <c r="AJ386" s="73" t="n">
        <v>25.95</v>
      </c>
      <c r="AK386" s="72" t="n">
        <v>33.51</v>
      </c>
      <c r="AL386" s="72" t="n">
        <v>-5.66</v>
      </c>
      <c r="AM386" s="72" t="n">
        <v>17.71</v>
      </c>
      <c r="AN386" s="72" t="n">
        <v>14.5</v>
      </c>
      <c r="AO386" s="72" t="n">
        <v>17.1</v>
      </c>
      <c r="AP386" s="72" t="n">
        <v>-6.54</v>
      </c>
      <c r="AQ386" s="72" t="n">
        <v>-9.09</v>
      </c>
      <c r="AR386" s="72" t="n">
        <v>-7.03</v>
      </c>
      <c r="AS386" s="72" t="n">
        <v>17.93</v>
      </c>
      <c r="AT386" s="72" t="n">
        <v>17.89</v>
      </c>
      <c r="AU386" s="72" t="n">
        <v>18.47</v>
      </c>
      <c r="AV386" s="72" t="n">
        <v>-3.92</v>
      </c>
      <c r="AW386" s="72" t="n">
        <v>-3.39</v>
      </c>
      <c r="AX386" s="72" t="n">
        <v>-5.17</v>
      </c>
      <c r="AY386" s="63" t="inlineStr">
        <is>
          <t>Hang Seng Commerce &amp; Industry sub-index</t>
        </is>
      </c>
      <c r="AZ386" s="72" t="n">
        <v>23.28</v>
      </c>
      <c r="BA386" s="64" t="inlineStr">
        <is>
          <t>2026-08-28</t>
        </is>
      </c>
      <c r="BB386" s="65" t="n">
        <v>3544.2</v>
      </c>
      <c r="BC386" s="68" t="n">
        <v>741.9</v>
      </c>
      <c r="BD386" s="63" t="inlineStr">
        <is>
          <t>Y</t>
        </is>
      </c>
      <c r="BE386" s="74" t="n">
        <v>21</v>
      </c>
      <c r="BF386" s="74" t="n">
        <v>22.3</v>
      </c>
      <c r="BG386" s="74" t="n">
        <v>19.1</v>
      </c>
      <c r="BH386" s="74" t="n">
        <v>4.4</v>
      </c>
      <c r="BI386" s="75">
        <f>IF('BBG Verify'!S386="","not filed — run on terminal",'BBG Verify'!S386)</f>
        <v/>
      </c>
      <c r="BJ386" s="76" t="inlineStr">
        <is>
          <t>N</t>
        </is>
      </c>
      <c r="BK386" s="77">
        <f>IF('BBG Verify'!K386="","not filed — run on terminal",'BBG Verify'!K386)</f>
        <v/>
      </c>
      <c r="BL386" s="63" t="inlineStr">
        <is>
          <t>N/A</t>
        </is>
      </c>
      <c r="BM386" s="63" t="inlineStr">
        <is>
          <t>N/A</t>
        </is>
      </c>
      <c r="BN386" s="63" t="inlineStr">
        <is>
          <t>N/A</t>
        </is>
      </c>
      <c r="BO386" s="63" t="inlineStr">
        <is>
          <t>N/A</t>
        </is>
      </c>
      <c r="BP386" s="63" t="inlineStr">
        <is>
          <t>N/A</t>
        </is>
      </c>
      <c r="BQ386" s="63" t="inlineStr">
        <is>
          <t>N/A</t>
        </is>
      </c>
      <c r="BR386" s="76" t="n"/>
      <c r="BS386" s="63" t="inlineStr">
        <is>
          <t>China International Capital Corporation Hong Kong Securities Limited; CITIC Securities (Hong Kong) Limited; GF Capital (Hong Kong) Limited</t>
        </is>
      </c>
      <c r="BT386" s="63" t="inlineStr">
        <is>
          <t>China International Capital Corporation Hong Kong Securities Limited; CLSA Limited; GF Securities (Hong Kong) Brokerage Limited</t>
        </is>
      </c>
      <c r="BU386" s="63" t="inlineStr">
        <is>
          <t>China International Capital Corporation Hong Kong Securities Limited; CLSA Limited; GF Securities (Hong Kong) Brokerage Limited</t>
        </is>
      </c>
      <c r="BV386" s="63" t="n"/>
      <c r="BW386" s="78">
        <f>HYPERLINK("https://www1.hkexnews.hk/listedco/listconews/sehk/2025/1107/2025110701708.pdf","allotment")</f>
        <v/>
      </c>
      <c r="BX386" s="63" t="n"/>
      <c r="BY386" s="76" t="n"/>
      <c r="BZ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72" t="n">
        <v>-1.5</v>
      </c>
      <c r="AC387" s="66" t="n">
        <v>33.5</v>
      </c>
      <c r="AD387" s="72" t="n">
        <v>1.4</v>
      </c>
      <c r="AE387" s="63" t="inlineStr">
        <is>
          <t>Y</t>
        </is>
      </c>
      <c r="AF387" s="63" t="inlineStr">
        <is>
          <t>lapsed</t>
        </is>
      </c>
      <c r="AG387" s="63" t="n"/>
      <c r="AH387" s="63" t="inlineStr">
        <is>
          <t>Morgan Stanley Asia Limited</t>
        </is>
      </c>
      <c r="AI387" s="63" t="inlineStr">
        <is>
          <t>Morgan Stanley</t>
        </is>
      </c>
      <c r="AJ387" s="73" t="n">
        <v>-0.12</v>
      </c>
      <c r="AK387" s="72" t="n">
        <v>0</v>
      </c>
      <c r="AL387" s="72" t="n">
        <v>-0.12</v>
      </c>
      <c r="AM387" s="72" t="n">
        <v>-10.88</v>
      </c>
      <c r="AN387" s="72" t="n">
        <v>-22.65</v>
      </c>
      <c r="AO387" s="72" t="n">
        <v>2.53</v>
      </c>
      <c r="AP387" s="72" t="n">
        <v>-10.77</v>
      </c>
      <c r="AQ387" s="72" t="n">
        <v>-22.56</v>
      </c>
      <c r="AR387" s="72" t="n">
        <v>2.65</v>
      </c>
      <c r="AS387" s="72" t="n">
        <v>-7.61</v>
      </c>
      <c r="AT387" s="72" t="n">
        <v>-16.86</v>
      </c>
      <c r="AU387" s="72" t="n">
        <v>7.46</v>
      </c>
      <c r="AV387" s="72" t="n">
        <v>-17.39</v>
      </c>
      <c r="AW387" s="72" t="n">
        <v>-5.79</v>
      </c>
      <c r="AX387" s="72" t="n">
        <v>-5.17</v>
      </c>
      <c r="AY387" s="63" t="inlineStr">
        <is>
          <t>Hang Seng Commerce &amp; Industry sub-index</t>
        </is>
      </c>
      <c r="AZ387" s="72" t="n">
        <v>-22.41</v>
      </c>
      <c r="BA387" s="64" t="inlineStr">
        <is>
          <t>2026-08-28</t>
        </is>
      </c>
      <c r="BB387" s="65" t="n">
        <v>44245.2</v>
      </c>
      <c r="BC387" s="68" t="n">
        <v>1966.5</v>
      </c>
      <c r="BD387" s="63" t="inlineStr">
        <is>
          <t>Y</t>
        </is>
      </c>
      <c r="BE387" s="74" t="n">
        <v>19.8</v>
      </c>
      <c r="BF387" s="74" t="n">
        <v>21.5</v>
      </c>
      <c r="BG387" s="74" t="n">
        <v>13.4</v>
      </c>
      <c r="BH387" s="74" t="n">
        <v>0.9</v>
      </c>
      <c r="BI387" s="75">
        <f>IF('BBG Verify'!S387="","not filed — run on terminal",'BBG Verify'!S387)</f>
        <v/>
      </c>
      <c r="BJ387" s="76" t="inlineStr">
        <is>
          <t>Y</t>
        </is>
      </c>
      <c r="BK387" s="63" t="inlineStr">
        <is>
          <t>300919.SZ</t>
        </is>
      </c>
      <c r="BL387" s="72" t="n">
        <v>59.33</v>
      </c>
      <c r="BM387" s="66" t="n">
        <v>54.1727</v>
      </c>
      <c r="BN387" s="80" t="n">
        <v>0.8403</v>
      </c>
      <c r="BO387" s="68" t="n">
        <v>48729.7</v>
      </c>
      <c r="BP387" s="75">
        <f>IF('BBG Verify'!Q387="","run on terminal",'BBG Verify'!Q387)</f>
        <v/>
      </c>
      <c r="BQ387" s="75">
        <f>IF('BBG Verify'!R387="","run on terminal",'BBG Verify'!R387)</f>
        <v/>
      </c>
      <c r="BR387" s="76" t="n"/>
      <c r="BS387" s="63" t="inlineStr">
        <is>
          <t>Morgan Stanley Asia Limited; Huatai Financial Holdings (Hong Kong) Limited</t>
        </is>
      </c>
      <c r="BT387" s="63" t="inlineStr">
        <is>
          <t>ABCI Capital Limited; BNP Paribas Securities (Asia) Limited; BOCI Asia Limited; CCB International Capital Limited; China International Capital Corporation Hong Kong Securities Limited; First Shanghai Securities Limited</t>
        </is>
      </c>
      <c r="BU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V387" s="78">
        <f>HYPERLINK("https://www1.hkexnews.hk/listedco/listconews/sehk/2025/1107/2025110700058.htm","prospectus")</f>
        <v/>
      </c>
      <c r="BW387" s="78">
        <f>HYPERLINK("https://www1.hkexnews.hk/listedco/listconews/sehk/2025/1116/2025111600003.pdf","allotment")</f>
        <v/>
      </c>
      <c r="BX387" s="78">
        <f>HYPERLINK("https://www1.hkexnews.hk/listedco/listconews/sehk/2025/1212/2025121200406.pdf","stabilisation")</f>
        <v/>
      </c>
      <c r="BY387" s="76" t="n"/>
      <c r="BZ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72" t="n"/>
      <c r="AC388" s="66" t="n"/>
      <c r="AD388" s="72" t="n"/>
      <c r="AE388" s="63" t="n"/>
      <c r="AF388" s="63" t="n"/>
      <c r="AG388" s="63" t="inlineStr">
        <is>
          <t>2025-12-19</t>
        </is>
      </c>
      <c r="AH388" s="63" t="inlineStr">
        <is>
          <t>China International Capital Corporation Hong Kong Securities Limited</t>
        </is>
      </c>
      <c r="AI388" s="63" t="inlineStr">
        <is>
          <t>China International</t>
        </is>
      </c>
      <c r="AJ388" s="73" t="n">
        <v>32.76</v>
      </c>
      <c r="AK388" s="72" t="n">
        <v>38.31</v>
      </c>
      <c r="AL388" s="72" t="n">
        <v>-4.01</v>
      </c>
      <c r="AM388" s="72" t="n">
        <v>59.42</v>
      </c>
      <c r="AN388" s="72" t="n">
        <v>78.34</v>
      </c>
      <c r="AO388" s="72" t="n">
        <v>115.65</v>
      </c>
      <c r="AP388" s="72" t="n">
        <v>20.08</v>
      </c>
      <c r="AQ388" s="72" t="n">
        <v>34.33</v>
      </c>
      <c r="AR388" s="72" t="n">
        <v>62.44</v>
      </c>
      <c r="AS388" s="72" t="n">
        <v>55.74</v>
      </c>
      <c r="AT388" s="72" t="n">
        <v>77.44</v>
      </c>
      <c r="AU388" s="72" t="n">
        <v>115.98</v>
      </c>
      <c r="AV388" s="72" t="n">
        <v>35.65</v>
      </c>
      <c r="AW388" s="72" t="n">
        <v>0.9</v>
      </c>
      <c r="AX388" s="72" t="n">
        <v>-1.32</v>
      </c>
      <c r="AY388" s="63" t="inlineStr">
        <is>
          <t>Hang Seng Commerce &amp; Industry sub-index</t>
        </is>
      </c>
      <c r="AZ388" s="72" t="n">
        <v>60.05</v>
      </c>
      <c r="BA388" s="64" t="inlineStr">
        <is>
          <t>2026-08-28</t>
        </is>
      </c>
      <c r="BB388" s="65" t="n">
        <v>16679.5</v>
      </c>
      <c r="BC388" s="68" t="n">
        <v>2261.8</v>
      </c>
      <c r="BD388" s="63" t="inlineStr">
        <is>
          <t>Y</t>
        </is>
      </c>
      <c r="BE388" s="74" t="n">
        <v>9.699999999999999</v>
      </c>
      <c r="BF388" s="74" t="n"/>
      <c r="BG388" s="74" t="n"/>
      <c r="BH388" s="74" t="n">
        <v>1.3</v>
      </c>
      <c r="BI388" s="75">
        <f>IF('BBG Verify'!S388="","not filed — run on terminal",'BBG Verify'!S388)</f>
        <v/>
      </c>
      <c r="BJ388" s="76" t="inlineStr">
        <is>
          <t>N</t>
        </is>
      </c>
      <c r="BK388" s="77">
        <f>IF('BBG Verify'!K388="","not filed — run on terminal",'BBG Verify'!K388)</f>
        <v/>
      </c>
      <c r="BL388" s="63" t="inlineStr">
        <is>
          <t>N/A</t>
        </is>
      </c>
      <c r="BM388" s="63" t="inlineStr">
        <is>
          <t>N/A</t>
        </is>
      </c>
      <c r="BN388" s="63" t="inlineStr">
        <is>
          <t>N/A</t>
        </is>
      </c>
      <c r="BO388" s="63" t="inlineStr">
        <is>
          <t>N/A</t>
        </is>
      </c>
      <c r="BP388" s="63" t="inlineStr">
        <is>
          <t>N/A</t>
        </is>
      </c>
      <c r="BQ388" s="63" t="inlineStr">
        <is>
          <t>N/A</t>
        </is>
      </c>
      <c r="BR388" s="76" t="n"/>
      <c r="BS388" s="63" t="inlineStr">
        <is>
          <t>China International Capital Corporation Hong Kong Securities Limited; Huatai Financial Holdings (Hong Kong) Limited</t>
        </is>
      </c>
      <c r="BT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V388" s="63" t="n"/>
      <c r="BW388" s="78">
        <f>HYPERLINK("https://www1.hkexnews.hk/listedco/listconews/sehk/2025/1121/2025112101421.pdf","allotment")</f>
        <v/>
      </c>
      <c r="BX388" s="63" t="n"/>
      <c r="BY388" s="76" t="n"/>
      <c r="BZ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72" t="n"/>
      <c r="AC389" s="66" t="n"/>
      <c r="AD389" s="72" t="n"/>
      <c r="AE389" s="63" t="n"/>
      <c r="AF389" s="63" t="inlineStr">
        <is>
          <t>partial</t>
        </is>
      </c>
      <c r="AG389" s="63" t="inlineStr">
        <is>
          <t>2025-12-24</t>
        </is>
      </c>
      <c r="AH389" s="63" t="inlineStr">
        <is>
          <t>China International Capital Corporation Hong Kong Securities Limited</t>
        </is>
      </c>
      <c r="AI389" s="63" t="inlineStr">
        <is>
          <t>China International</t>
        </is>
      </c>
      <c r="AJ389" s="73" t="n">
        <v>88.78</v>
      </c>
      <c r="AK389" s="72" t="n">
        <v>165.31</v>
      </c>
      <c r="AL389" s="72" t="n">
        <v>-28.85</v>
      </c>
      <c r="AM389" s="72" t="n">
        <v>189.8</v>
      </c>
      <c r="AN389" s="72" t="n">
        <v>177.76</v>
      </c>
      <c r="AO389" s="72" t="n">
        <v>208.98</v>
      </c>
      <c r="AP389" s="72" t="n">
        <v>53.51</v>
      </c>
      <c r="AQ389" s="72" t="n">
        <v>47.13</v>
      </c>
      <c r="AR389" s="72" t="n">
        <v>63.67</v>
      </c>
      <c r="AS389" s="72" t="n">
        <v>189.89</v>
      </c>
      <c r="AT389" s="72" t="n">
        <v>178.58</v>
      </c>
      <c r="AU389" s="72" t="n">
        <v>223.24</v>
      </c>
      <c r="AV389" s="72" t="n">
        <v>47.59</v>
      </c>
      <c r="AW389" s="72" t="n">
        <v>-0.82</v>
      </c>
      <c r="AX389" s="72" t="n">
        <v>-0.46</v>
      </c>
      <c r="AY389" s="63" t="inlineStr">
        <is>
          <t>HSTECH (Hang Seng TECH ETF)</t>
        </is>
      </c>
      <c r="AZ389" s="72" t="n">
        <v>-61.43</v>
      </c>
      <c r="BA389" s="64" t="inlineStr">
        <is>
          <t>2026-08-28</t>
        </is>
      </c>
      <c r="BB389" s="65" t="n">
        <v>1092.3</v>
      </c>
      <c r="BC389" s="68" t="n">
        <v>161.8</v>
      </c>
      <c r="BD389" s="63" t="inlineStr">
        <is>
          <t>Y</t>
        </is>
      </c>
      <c r="BE389" s="74" t="n">
        <v>31.1</v>
      </c>
      <c r="BF389" s="74" t="n"/>
      <c r="BG389" s="74" t="n"/>
      <c r="BH389" s="74" t="n">
        <v>4.6</v>
      </c>
      <c r="BI389" s="75">
        <f>IF('BBG Verify'!S389="","not filed — run on terminal",'BBG Verify'!S389)</f>
        <v/>
      </c>
      <c r="BJ389" s="76" t="inlineStr">
        <is>
          <t>N</t>
        </is>
      </c>
      <c r="BK389" s="77">
        <f>IF('BBG Verify'!K389="","not filed — run on terminal",'BBG Verify'!K389)</f>
        <v/>
      </c>
      <c r="BL389" s="63" t="inlineStr">
        <is>
          <t>N/A</t>
        </is>
      </c>
      <c r="BM389" s="63" t="inlineStr">
        <is>
          <t>N/A</t>
        </is>
      </c>
      <c r="BN389" s="63" t="inlineStr">
        <is>
          <t>N/A</t>
        </is>
      </c>
      <c r="BO389" s="63" t="inlineStr">
        <is>
          <t>N/A</t>
        </is>
      </c>
      <c r="BP389" s="63" t="inlineStr">
        <is>
          <t>N/A</t>
        </is>
      </c>
      <c r="BQ389" s="63" t="inlineStr">
        <is>
          <t>N/A</t>
        </is>
      </c>
      <c r="BR389" s="76" t="inlineStr">
        <is>
          <t>China International Capital Corporation Hong Kong Securities Limited; Hong Kong SAR CITIC Securities (Hong Kong) Limited</t>
        </is>
      </c>
      <c r="BS389" s="63" t="inlineStr">
        <is>
          <t>China International Capital Corporation Hong Kong Securities Limited; CITIC Securities (Hong Kong) Limited</t>
        </is>
      </c>
      <c r="BT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U389" s="63" t="inlineStr">
        <is>
          <t>China International Capital Corporation Hong Kong Securities Limited; CLSA Limited; Fosun International Securities Limited; Futu Securities International (Hong Kong) Limited; Tiger Brokers (HK) Global Limited</t>
        </is>
      </c>
      <c r="BV389" s="78">
        <f>HYPERLINK("https://www1.hkexnews.hk/listedco/listconews/sehk/2025/1119/2025111900009.pdf","prospectus")</f>
        <v/>
      </c>
      <c r="BW389" s="78">
        <f>HYPERLINK("https://www1.hkexnews.hk/listedco/listconews/sehk/2025/1126/2025112601522.pdf","allotment")</f>
        <v/>
      </c>
      <c r="BX389" s="78">
        <f>HYPERLINK("https://www1.hkexnews.hk/listedco/listconews/sehk/2025/1224/2025122401992.pdf","stabilisation")</f>
        <v/>
      </c>
      <c r="BY389" s="76" t="n"/>
      <c r="BZ389" s="63" t="inlineStr">
        <is>
          <t>A/H: no A-share listing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72" t="n">
        <v>0.5</v>
      </c>
      <c r="AC390" s="66" t="n">
        <v>14.35</v>
      </c>
      <c r="AD390" s="72" t="n">
        <v>-23.35</v>
      </c>
      <c r="AE390" s="63" t="inlineStr">
        <is>
          <t>N</t>
        </is>
      </c>
      <c r="AF390" s="63" t="inlineStr">
        <is>
          <t>partial</t>
        </is>
      </c>
      <c r="AG390" s="63" t="inlineStr">
        <is>
          <t>2025-12-25</t>
        </is>
      </c>
      <c r="AH390" s="63" t="inlineStr">
        <is>
          <t>China International Capital Corporation Hong Kong Securities Limited</t>
        </is>
      </c>
      <c r="AI390" s="63" t="inlineStr">
        <is>
          <t>China International</t>
        </is>
      </c>
      <c r="AJ390" s="73" t="n">
        <v>-22.97</v>
      </c>
      <c r="AK390" s="72" t="n">
        <v>-5.46</v>
      </c>
      <c r="AL390" s="72" t="n">
        <v>-18.52</v>
      </c>
      <c r="AM390" s="72" t="n">
        <v>-21.5</v>
      </c>
      <c r="AN390" s="72" t="n">
        <v>-35.43</v>
      </c>
      <c r="AO390" s="72" t="n">
        <v>-36.2</v>
      </c>
      <c r="AP390" s="72" t="n">
        <v>1.91</v>
      </c>
      <c r="AQ390" s="72" t="n">
        <v>-16.18</v>
      </c>
      <c r="AR390" s="72" t="n">
        <v>-17.18</v>
      </c>
      <c r="AS390" s="72" t="n">
        <v>-22.87</v>
      </c>
      <c r="AT390" s="72" t="n">
        <v>-32.73</v>
      </c>
      <c r="AU390" s="72" t="n">
        <v>-27.85</v>
      </c>
      <c r="AV390" s="72" t="n">
        <v>-13.63</v>
      </c>
      <c r="AW390" s="72" t="n">
        <v>-2.7</v>
      </c>
      <c r="AX390" s="72" t="n">
        <v>-2.55</v>
      </c>
      <c r="AY390" s="63" t="inlineStr">
        <is>
          <t>Hang Seng Commerce &amp; Industry sub-index</t>
        </is>
      </c>
      <c r="AZ390" s="72" t="n">
        <v>-44.43</v>
      </c>
      <c r="BA390" s="64" t="inlineStr">
        <is>
          <t>2026-08-28</t>
        </is>
      </c>
      <c r="BB390" s="65" t="n">
        <v>463.9</v>
      </c>
      <c r="BC390" s="68" t="n">
        <v>95.09999999999999</v>
      </c>
      <c r="BD390" s="63" t="inlineStr">
        <is>
          <t>Y</t>
        </is>
      </c>
      <c r="BE390" s="74" t="n">
        <v>183</v>
      </c>
      <c r="BF390" s="74" t="n"/>
      <c r="BG390" s="74" t="n"/>
      <c r="BH390" s="74" t="n">
        <v>37.5</v>
      </c>
      <c r="BI390" s="75">
        <f>IF('BBG Verify'!S390="","not filed — run on terminal",'BBG Verify'!S390)</f>
        <v/>
      </c>
      <c r="BJ390" s="76" t="inlineStr">
        <is>
          <t>N</t>
        </is>
      </c>
      <c r="BK390" s="77">
        <f>IF('BBG Verify'!K390="","not filed — run on terminal",'BBG Verify'!K390)</f>
        <v/>
      </c>
      <c r="BL390" s="63" t="inlineStr">
        <is>
          <t>N/A</t>
        </is>
      </c>
      <c r="BM390" s="63" t="inlineStr">
        <is>
          <t>N/A</t>
        </is>
      </c>
      <c r="BN390" s="63" t="inlineStr">
        <is>
          <t>N/A</t>
        </is>
      </c>
      <c r="BO390" s="63" t="inlineStr">
        <is>
          <t>N/A</t>
        </is>
      </c>
      <c r="BP390" s="63" t="inlineStr">
        <is>
          <t>N/A</t>
        </is>
      </c>
      <c r="BQ390" s="63" t="inlineStr">
        <is>
          <t>N/A</t>
        </is>
      </c>
      <c r="BR390" s="76" t="inlineStr">
        <is>
          <t>China International Capital Corporation Hong Kong Securities Limited</t>
        </is>
      </c>
      <c r="BS390" s="63" t="inlineStr">
        <is>
          <t>China International Capital Corporation Hong Kong Securities Limited</t>
        </is>
      </c>
      <c r="BT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U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V390" s="78">
        <f>HYPERLINK("https://www1.hkexnews.hk/listedco/listconews/sehk/2025/1120/2025112000009.pdf","prospectus")</f>
        <v/>
      </c>
      <c r="BW390" s="78">
        <f>HYPERLINK("https://www1.hkexnews.hk/listedco/listconews/sehk/2025/1127/2025112701630.pdf","allotment")</f>
        <v/>
      </c>
      <c r="BX390" s="78">
        <f>HYPERLINK("https://www1.hkexnews.hk/listedco/listconews/sehk/2025/1228/2025122800169.pdf","stabilisation")</f>
        <v/>
      </c>
      <c r="BY390" s="76" t="n"/>
      <c r="BZ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72" t="n">
        <v>62.5</v>
      </c>
      <c r="AC391" s="66" t="n">
        <v>65</v>
      </c>
      <c r="AD391" s="72" t="n">
        <v>-16.15</v>
      </c>
      <c r="AE391" s="63" t="inlineStr">
        <is>
          <t>Y</t>
        </is>
      </c>
      <c r="AF391" s="63" t="n"/>
      <c r="AG391" s="63" t="n"/>
      <c r="AH391" s="63" t="n"/>
      <c r="AI391" s="63" t="n"/>
      <c r="AJ391" s="73" t="n">
        <v>36.25</v>
      </c>
      <c r="AK391" s="72" t="n">
        <v>62</v>
      </c>
      <c r="AL391" s="72" t="n">
        <v>-15.9</v>
      </c>
      <c r="AM391" s="72" t="n">
        <v>66.75</v>
      </c>
      <c r="AN391" s="72" t="n">
        <v>-16.05</v>
      </c>
      <c r="AO391" s="72" t="n">
        <v>-55.7</v>
      </c>
      <c r="AP391" s="72" t="n">
        <v>22.39</v>
      </c>
      <c r="AQ391" s="72" t="n">
        <v>-38.39</v>
      </c>
      <c r="AR391" s="72" t="n">
        <v>-67.48999999999999</v>
      </c>
      <c r="AS391" s="72" t="n">
        <v>71.5</v>
      </c>
      <c r="AT391" s="72" t="n">
        <v>-14.01</v>
      </c>
      <c r="AU391" s="72" t="n">
        <v>-68.91</v>
      </c>
      <c r="AV391" s="72" t="n">
        <v>-37.95</v>
      </c>
      <c r="AW391" s="72" t="n">
        <v>-2.04</v>
      </c>
      <c r="AX391" s="72" t="n">
        <v>-0.44</v>
      </c>
      <c r="AY391" s="63" t="inlineStr">
        <is>
          <t>Hang Seng Properties sub-index</t>
        </is>
      </c>
      <c r="AZ391" s="72" t="n">
        <v>-76.59999999999999</v>
      </c>
      <c r="BA391" s="64" t="inlineStr">
        <is>
          <t>2026-08-28</t>
        </is>
      </c>
      <c r="BB391" s="65" t="n">
        <v>877.8</v>
      </c>
      <c r="BC391" s="68" t="n">
        <v>94.40000000000001</v>
      </c>
      <c r="BD391" s="63" t="inlineStr">
        <is>
          <t>Y</t>
        </is>
      </c>
      <c r="BE391" s="74" t="n">
        <v>23.5</v>
      </c>
      <c r="BF391" s="74" t="n"/>
      <c r="BG391" s="74" t="n"/>
      <c r="BH391" s="74" t="n">
        <v>2.5</v>
      </c>
      <c r="BI391" s="75">
        <f>IF('BBG Verify'!S391="","not filed — run on terminal",'BBG Verify'!S391)</f>
        <v/>
      </c>
      <c r="BJ391" s="76" t="inlineStr">
        <is>
          <t>N</t>
        </is>
      </c>
      <c r="BK391" s="77">
        <f>IF('BBG Verify'!K391="","not filed — run on terminal",'BBG Verify'!K391)</f>
        <v/>
      </c>
      <c r="BL391" s="63" t="inlineStr">
        <is>
          <t>N/A</t>
        </is>
      </c>
      <c r="BM391" s="63" t="inlineStr">
        <is>
          <t>N/A</t>
        </is>
      </c>
      <c r="BN391" s="63" t="inlineStr">
        <is>
          <t>N/A</t>
        </is>
      </c>
      <c r="BO391" s="63" t="inlineStr">
        <is>
          <t>N/A</t>
        </is>
      </c>
      <c r="BP391" s="63" t="inlineStr">
        <is>
          <t>N/A</t>
        </is>
      </c>
      <c r="BQ391" s="63" t="inlineStr">
        <is>
          <t>N/A</t>
        </is>
      </c>
      <c r="BR391" s="76" t="inlineStr">
        <is>
          <t>China Securities (International) Corporate Finance Company Limited; Shenwan Hongyuan Capital (H.K.) Limited</t>
        </is>
      </c>
      <c r="BS391" s="63" t="inlineStr">
        <is>
          <t>China Securities (International) Corporate Finance Company Limited; Shenwan Hongyuan Capital (H.K.) Limited</t>
        </is>
      </c>
      <c r="BT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U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V391" s="78">
        <f>HYPERLINK("https://www1.hkexnews.hk/listedco/listconews/sehk/2025/1125/2025112500051.pdf","prospectus")</f>
        <v/>
      </c>
      <c r="BW391" s="78">
        <f>HYPERLINK("https://www1.hkexnews.hk/listedco/listconews/sehk/2025/1202/2025120202454.pdf","allotment")</f>
        <v/>
      </c>
      <c r="BX391" s="63" t="n"/>
      <c r="BY391" s="76" t="n"/>
      <c r="BZ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72" t="n">
        <v>35.8</v>
      </c>
      <c r="AC392" s="66" t="n">
        <v>9.91</v>
      </c>
      <c r="AD392" s="72" t="n">
        <v>-24.75</v>
      </c>
      <c r="AE392" s="63" t="inlineStr">
        <is>
          <t>Y</t>
        </is>
      </c>
      <c r="AF392" s="63" t="inlineStr">
        <is>
          <t>lapsed</t>
        </is>
      </c>
      <c r="AG392" s="63" t="n"/>
      <c r="AH392" s="63" t="inlineStr">
        <is>
          <t>Guoyuan Securities Brokerage</t>
        </is>
      </c>
      <c r="AI392" s="63" t="inlineStr">
        <is>
          <t>Guoyuan</t>
        </is>
      </c>
      <c r="AJ392" s="73" t="n">
        <v>2.19</v>
      </c>
      <c r="AK392" s="72" t="n">
        <v>27.4</v>
      </c>
      <c r="AL392" s="72" t="n">
        <v>-19.79</v>
      </c>
      <c r="AM392" s="72" t="n">
        <v>-11.51</v>
      </c>
      <c r="AN392" s="72" t="n">
        <v>-41.1</v>
      </c>
      <c r="AO392" s="72" t="n">
        <v>-39.04</v>
      </c>
      <c r="AP392" s="72" t="n">
        <v>-13.41</v>
      </c>
      <c r="AQ392" s="72" t="n">
        <v>-42.36</v>
      </c>
      <c r="AR392" s="72" t="n">
        <v>-40.35</v>
      </c>
      <c r="AS392" s="72" t="n">
        <v>-9.6</v>
      </c>
      <c r="AT392" s="72" t="n">
        <v>-41.44</v>
      </c>
      <c r="AU392" s="72" t="n">
        <v>-33.29</v>
      </c>
      <c r="AV392" s="72" t="n">
        <v>-43.88</v>
      </c>
      <c r="AW392" s="72" t="n">
        <v>0.34</v>
      </c>
      <c r="AX392" s="72" t="n">
        <v>1.52</v>
      </c>
      <c r="AY392" s="63" t="inlineStr">
        <is>
          <t>Hang Seng Commerce &amp; Industry sub-index</t>
        </is>
      </c>
      <c r="AZ392" s="72" t="n">
        <v>-58.42</v>
      </c>
      <c r="BA392" s="64" t="inlineStr">
        <is>
          <t>2026-08-28</t>
        </is>
      </c>
      <c r="BB392" s="65" t="n">
        <v>293.9</v>
      </c>
      <c r="BC392" s="68" t="n">
        <v>57.9</v>
      </c>
      <c r="BD392" s="63" t="inlineStr">
        <is>
          <t>Y</t>
        </is>
      </c>
      <c r="BE392" s="74" t="n">
        <v>12.3</v>
      </c>
      <c r="BF392" s="74" t="n"/>
      <c r="BG392" s="74" t="n"/>
      <c r="BH392" s="74" t="n">
        <v>2.4</v>
      </c>
      <c r="BI392" s="75">
        <f>IF('BBG Verify'!S392="","not filed — run on terminal",'BBG Verify'!S392)</f>
        <v/>
      </c>
      <c r="BJ392" s="76" t="inlineStr">
        <is>
          <t>N</t>
        </is>
      </c>
      <c r="BK392" s="77">
        <f>IF('BBG Verify'!K392="","not filed — run on terminal",'BBG Verify'!K392)</f>
        <v/>
      </c>
      <c r="BL392" s="63" t="inlineStr">
        <is>
          <t>N/A</t>
        </is>
      </c>
      <c r="BM392" s="63" t="inlineStr">
        <is>
          <t>N/A</t>
        </is>
      </c>
      <c r="BN392" s="63" t="inlineStr">
        <is>
          <t>N/A</t>
        </is>
      </c>
      <c r="BO392" s="63" t="inlineStr">
        <is>
          <t>N/A</t>
        </is>
      </c>
      <c r="BP392" s="63" t="inlineStr">
        <is>
          <t>N/A</t>
        </is>
      </c>
      <c r="BQ392" s="63" t="inlineStr">
        <is>
          <t>N/A</t>
        </is>
      </c>
      <c r="BR392" s="76" t="inlineStr">
        <is>
          <t>Guoyuan Capital (Hong Kong) Limited; CMBC International Capital Limited</t>
        </is>
      </c>
      <c r="BS392" s="63" t="inlineStr">
        <is>
          <t>Guoyuan Capital (Hong Kong) Limited; CMBC International Capital Limited</t>
        </is>
      </c>
      <c r="BT392" s="63" t="inlineStr">
        <is>
          <t>China Sunrise Securities (International) Limited; First Shanghai Securities Limited; Futu Securities International (Hong Kong) Limited; ICBC International Securities Limited; Shenwan Hongyuan Securities (H.K.) Limited; uSmart Securities Limited</t>
        </is>
      </c>
      <c r="BU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V392" s="78">
        <f>HYPERLINK("https://www1.hkexnews.hk/listedco/listconews/sehk/2025/1125/2025112500049.pdf","prospectus")</f>
        <v/>
      </c>
      <c r="BW392" s="78">
        <f>HYPERLINK("https://www1.hkexnews.hk/listedco/listconews/sehk/2025/1202/2025120202632.pdf","allotment")</f>
        <v/>
      </c>
      <c r="BX392" s="78">
        <f>HYPERLINK("https://www1.hkexnews.hk/listedco/listconews/sehk/2025/1228/2025122800123.pdf","stabilisation")</f>
        <v/>
      </c>
      <c r="BY392" s="76" t="n"/>
      <c r="BZ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72" t="n">
        <v>-14.2</v>
      </c>
      <c r="AC393" s="66" t="n">
        <v>6.04</v>
      </c>
      <c r="AD393" s="72" t="n">
        <v>-15.9</v>
      </c>
      <c r="AE393" s="63" t="inlineStr">
        <is>
          <t>Y</t>
        </is>
      </c>
      <c r="AF393" s="63" t="inlineStr">
        <is>
          <t>lapsed</t>
        </is>
      </c>
      <c r="AG393" s="63" t="inlineStr">
        <is>
          <t>2026-01-01</t>
        </is>
      </c>
      <c r="AH393" s="63" t="inlineStr">
        <is>
          <t>CMB International Global Markets Limited</t>
        </is>
      </c>
      <c r="AI393" s="63" t="inlineStr">
        <is>
          <t>CMB</t>
        </is>
      </c>
      <c r="AJ393" s="73" t="n">
        <v>-27.84</v>
      </c>
      <c r="AK393" s="72" t="n">
        <v>-28.98</v>
      </c>
      <c r="AL393" s="72" t="n">
        <v>1.61</v>
      </c>
      <c r="AM393" s="72" t="n">
        <v>-28.69</v>
      </c>
      <c r="AN393" s="72" t="n">
        <v>-37.22</v>
      </c>
      <c r="AO393" s="72" t="n">
        <v>-33.66</v>
      </c>
      <c r="AP393" s="72" t="n">
        <v>-1.18</v>
      </c>
      <c r="AQ393" s="72" t="n">
        <v>-13</v>
      </c>
      <c r="AR393" s="72" t="n">
        <v>-8.07</v>
      </c>
      <c r="AS393" s="72" t="n">
        <v>-28.28</v>
      </c>
      <c r="AT393" s="72" t="n">
        <v>-35.45</v>
      </c>
      <c r="AU393" s="72" t="n">
        <v>-27.83</v>
      </c>
      <c r="AV393" s="72" t="n">
        <v>-10.73</v>
      </c>
      <c r="AW393" s="72" t="n">
        <v>-1.77</v>
      </c>
      <c r="AX393" s="72" t="n">
        <v>-2.27</v>
      </c>
      <c r="AY393" s="63" t="inlineStr">
        <is>
          <t>Hang Seng Commerce &amp; Industry sub-index</t>
        </is>
      </c>
      <c r="AZ393" s="72" t="n">
        <v>-44.46</v>
      </c>
      <c r="BA393" s="64" t="inlineStr">
        <is>
          <t>2026-08-28</t>
        </is>
      </c>
      <c r="BB393" s="65" t="n">
        <v>1269.9</v>
      </c>
      <c r="BC393" s="68" t="n">
        <v>82.40000000000001</v>
      </c>
      <c r="BD393" s="63" t="inlineStr">
        <is>
          <t>Y</t>
        </is>
      </c>
      <c r="BE393" s="74" t="n">
        <v>58.2</v>
      </c>
      <c r="BF393" s="74" t="n">
        <v>32.8</v>
      </c>
      <c r="BG393" s="74" t="n">
        <v>14.1</v>
      </c>
      <c r="BH393" s="74" t="n">
        <v>3.8</v>
      </c>
      <c r="BI393" s="75">
        <f>IF('BBG Verify'!S393="","not filed — run on terminal",'BBG Verify'!S393)</f>
        <v/>
      </c>
      <c r="BJ393" s="76" t="inlineStr">
        <is>
          <t>N</t>
        </is>
      </c>
      <c r="BK393" s="77">
        <f>IF('BBG Verify'!K393="","not filed — run on terminal",'BBG Verify'!K393)</f>
        <v/>
      </c>
      <c r="BL393" s="63" t="inlineStr">
        <is>
          <t>N/A</t>
        </is>
      </c>
      <c r="BM393" s="63" t="inlineStr">
        <is>
          <t>N/A</t>
        </is>
      </c>
      <c r="BN393" s="63" t="inlineStr">
        <is>
          <t>N/A</t>
        </is>
      </c>
      <c r="BO393" s="63" t="inlineStr">
        <is>
          <t>N/A</t>
        </is>
      </c>
      <c r="BP393" s="63" t="inlineStr">
        <is>
          <t>N/A</t>
        </is>
      </c>
      <c r="BQ393" s="63" t="inlineStr">
        <is>
          <t>N/A</t>
        </is>
      </c>
      <c r="BR393" s="76" t="inlineStr">
        <is>
          <t>CMB International Capital Limited</t>
        </is>
      </c>
      <c r="BS393" s="63" t="inlineStr">
        <is>
          <t>CMB International Capital Limited</t>
        </is>
      </c>
      <c r="BT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U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V393" s="78">
        <f>HYPERLINK("https://www1.hkexnews.hk/listedco/listconews/sehk/2025/1127/2025112700009.pdf","prospectus")</f>
        <v/>
      </c>
      <c r="BW393" s="78">
        <f>HYPERLINK("https://www1.hkexnews.hk/listedco/listconews/sehk/2025/1204/2025120402156.pdf","allotment")</f>
        <v/>
      </c>
      <c r="BX393" s="78">
        <f>HYPERLINK("https://www1.hkexnews.hk/listedco/listconews/sehk/2026/0101/2026010100007.pdf","stabilisation")</f>
        <v/>
      </c>
      <c r="BY393" s="76" t="n"/>
      <c r="BZ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72" t="n">
        <v>-14.6</v>
      </c>
      <c r="AC394" s="66" t="n">
        <v>49.54</v>
      </c>
      <c r="AD394" s="72" t="n">
        <v>-18.23</v>
      </c>
      <c r="AE394" s="63" t="inlineStr">
        <is>
          <t>Y</t>
        </is>
      </c>
      <c r="AF394" s="63" t="inlineStr">
        <is>
          <t>lapsed (no over-allocation)</t>
        </is>
      </c>
      <c r="AG394" s="63" t="n"/>
      <c r="AH394" s="63" t="inlineStr">
        <is>
          <t>CLSA Limited</t>
        </is>
      </c>
      <c r="AI394" s="63" t="inlineStr">
        <is>
          <t>CLSA</t>
        </is>
      </c>
      <c r="AJ394" s="73" t="n">
        <v>-30.17</v>
      </c>
      <c r="AK394" s="72" t="n">
        <v>-34.48</v>
      </c>
      <c r="AL394" s="72" t="n">
        <v>6.58</v>
      </c>
      <c r="AM394" s="72" t="n">
        <v>-21.69</v>
      </c>
      <c r="AN394" s="72" t="n">
        <v>-17.79</v>
      </c>
      <c r="AO394" s="72" t="n">
        <v>-17.93</v>
      </c>
      <c r="AP394" s="72" t="n">
        <v>12.14</v>
      </c>
      <c r="AQ394" s="72" t="n">
        <v>17.73</v>
      </c>
      <c r="AR394" s="72" t="n">
        <v>17.53</v>
      </c>
      <c r="AS394" s="72" t="n">
        <v>-21.96</v>
      </c>
      <c r="AT394" s="72" t="n">
        <v>-18.79</v>
      </c>
      <c r="AU394" s="72" t="n">
        <v>-7.46</v>
      </c>
      <c r="AV394" s="72" t="n">
        <v>17.46</v>
      </c>
      <c r="AW394" s="72" t="n">
        <v>1</v>
      </c>
      <c r="AX394" s="72" t="n">
        <v>0.27</v>
      </c>
      <c r="AY394" s="63" t="inlineStr">
        <is>
          <t>HSTECH (Hang Seng TECH ETF)</t>
        </is>
      </c>
      <c r="AZ394" s="72" t="n">
        <v>-33.97</v>
      </c>
      <c r="BA394" s="64" t="inlineStr">
        <is>
          <t>2026-08-28</t>
        </is>
      </c>
      <c r="BB394" s="65" t="n">
        <v>571.6</v>
      </c>
      <c r="BC394" s="68" t="n">
        <v>-610.1</v>
      </c>
      <c r="BD394" s="63" t="inlineStr">
        <is>
          <t>N</t>
        </is>
      </c>
      <c r="BE394" s="63" t="inlineStr">
        <is>
          <t>n/m</t>
        </is>
      </c>
      <c r="BF394" s="74" t="n"/>
      <c r="BG394" s="74" t="n"/>
      <c r="BH394" s="74" t="n">
        <v>39.9</v>
      </c>
      <c r="BI394" s="75">
        <f>IF('BBG Verify'!S394="","not filed — run on terminal",'BBG Verify'!S394)</f>
        <v/>
      </c>
      <c r="BJ394" s="76" t="inlineStr">
        <is>
          <t>N</t>
        </is>
      </c>
      <c r="BK394" s="77">
        <f>IF('BBG Verify'!K394="","not filed — run on terminal",'BBG Verify'!K394)</f>
        <v/>
      </c>
      <c r="BL394" s="63" t="inlineStr">
        <is>
          <t>N/A</t>
        </is>
      </c>
      <c r="BM394" s="63" t="inlineStr">
        <is>
          <t>N/A</t>
        </is>
      </c>
      <c r="BN394" s="63" t="inlineStr">
        <is>
          <t>N/A</t>
        </is>
      </c>
      <c r="BO394" s="63" t="inlineStr">
        <is>
          <t>N/A</t>
        </is>
      </c>
      <c r="BP394" s="63" t="inlineStr">
        <is>
          <t>N/A</t>
        </is>
      </c>
      <c r="BQ394" s="63" t="inlineStr">
        <is>
          <t>N/A</t>
        </is>
      </c>
      <c r="BR394" s="76" t="inlineStr">
        <is>
          <t>CITIC Securities (Hong Kong) Limited</t>
        </is>
      </c>
      <c r="BS394" s="63" t="inlineStr">
        <is>
          <t>CITIC Securities (Hong Kong) Limited</t>
        </is>
      </c>
      <c r="BT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U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V394" s="78">
        <f>HYPERLINK("https://www1.hkexnews.hk/listedco/listconews/sehk/2025/1127/2025112700013.pdf","prospectus")</f>
        <v/>
      </c>
      <c r="BW394" s="78">
        <f>HYPERLINK("https://www1.hkexnews.hk/listedco/listconews/sehk/2025/1204/2025120402598.pdf","allotment")</f>
        <v/>
      </c>
      <c r="BX394" s="78">
        <f>HYPERLINK("https://www1.hkexnews.hk/listedco/listconews/sehk/2026/0101/2026010100003.pdf","stabilisation")</f>
        <v/>
      </c>
      <c r="BY394" s="76" t="n"/>
      <c r="BZ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72" t="n"/>
      <c r="AC395" s="66" t="n"/>
      <c r="AD395" s="72" t="n"/>
      <c r="AE395" s="63" t="n"/>
      <c r="AF395" s="63" t="inlineStr">
        <is>
          <t>partial</t>
        </is>
      </c>
      <c r="AG395" s="63" t="inlineStr">
        <is>
          <t>2026-01-02</t>
        </is>
      </c>
      <c r="AH395" s="63" t="inlineStr">
        <is>
          <t>China International Capital Corporation Hong Kong Securities Limited</t>
        </is>
      </c>
      <c r="AI395" s="63" t="inlineStr">
        <is>
          <t>China International</t>
        </is>
      </c>
      <c r="AJ395" s="73" t="n">
        <v>-4.31</v>
      </c>
      <c r="AK395" s="72" t="n">
        <v>0</v>
      </c>
      <c r="AL395" s="72" t="n">
        <v>-4.31</v>
      </c>
      <c r="AM395" s="72" t="n">
        <v>-2.5</v>
      </c>
      <c r="AN395" s="72" t="n">
        <v>20.78</v>
      </c>
      <c r="AO395" s="72" t="n">
        <v>8.619999999999999</v>
      </c>
      <c r="AP395" s="72" t="n">
        <v>1.89</v>
      </c>
      <c r="AQ395" s="72" t="n">
        <v>26.22</v>
      </c>
      <c r="AR395" s="72" t="n">
        <v>13.51</v>
      </c>
      <c r="AS395" s="72" t="n">
        <v>0.3</v>
      </c>
      <c r="AT395" s="72" t="n">
        <v>20.33</v>
      </c>
      <c r="AU395" s="72" t="n">
        <v>20.71</v>
      </c>
      <c r="AV395" s="72" t="n">
        <v>25.86</v>
      </c>
      <c r="AW395" s="72" t="n">
        <v>0.45</v>
      </c>
      <c r="AX395" s="72" t="n">
        <v>0.36</v>
      </c>
      <c r="AY395" s="63" t="inlineStr">
        <is>
          <t>HSTECH (Hang Seng TECH ETF)</t>
        </is>
      </c>
      <c r="AZ395" s="72" t="n">
        <v>40</v>
      </c>
      <c r="BA395" s="64" t="inlineStr">
        <is>
          <t>2026-08-28</t>
        </is>
      </c>
      <c r="BB395" s="65" t="n">
        <v>2156.3</v>
      </c>
      <c r="BC395" s="68" t="n">
        <v>-419.5</v>
      </c>
      <c r="BD395" s="63" t="inlineStr">
        <is>
          <t>N</t>
        </is>
      </c>
      <c r="BE395" s="63" t="inlineStr">
        <is>
          <t>n/m</t>
        </is>
      </c>
      <c r="BF395" s="74" t="n"/>
      <c r="BG395" s="74" t="n"/>
      <c r="BH395" s="74" t="n">
        <v>8.699999999999999</v>
      </c>
      <c r="BI395" s="75">
        <f>IF('BBG Verify'!S395="","not filed — run on terminal",'BBG Verify'!S395)</f>
        <v/>
      </c>
      <c r="BJ395" s="76" t="inlineStr">
        <is>
          <t>Y</t>
        </is>
      </c>
      <c r="BK395" s="63" t="inlineStr">
        <is>
          <t>688052.SS</t>
        </is>
      </c>
      <c r="BL395" s="72" t="n">
        <v>50.14</v>
      </c>
      <c r="BM395" s="66" t="n">
        <v>174.1672</v>
      </c>
      <c r="BN395" s="80" t="n">
        <v>0.8355</v>
      </c>
      <c r="BO395" s="68" t="n">
        <v>48379.7</v>
      </c>
      <c r="BP395" s="75">
        <f>IF('BBG Verify'!Q395="","run on terminal",'BBG Verify'!Q395)</f>
        <v/>
      </c>
      <c r="BQ395" s="75">
        <f>IF('BBG Verify'!R395="","run on terminal",'BBG Verify'!R395)</f>
        <v/>
      </c>
      <c r="BR395" s="76" t="inlineStr">
        <is>
          <t>China International Capital Corporation Hong Kong Securities Limited; CITIC Securities (Hong Kong) Limited; CCB International Capital Limited</t>
        </is>
      </c>
      <c r="BS395" s="63" t="inlineStr">
        <is>
          <t>China International Capital Corporation Hong Kong Securities Limited; CCB International Capital Limited; CITIC Securities (Hong Kong) Limited</t>
        </is>
      </c>
      <c r="BT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U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V395" s="78">
        <f>HYPERLINK("https://www1.hkexnews.hk/listedco/listconews/sehk/2025/1128/2025112800015.pdf","prospectus")</f>
        <v/>
      </c>
      <c r="BW395" s="78">
        <f>HYPERLINK("https://www1.hkexnews.hk/listedco/listconews/sehk/2025/1205/2025120501747.pdf","allotment")</f>
        <v/>
      </c>
      <c r="BX395" s="78">
        <f>HYPERLINK("https://www1.hkexnews.hk/listedco/listconews/sehk/2026/0102/2026010203002.pdf","stabilisation")</f>
        <v/>
      </c>
      <c r="BY395" s="76" t="n"/>
      <c r="BZ395" s="63" t="inlineStr">
        <is>
          <t>P/E: n/m — loss-making at IPO (use P/S) · range low: cap-only pricing — the filing publishes a Maximum Offer Price and no indicative floor · A/H: Dec 2025 H listing (analog/mixed-signal chips) · grey market: no grey-market headline on file for this deal — AAStocks publishes one per listing but keeps only recent items on the stock's news page, and no public archive of past evening sessions exists; captured from this run onward</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72" t="n">
        <v>29.7</v>
      </c>
      <c r="AC396" s="66" t="n">
        <v>87.55</v>
      </c>
      <c r="AD396" s="72" t="n">
        <v>44.38</v>
      </c>
      <c r="AE396" s="63" t="inlineStr">
        <is>
          <t>Y</t>
        </is>
      </c>
      <c r="AF396" s="63" t="n"/>
      <c r="AG396" s="63" t="n"/>
      <c r="AH396" s="63" t="n"/>
      <c r="AI396" s="63" t="n"/>
      <c r="AJ396" s="73" t="n">
        <v>87.26000000000001</v>
      </c>
      <c r="AK396" s="72" t="n">
        <v>23.85</v>
      </c>
      <c r="AL396" s="72" t="n">
        <v>51.2</v>
      </c>
      <c r="AM396" s="72" t="n">
        <v>140</v>
      </c>
      <c r="AN396" s="72" t="n">
        <v>138.52</v>
      </c>
      <c r="AO396" s="72" t="n">
        <v>107.7</v>
      </c>
      <c r="AP396" s="72" t="n">
        <v>28.16</v>
      </c>
      <c r="AQ396" s="72" t="n">
        <v>27.37</v>
      </c>
      <c r="AR396" s="72" t="n">
        <v>10.92</v>
      </c>
      <c r="AS396" s="72" t="n">
        <v>142.8</v>
      </c>
      <c r="AT396" s="72" t="n">
        <v>138.07</v>
      </c>
      <c r="AU396" s="72" t="n">
        <v>119.79</v>
      </c>
      <c r="AV396" s="72" t="n">
        <v>27.01</v>
      </c>
      <c r="AW396" s="72" t="n">
        <v>0.45</v>
      </c>
      <c r="AX396" s="72" t="n">
        <v>0.36</v>
      </c>
      <c r="AY396" s="63" t="inlineStr">
        <is>
          <t>HSTECH (Hang Seng TECH ETF)</t>
        </is>
      </c>
      <c r="AZ396" s="72" t="n">
        <v>360.74</v>
      </c>
      <c r="BA396" s="64" t="inlineStr">
        <is>
          <t>2026-08-28</t>
        </is>
      </c>
      <c r="BB396" s="65" t="n">
        <v>933</v>
      </c>
      <c r="BC396" s="68" t="n">
        <v>117.3</v>
      </c>
      <c r="BD396" s="63" t="inlineStr">
        <is>
          <t>Y</t>
        </is>
      </c>
      <c r="BE396" s="74" t="n">
        <v>38.4</v>
      </c>
      <c r="BF396" s="74" t="n">
        <v>72.59999999999999</v>
      </c>
      <c r="BG396" s="74" t="n">
        <v>113.4</v>
      </c>
      <c r="BH396" s="74" t="n">
        <v>4.8</v>
      </c>
      <c r="BI396" s="75">
        <f>IF('BBG Verify'!S396="","not filed — run on terminal",'BBG Verify'!S396)</f>
        <v/>
      </c>
      <c r="BJ396" s="76" t="inlineStr">
        <is>
          <t>N</t>
        </is>
      </c>
      <c r="BK396" s="77">
        <f>IF('BBG Verify'!K396="","not filed — run on terminal",'BBG Verify'!K396)</f>
        <v/>
      </c>
      <c r="BL396" s="63" t="inlineStr">
        <is>
          <t>N/A</t>
        </is>
      </c>
      <c r="BM396" s="63" t="inlineStr">
        <is>
          <t>N/A</t>
        </is>
      </c>
      <c r="BN396" s="63" t="inlineStr">
        <is>
          <t>N/A</t>
        </is>
      </c>
      <c r="BO396" s="63" t="inlineStr">
        <is>
          <t>N/A</t>
        </is>
      </c>
      <c r="BP396" s="63" t="inlineStr">
        <is>
          <t>N/A</t>
        </is>
      </c>
      <c r="BQ396" s="63" t="inlineStr">
        <is>
          <t>N/A</t>
        </is>
      </c>
      <c r="BR396" s="76" t="inlineStr">
        <is>
          <t>ABCI Capital Limited</t>
        </is>
      </c>
      <c r="BS396" s="63" t="inlineStr">
        <is>
          <t>ABCI Capital Limited</t>
        </is>
      </c>
      <c r="BT396" s="63" t="inlineStr">
        <is>
          <t>ABCI Capital Limited</t>
        </is>
      </c>
      <c r="BU396" s="63" t="inlineStr">
        <is>
          <t>ABCI Securities Company Limited; Livermore Holdings Limited; Tiger Brokers (HK) Global Limited</t>
        </is>
      </c>
      <c r="BV396" s="78">
        <f>HYPERLINK("https://www1.hkexnews.hk/listedco/listconews/sehk/2025/1128/2025112800005.pdf","prospectus")</f>
        <v/>
      </c>
      <c r="BW396" s="78">
        <f>HYPERLINK("https://www1.hkexnews.hk/listedco/listconews/sehk/2025/1205/2025120501787.pdf","allotment")</f>
        <v/>
      </c>
      <c r="BX396" s="63" t="n"/>
      <c r="BY396" s="76" t="n"/>
      <c r="BZ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72" t="n"/>
      <c r="AC397" s="66" t="n"/>
      <c r="AD397" s="72" t="n"/>
      <c r="AE397" s="63" t="n"/>
      <c r="AF397" s="63" t="n"/>
      <c r="AG397" s="63" t="n"/>
      <c r="AH397" s="63" t="n"/>
      <c r="AI397" s="63" t="n"/>
      <c r="AJ397" s="73" t="n">
        <v>138.82</v>
      </c>
      <c r="AK397" s="72" t="n">
        <v>129.34</v>
      </c>
      <c r="AL397" s="72" t="n">
        <v>4.13</v>
      </c>
      <c r="AM397" s="72" t="n">
        <v>173.69</v>
      </c>
      <c r="AN397" s="72" t="n">
        <v>226.76</v>
      </c>
      <c r="AO397" s="72" t="n">
        <v>249.32</v>
      </c>
      <c r="AP397" s="72" t="n">
        <v>14.6</v>
      </c>
      <c r="AQ397" s="72" t="n">
        <v>36.82</v>
      </c>
      <c r="AR397" s="72" t="n">
        <v>46.27</v>
      </c>
      <c r="AS397" s="72" t="n">
        <v>177.04</v>
      </c>
      <c r="AT397" s="72" t="n">
        <v>221.06</v>
      </c>
      <c r="AU397" s="72" t="n">
        <v>245.4</v>
      </c>
      <c r="AV397" s="72" t="n">
        <v>31.2</v>
      </c>
      <c r="AW397" s="72" t="n">
        <v>5.7</v>
      </c>
      <c r="AX397" s="72" t="n">
        <v>5.62</v>
      </c>
      <c r="AY397" s="63" t="inlineStr">
        <is>
          <t>China Biotech ETF (HS biotech proxy)</t>
        </is>
      </c>
      <c r="AZ397" s="72" t="n">
        <v>-40.03</v>
      </c>
      <c r="BA397" s="64" t="inlineStr">
        <is>
          <t>2026-08-28</t>
        </is>
      </c>
      <c r="BB397" s="65" t="n">
        <v>1.6</v>
      </c>
      <c r="BC397" s="68" t="n">
        <v>-184</v>
      </c>
      <c r="BD397" s="63" t="inlineStr">
        <is>
          <t>N</t>
        </is>
      </c>
      <c r="BE397" s="63" t="inlineStr">
        <is>
          <t>n/m</t>
        </is>
      </c>
      <c r="BF397" s="74" t="n"/>
      <c r="BG397" s="74" t="n"/>
      <c r="BH397" s="74" t="n">
        <v>5374.6</v>
      </c>
      <c r="BI397" s="75">
        <f>IF('BBG Verify'!S397="","not filed — run on terminal",'BBG Verify'!S397)</f>
        <v/>
      </c>
      <c r="BJ397" s="76" t="inlineStr">
        <is>
          <t>N</t>
        </is>
      </c>
      <c r="BK397" s="77">
        <f>IF('BBG Verify'!K397="","not filed — run on terminal",'BBG Verify'!K397)</f>
        <v/>
      </c>
      <c r="BL397" s="63" t="inlineStr">
        <is>
          <t>N/A</t>
        </is>
      </c>
      <c r="BM397" s="63" t="inlineStr">
        <is>
          <t>N/A</t>
        </is>
      </c>
      <c r="BN397" s="63" t="inlineStr">
        <is>
          <t>N/A</t>
        </is>
      </c>
      <c r="BO397" s="63" t="inlineStr">
        <is>
          <t>N/A</t>
        </is>
      </c>
      <c r="BP397" s="63" t="inlineStr">
        <is>
          <t>N/A</t>
        </is>
      </c>
      <c r="BQ397" s="63" t="inlineStr">
        <is>
          <t>N/A</t>
        </is>
      </c>
      <c r="BR397" s="76" t="inlineStr">
        <is>
          <t>CITIC Securities (Hong Kong) Limited; Haitong International Capital Limited</t>
        </is>
      </c>
      <c r="BS397" s="63" t="inlineStr">
        <is>
          <t>Haitong International Capital Limited; CITIC Securities (Hong Kong) Limited</t>
        </is>
      </c>
      <c r="BT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U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V397" s="78">
        <f>HYPERLINK("https://www1.hkexnews.hk/listedco/listconews/sehk/2025/1202/2025120200034.pdf","prospectus")</f>
        <v/>
      </c>
      <c r="BW397" s="78">
        <f>HYPERLINK("https://www1.hkexnews.hk/listedco/listconews/sehk/2025/1209/2025120901444.pdf","allotment")</f>
        <v/>
      </c>
      <c r="BX397" s="63" t="n"/>
      <c r="BY397" s="76" t="n"/>
      <c r="BZ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no grey-market headline on file for this deal — AAStocks publishes one per listing but keeps only recent items on the stock's news page, and no public archive of past evening sessions exists; captured from this run onward</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72" t="n"/>
      <c r="AC398" s="66" t="n"/>
      <c r="AD398" s="72" t="n"/>
      <c r="AE398" s="63" t="n"/>
      <c r="AF398" s="63" t="inlineStr">
        <is>
          <t>partial</t>
        </is>
      </c>
      <c r="AG398" s="63" t="inlineStr">
        <is>
          <t>2026-01-07</t>
        </is>
      </c>
      <c r="AH398" s="63" t="inlineStr">
        <is>
          <t>Merrill Lynch</t>
        </is>
      </c>
      <c r="AI398" s="63" t="inlineStr">
        <is>
          <t>Merrill Lynch</t>
        </is>
      </c>
      <c r="AJ398" s="73" t="n">
        <v>0</v>
      </c>
      <c r="AK398" s="72" t="n">
        <v>-7.8</v>
      </c>
      <c r="AL398" s="72" t="n">
        <v>8.460000000000001</v>
      </c>
      <c r="AM398" s="72" t="n">
        <v>-1.28</v>
      </c>
      <c r="AN398" s="72" t="n">
        <v>-3.4</v>
      </c>
      <c r="AO398" s="72" t="n">
        <v>-8.44</v>
      </c>
      <c r="AP398" s="72" t="n">
        <v>-1.28</v>
      </c>
      <c r="AQ398" s="72" t="n">
        <v>-3.4</v>
      </c>
      <c r="AR398" s="72" t="n">
        <v>-8.44</v>
      </c>
      <c r="AS398" s="72" t="n">
        <v>1.38</v>
      </c>
      <c r="AT398" s="72" t="n">
        <v>-9.17</v>
      </c>
      <c r="AU398" s="72" t="n">
        <v>-0.1</v>
      </c>
      <c r="AV398" s="72" t="n">
        <v>-9.75</v>
      </c>
      <c r="AW398" s="72" t="n">
        <v>5.77</v>
      </c>
      <c r="AX398" s="72" t="n">
        <v>6.35</v>
      </c>
      <c r="AY398" s="63" t="inlineStr">
        <is>
          <t>HSTECH (Hang Seng TECH ETF)</t>
        </is>
      </c>
      <c r="AZ398" s="72" t="n">
        <v>-4.04</v>
      </c>
      <c r="BA398" s="64" t="inlineStr">
        <is>
          <t>2026-08-28</t>
        </is>
      </c>
      <c r="BB398" s="65" t="n">
        <v>22437.5</v>
      </c>
      <c r="BC398" s="68" t="n">
        <v>837.8</v>
      </c>
      <c r="BD398" s="63" t="inlineStr">
        <is>
          <t>Y</t>
        </is>
      </c>
      <c r="BE398" s="74" t="n">
        <v>49</v>
      </c>
      <c r="BF398" s="74" t="n">
        <v>28.4</v>
      </c>
      <c r="BG398" s="74" t="n">
        <v>10</v>
      </c>
      <c r="BH398" s="74" t="n">
        <v>1.8</v>
      </c>
      <c r="BI398" s="75">
        <f>IF('BBG Verify'!S398="","not filed — run on terminal",'BBG Verify'!S398)</f>
        <v/>
      </c>
      <c r="BJ398" s="76" t="inlineStr">
        <is>
          <t>N</t>
        </is>
      </c>
      <c r="BK398" s="77">
        <f>IF('BBG Verify'!K398="","not filed — run on terminal",'BBG Verify'!K398)</f>
        <v/>
      </c>
      <c r="BL398" s="63" t="inlineStr">
        <is>
          <t>N/A</t>
        </is>
      </c>
      <c r="BM398" s="63" t="inlineStr">
        <is>
          <t>N/A</t>
        </is>
      </c>
      <c r="BN398" s="63" t="inlineStr">
        <is>
          <t>N/A</t>
        </is>
      </c>
      <c r="BO398" s="63" t="inlineStr">
        <is>
          <t>N/A</t>
        </is>
      </c>
      <c r="BP398" s="63" t="inlineStr">
        <is>
          <t>N/A</t>
        </is>
      </c>
      <c r="BQ398" s="63" t="inlineStr">
        <is>
          <t>N/A</t>
        </is>
      </c>
      <c r="BR398" s="76" t="inlineStr">
        <is>
          <t>Merrill Lynch (Asia Pacific) Limited; UBS Securities Hong Kong Limited; Haitong International Capital Limited; Goldman Sachs (Asia) L.L.C; Haitong International Securities Company Limited</t>
        </is>
      </c>
      <c r="BS398" s="63" t="inlineStr">
        <is>
          <t>Haitong International Capital Limited; UBS Securities Hong Kong Limited; Merrill Lynch (Asia Pacific) Limited; Goldman Sachs (Asia) L.L.C.</t>
        </is>
      </c>
      <c r="BT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U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V398" s="78">
        <f>HYPERLINK("https://www1.hkexnews.hk/listedco/listconews/sehk/2025/1203/2025120300086.pdf","prospectus")</f>
        <v/>
      </c>
      <c r="BW398" s="78">
        <f>HYPERLINK("https://www1.hkexnews.hk/listedco/listconews/sehk/2025/1210/2025121001474.pdf","allotment")</f>
        <v/>
      </c>
      <c r="BX398" s="78">
        <f>HYPERLINK("https://www1.hkexnews.hk/listedco/listconews/sehk/2026/0107/2026010701764.pdf","stabilisation")</f>
        <v/>
      </c>
      <c r="BY398" s="76" t="n"/>
      <c r="BZ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no grey-market headline on file for this deal — AAStocks publishes one per listing but keeps only recent items on the stock's news page, and no public archive of past evening sessions exists; captured from this run onward</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72" t="n">
        <v>88.09999999999999</v>
      </c>
      <c r="AC399" s="66" t="n">
        <v>37.8</v>
      </c>
      <c r="AD399" s="72" t="n">
        <v>15.85</v>
      </c>
      <c r="AE399" s="63" t="inlineStr">
        <is>
          <t>Y</t>
        </is>
      </c>
      <c r="AF399" s="63" t="inlineStr">
        <is>
          <t>full</t>
        </is>
      </c>
      <c r="AG399" s="63" t="inlineStr">
        <is>
          <t>2026-01-10</t>
        </is>
      </c>
      <c r="AH399" s="63" t="inlineStr">
        <is>
          <t>Livermore Holdings Limited</t>
        </is>
      </c>
      <c r="AI399" s="63" t="inlineStr">
        <is>
          <t>Livermore</t>
        </is>
      </c>
      <c r="AJ399" s="73" t="n">
        <v>117.91</v>
      </c>
      <c r="AK399" s="72" t="n">
        <v>89.05</v>
      </c>
      <c r="AL399" s="72" t="n">
        <v>15.27</v>
      </c>
      <c r="AM399" s="72" t="n">
        <v>107.76</v>
      </c>
      <c r="AN399" s="72" t="n">
        <v>222.39</v>
      </c>
      <c r="AO399" s="72" t="n">
        <v>141.79</v>
      </c>
      <c r="AP399" s="72" t="n">
        <v>-4.66</v>
      </c>
      <c r="AQ399" s="72" t="n">
        <v>47.95</v>
      </c>
      <c r="AR399" s="72" t="n">
        <v>10.96</v>
      </c>
      <c r="AS399" s="72" t="n">
        <v>108.04</v>
      </c>
      <c r="AT399" s="72" t="n">
        <v>217.84</v>
      </c>
      <c r="AU399" s="72" t="n">
        <v>156.26</v>
      </c>
      <c r="AV399" s="72" t="n">
        <v>41.53</v>
      </c>
      <c r="AW399" s="72" t="n">
        <v>4.55</v>
      </c>
      <c r="AX399" s="72" t="n">
        <v>6.42</v>
      </c>
      <c r="AY399" s="63" t="inlineStr">
        <is>
          <t>HSTECH (Hang Seng TECH ETF)</t>
        </is>
      </c>
      <c r="AZ399" s="72" t="n">
        <v>-20.25</v>
      </c>
      <c r="BA399" s="64" t="inlineStr">
        <is>
          <t>2026-08-28</t>
        </is>
      </c>
      <c r="BB399" s="65" t="n">
        <v>1128.2</v>
      </c>
      <c r="BC399" s="68" t="n">
        <v>35</v>
      </c>
      <c r="BD399" s="63" t="inlineStr">
        <is>
          <t>Y</t>
        </is>
      </c>
      <c r="BE399" s="74" t="n">
        <v>260</v>
      </c>
      <c r="BF399" s="74" t="n">
        <v>32</v>
      </c>
      <c r="BG399" s="74" t="n">
        <v>86.8</v>
      </c>
      <c r="BH399" s="74" t="n">
        <v>8.1</v>
      </c>
      <c r="BI399" s="75">
        <f>IF('BBG Verify'!S399="","not filed — run on terminal",'BBG Verify'!S399)</f>
        <v/>
      </c>
      <c r="BJ399" s="76" t="inlineStr">
        <is>
          <t>N</t>
        </is>
      </c>
      <c r="BK399" s="77">
        <f>IF('BBG Verify'!K399="","not filed — run on terminal",'BBG Verify'!K399)</f>
        <v/>
      </c>
      <c r="BL399" s="63" t="inlineStr">
        <is>
          <t>N/A</t>
        </is>
      </c>
      <c r="BM399" s="63" t="inlineStr">
        <is>
          <t>N/A</t>
        </is>
      </c>
      <c r="BN399" s="63" t="inlineStr">
        <is>
          <t>N/A</t>
        </is>
      </c>
      <c r="BO399" s="63" t="inlineStr">
        <is>
          <t>N/A</t>
        </is>
      </c>
      <c r="BP399" s="63" t="inlineStr">
        <is>
          <t>N/A</t>
        </is>
      </c>
      <c r="BQ399" s="63" t="inlineStr">
        <is>
          <t>N/A</t>
        </is>
      </c>
      <c r="BR399" s="76" t="inlineStr">
        <is>
          <t>China Everbright Capital Limited</t>
        </is>
      </c>
      <c r="BS399" s="63" t="inlineStr">
        <is>
          <t>China Everbright Capital Limited</t>
        </is>
      </c>
      <c r="BT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U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V399" s="78">
        <f>HYPERLINK("https://www1.hkexnews.hk/listedco/listconews/sehk/2025/1208/2025120800011.pdf","prospectus")</f>
        <v/>
      </c>
      <c r="BW399" s="78">
        <f>HYPERLINK("https://www1.hkexnews.hk/listedco/listconews/sehk/2025/1215/2025121501608.pdf","allotment")</f>
        <v/>
      </c>
      <c r="BX399" s="78">
        <f>HYPERLINK("https://www1.hkexnews.hk/listedco/listconews/sehk/2026/0109/2026010901587.pdf","stabilisation")</f>
        <v/>
      </c>
      <c r="BY399" s="76" t="n"/>
      <c r="BZ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72" t="n"/>
      <c r="AC400" s="66" t="n"/>
      <c r="AD400" s="72" t="n"/>
      <c r="AE400" s="63" t="n"/>
      <c r="AF400" s="63" t="inlineStr">
        <is>
          <t>partial</t>
        </is>
      </c>
      <c r="AG400" s="63" t="inlineStr">
        <is>
          <t>2026-01-11</t>
        </is>
      </c>
      <c r="AH400" s="63" t="inlineStr">
        <is>
          <t>J.P. Morgan Securities</t>
        </is>
      </c>
      <c r="AI400" s="63" t="inlineStr">
        <is>
          <t>JP Morgan</t>
        </is>
      </c>
      <c r="AJ400" s="73" t="n">
        <v>-0.15</v>
      </c>
      <c r="AK400" s="72" t="n">
        <v>0.3</v>
      </c>
      <c r="AL400" s="72" t="n">
        <v>-0.45</v>
      </c>
      <c r="AM400" s="72" t="n">
        <v>-14.22</v>
      </c>
      <c r="AN400" s="72" t="n">
        <v>7.34</v>
      </c>
      <c r="AO400" s="72" t="n">
        <v>-29.34</v>
      </c>
      <c r="AP400" s="72" t="n">
        <v>-14.09</v>
      </c>
      <c r="AQ400" s="72" t="n">
        <v>7.5</v>
      </c>
      <c r="AR400" s="72" t="n">
        <v>-29.23</v>
      </c>
      <c r="AS400" s="72" t="n">
        <v>-15.83</v>
      </c>
      <c r="AT400" s="72" t="n">
        <v>2.14</v>
      </c>
      <c r="AU400" s="72" t="n">
        <v>-18.53</v>
      </c>
      <c r="AV400" s="72" t="n">
        <v>3.48</v>
      </c>
      <c r="AW400" s="72" t="n">
        <v>5.2</v>
      </c>
      <c r="AX400" s="72" t="n">
        <v>4.02</v>
      </c>
      <c r="AY400" s="63" t="inlineStr">
        <is>
          <t>HSTECH (Hang Seng TECH ETF)</t>
        </is>
      </c>
      <c r="AZ400" s="72" t="n">
        <v>-60.55</v>
      </c>
      <c r="BA400" s="64" t="inlineStr">
        <is>
          <t>2026-08-28</t>
        </is>
      </c>
      <c r="BB400" s="65" t="n">
        <v>720.7</v>
      </c>
      <c r="BC400" s="68" t="n">
        <v>-1189.6</v>
      </c>
      <c r="BD400" s="63" t="inlineStr">
        <is>
          <t>N</t>
        </is>
      </c>
      <c r="BE400" s="63" t="inlineStr">
        <is>
          <t>n/m</t>
        </is>
      </c>
      <c r="BF400" s="74" t="n"/>
      <c r="BG400" s="74" t="n"/>
      <c r="BH400" s="74" t="n">
        <v>26.5</v>
      </c>
      <c r="BI400" s="75">
        <f>IF('BBG Verify'!S400="","not filed — run on terminal",'BBG Verify'!S400)</f>
        <v/>
      </c>
      <c r="BJ400" s="76" t="inlineStr">
        <is>
          <t>N</t>
        </is>
      </c>
      <c r="BK400" s="77">
        <f>IF('BBG Verify'!K400="","not filed — run on terminal",'BBG Verify'!K400)</f>
        <v/>
      </c>
      <c r="BL400" s="63" t="inlineStr">
        <is>
          <t>N/A</t>
        </is>
      </c>
      <c r="BM400" s="63" t="inlineStr">
        <is>
          <t>N/A</t>
        </is>
      </c>
      <c r="BN400" s="63" t="inlineStr">
        <is>
          <t>N/A</t>
        </is>
      </c>
      <c r="BO400" s="63" t="inlineStr">
        <is>
          <t>N/A</t>
        </is>
      </c>
      <c r="BP400" s="63" t="inlineStr">
        <is>
          <t>N/A</t>
        </is>
      </c>
      <c r="BQ400" s="63" t="inlineStr">
        <is>
          <t>N/A</t>
        </is>
      </c>
      <c r="BR400" s="76" t="inlineStr">
        <is>
          <t>J.P. Morgan Securities (Far East) Limited; Guotai Junan Capital Limited</t>
        </is>
      </c>
      <c r="BS400" s="63" t="inlineStr">
        <is>
          <t>J.P. Morgan Securities (Far East) Limited; Guotai Junan Capital Limited</t>
        </is>
      </c>
      <c r="BT400" s="63" t="inlineStr">
        <is>
          <t>( in alphabetical order ) CMB International Capital Limited; Tiger Brokers (HK) Global Limited; Victory Securities Company Limited</t>
        </is>
      </c>
      <c r="BU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V400" s="78">
        <f>HYPERLINK("https://www1.hkexnews.hk/listedco/listconews/sehk/2025/1209/2025120900025.pdf","prospectus")</f>
        <v/>
      </c>
      <c r="BW400" s="78">
        <f>HYPERLINK("https://www1.hkexnews.hk/listedco/listconews/sehk/2025/1216/2025121601390.pdf","allotment")</f>
        <v/>
      </c>
      <c r="BX400" s="78">
        <f>HYPERLINK("https://www1.hkexnews.hk/listedco/listconews/sehk/2026/0112/2026011200057.pdf","stabilisation")</f>
        <v/>
      </c>
      <c r="BY400" s="76" t="n"/>
      <c r="BZ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72" t="n">
        <v>126.6</v>
      </c>
      <c r="AC401" s="66" t="n">
        <v>10.22</v>
      </c>
      <c r="AD401" s="72" t="n">
        <v>-15.85</v>
      </c>
      <c r="AE401" s="63" t="inlineStr">
        <is>
          <t>Y</t>
        </is>
      </c>
      <c r="AF401" s="63" t="n"/>
      <c r="AG401" s="63" t="n"/>
      <c r="AH401" s="63" t="n"/>
      <c r="AI401" s="63" t="n"/>
      <c r="AJ401" s="73" t="n">
        <v>90.69</v>
      </c>
      <c r="AK401" s="72" t="n">
        <v>139.47</v>
      </c>
      <c r="AL401" s="72" t="n">
        <v>-20.37</v>
      </c>
      <c r="AM401" s="72" t="n">
        <v>109.31</v>
      </c>
      <c r="AN401" s="72" t="n">
        <v>186.03</v>
      </c>
      <c r="AO401" s="72" t="n">
        <v>212.64</v>
      </c>
      <c r="AP401" s="72" t="n">
        <v>9.76</v>
      </c>
      <c r="AQ401" s="72" t="n">
        <v>50</v>
      </c>
      <c r="AR401" s="72" t="n">
        <v>63.95</v>
      </c>
      <c r="AS401" s="72" t="n">
        <v>108.33</v>
      </c>
      <c r="AT401" s="72" t="n">
        <v>181.75</v>
      </c>
      <c r="AU401" s="72" t="n">
        <v>219.56</v>
      </c>
      <c r="AV401" s="72" t="n">
        <v>46.58</v>
      </c>
      <c r="AW401" s="72" t="n">
        <v>4.28</v>
      </c>
      <c r="AX401" s="72" t="n">
        <v>3.42</v>
      </c>
      <c r="AY401" s="63" t="inlineStr">
        <is>
          <t>Hang Seng Commerce &amp; Industry sub-index</t>
        </is>
      </c>
      <c r="AZ401" s="72" t="n">
        <v>319.07</v>
      </c>
      <c r="BA401" s="64" t="inlineStr">
        <is>
          <t>2026-08-28</t>
        </is>
      </c>
      <c r="BB401" s="65" t="n">
        <v>331.6</v>
      </c>
      <c r="BC401" s="68" t="n">
        <v>69.09999999999999</v>
      </c>
      <c r="BD401" s="63" t="inlineStr">
        <is>
          <t>Y</t>
        </is>
      </c>
      <c r="BE401" s="74" t="n">
        <v>31.8</v>
      </c>
      <c r="BF401" s="74" t="n"/>
      <c r="BG401" s="74" t="n"/>
      <c r="BH401" s="74" t="n">
        <v>6.6</v>
      </c>
      <c r="BI401" s="75">
        <f>IF('BBG Verify'!S401="","not filed — run on terminal",'BBG Verify'!S401)</f>
        <v/>
      </c>
      <c r="BJ401" s="76" t="inlineStr">
        <is>
          <t>N</t>
        </is>
      </c>
      <c r="BK401" s="77">
        <f>IF('BBG Verify'!K401="","not filed — run on terminal",'BBG Verify'!K401)</f>
        <v/>
      </c>
      <c r="BL401" s="63" t="inlineStr">
        <is>
          <t>N/A</t>
        </is>
      </c>
      <c r="BM401" s="63" t="inlineStr">
        <is>
          <t>N/A</t>
        </is>
      </c>
      <c r="BN401" s="63" t="inlineStr">
        <is>
          <t>N/A</t>
        </is>
      </c>
      <c r="BO401" s="63" t="inlineStr">
        <is>
          <t>N/A</t>
        </is>
      </c>
      <c r="BP401" s="63" t="inlineStr">
        <is>
          <t>N/A</t>
        </is>
      </c>
      <c r="BQ401" s="63" t="inlineStr">
        <is>
          <t>N/A</t>
        </is>
      </c>
      <c r="BR401" s="76" t="inlineStr">
        <is>
          <t>Sinolink Securities (Hong Kong) Company Limited; Maxa Capital Limited</t>
        </is>
      </c>
      <c r="BS401" s="63" t="inlineStr">
        <is>
          <t>Maxa Capital Limited; Sinolink Securities (Hong Kong) Company Limited</t>
        </is>
      </c>
      <c r="BT401" s="63" t="inlineStr">
        <is>
          <t>Sinolink Securities (Hong Kong) Company Limited; Maxa Capital Limited; ABCI Capital Limited; ABCI Securities Company Limited</t>
        </is>
      </c>
      <c r="BU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V401" s="78">
        <f>HYPERLINK("https://www1.hkexnews.hk/listedco/listconews/sehk/2025/1211/2025121100043.pdf","prospectus")</f>
        <v/>
      </c>
      <c r="BW401" s="78">
        <f>HYPERLINK("https://www1.hkexnews.hk/listedco/listconews/sehk/2025/1218/2025121801566.pdf","allotment")</f>
        <v/>
      </c>
      <c r="BX401" s="63" t="n"/>
      <c r="BY401" s="76" t="n"/>
      <c r="BZ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72" t="n">
        <v>-6.1</v>
      </c>
      <c r="AC402" s="66" t="n">
        <v>247</v>
      </c>
      <c r="AD402" s="72" t="n">
        <v>-8.08</v>
      </c>
      <c r="AE402" s="63" t="inlineStr">
        <is>
          <t>Y</t>
        </is>
      </c>
      <c r="AF402" s="63" t="inlineStr">
        <is>
          <t>lapsed</t>
        </is>
      </c>
      <c r="AG402" s="63" t="n"/>
      <c r="AH402" s="63" t="inlineStr">
        <is>
          <t>China International Capital Corporation Hong Kong Securities Limited</t>
        </is>
      </c>
      <c r="AI402" s="63" t="inlineStr">
        <is>
          <t>China International</t>
        </is>
      </c>
      <c r="AJ402" s="73" t="n">
        <v>-13.69</v>
      </c>
      <c r="AK402" s="72" t="n">
        <v>0</v>
      </c>
      <c r="AL402" s="72" t="n">
        <v>-13.69</v>
      </c>
      <c r="AM402" s="72" t="n">
        <v>-15.21</v>
      </c>
      <c r="AN402" s="72" t="n">
        <v>-7.83</v>
      </c>
      <c r="AO402" s="72" t="n">
        <v>-11.79</v>
      </c>
      <c r="AP402" s="72" t="n">
        <v>-1.76</v>
      </c>
      <c r="AQ402" s="72" t="n">
        <v>6.79</v>
      </c>
      <c r="AR402" s="72" t="n">
        <v>2.2</v>
      </c>
      <c r="AS402" s="72" t="n">
        <v>-18.03</v>
      </c>
      <c r="AT402" s="72" t="n">
        <v>-14.04</v>
      </c>
      <c r="AU402" s="72" t="n">
        <v>0.53</v>
      </c>
      <c r="AV402" s="72" t="n">
        <v>1.57</v>
      </c>
      <c r="AW402" s="72" t="n">
        <v>6.21</v>
      </c>
      <c r="AX402" s="72" t="n">
        <v>5.22</v>
      </c>
      <c r="AY402" s="63" t="inlineStr">
        <is>
          <t>HSTECH (Hang Seng TECH ETF)</t>
        </is>
      </c>
      <c r="AZ402" s="72" t="n">
        <v>-31.9</v>
      </c>
      <c r="BA402" s="64" t="inlineStr">
        <is>
          <t>2026-08-31</t>
        </is>
      </c>
      <c r="BB402" s="65" t="n">
        <v>451</v>
      </c>
      <c r="BC402" s="68" t="n">
        <v>-638.8</v>
      </c>
      <c r="BD402" s="63" t="inlineStr">
        <is>
          <t>N</t>
        </is>
      </c>
      <c r="BE402" s="63" t="inlineStr">
        <is>
          <t>n/m</t>
        </is>
      </c>
      <c r="BF402" s="74" t="n"/>
      <c r="BG402" s="74" t="n"/>
      <c r="BH402" s="74" t="n">
        <v>25.5</v>
      </c>
      <c r="BI402" s="75">
        <f>IF('BBG Verify'!S402="","not filed — run on terminal",'BBG Verify'!S402)</f>
        <v/>
      </c>
      <c r="BJ402" s="76" t="inlineStr">
        <is>
          <t>N</t>
        </is>
      </c>
      <c r="BK402" s="77">
        <f>IF('BBG Verify'!K402="","not filed — run on terminal",'BBG Verify'!K402)</f>
        <v/>
      </c>
      <c r="BL402" s="63" t="inlineStr">
        <is>
          <t>N/A</t>
        </is>
      </c>
      <c r="BM402" s="63" t="inlineStr">
        <is>
          <t>N/A</t>
        </is>
      </c>
      <c r="BN402" s="63" t="inlineStr">
        <is>
          <t>N/A</t>
        </is>
      </c>
      <c r="BO402" s="63" t="inlineStr">
        <is>
          <t>N/A</t>
        </is>
      </c>
      <c r="BP402" s="63" t="inlineStr">
        <is>
          <t>N/A</t>
        </is>
      </c>
      <c r="BQ402" s="63" t="inlineStr">
        <is>
          <t>N/A</t>
        </is>
      </c>
      <c r="BR402" s="76" t="inlineStr">
        <is>
          <t>China International Capital Corporation Hong Kong Securities Limited; China Securities (International) Corporate Finance Company Limited; Ping An of China Capital (Hong Kong) Company Limited</t>
        </is>
      </c>
      <c r="BS402" s="63" t="inlineStr">
        <is>
          <t>China International Capital Corporation Hong Kong Securities Limited; Ping An of China Capital (Hong Kong) Company Limited; China Securities (International) Corporate Finance Company Limited</t>
        </is>
      </c>
      <c r="BT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U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V402" s="78">
        <f>HYPERLINK("https://www1.hkexnews.hk/listedco/listconews/sehk/2025/1211/2025121100007.pdf","prospectus")</f>
        <v/>
      </c>
      <c r="BW402" s="78">
        <f>HYPERLINK("https://www1.hkexnews.hk/listedco/listconews/sehk/2025/1218/2025121801904.pdf","allotment")</f>
        <v/>
      </c>
      <c r="BX402" s="78">
        <f>HYPERLINK("https://www1.hkexnews.hk/listedco/listconews/sehk/2026/0116/2026011600161.pdf","stabilisation")</f>
        <v/>
      </c>
      <c r="BY402" s="76" t="n"/>
      <c r="BZ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72" t="n">
        <v>-4.4</v>
      </c>
      <c r="AC403" s="66" t="n">
        <v>3.44</v>
      </c>
      <c r="AD403" s="72" t="n">
        <v>-32.3</v>
      </c>
      <c r="AE403" s="63" t="inlineStr">
        <is>
          <t>Y</t>
        </is>
      </c>
      <c r="AF403" s="63" t="n"/>
      <c r="AG403" s="63" t="n"/>
      <c r="AH403" s="63" t="inlineStr">
        <is>
          <t>China Industrial Securities International Capital Limited</t>
        </is>
      </c>
      <c r="AI403" s="63" t="inlineStr">
        <is>
          <t>China Industrial</t>
        </is>
      </c>
      <c r="AJ403" s="73" t="n">
        <v>-35.28</v>
      </c>
      <c r="AK403" s="72" t="n">
        <v>-9.44</v>
      </c>
      <c r="AL403" s="72" t="n">
        <v>-28.53</v>
      </c>
      <c r="AM403" s="72" t="n">
        <v>-41.11</v>
      </c>
      <c r="AN403" s="72" t="n">
        <v>-35.56</v>
      </c>
      <c r="AO403" s="72" t="n">
        <v>-50.28</v>
      </c>
      <c r="AP403" s="72" t="n">
        <v>-9.01</v>
      </c>
      <c r="AQ403" s="72" t="n">
        <v>-0.43</v>
      </c>
      <c r="AR403" s="72" t="n">
        <v>-23.18</v>
      </c>
      <c r="AS403" s="72" t="n">
        <v>-40.88</v>
      </c>
      <c r="AT403" s="72" t="n">
        <v>-39.68</v>
      </c>
      <c r="AU403" s="72" t="n">
        <v>-47.4</v>
      </c>
      <c r="AV403" s="72" t="n">
        <v>-4.1</v>
      </c>
      <c r="AW403" s="72" t="n">
        <v>4.12</v>
      </c>
      <c r="AX403" s="72" t="n">
        <v>3.67</v>
      </c>
      <c r="AY403" s="63" t="inlineStr">
        <is>
          <t>Hang Seng Index</t>
        </is>
      </c>
      <c r="AZ403" s="72" t="n">
        <v>-65.14</v>
      </c>
      <c r="BA403" s="64" t="inlineStr">
        <is>
          <t>2026-08-28</t>
        </is>
      </c>
      <c r="BB403" s="65" t="n">
        <v>150.9</v>
      </c>
      <c r="BC403" s="68" t="n">
        <v>-2.9</v>
      </c>
      <c r="BD403" s="63" t="inlineStr">
        <is>
          <t>N</t>
        </is>
      </c>
      <c r="BE403" s="63" t="inlineStr">
        <is>
          <t>n/m</t>
        </is>
      </c>
      <c r="BF403" s="74" t="n">
        <v>5.6</v>
      </c>
      <c r="BG403" s="74" t="n">
        <v>3.1</v>
      </c>
      <c r="BH403" s="74" t="n">
        <v>3.4</v>
      </c>
      <c r="BI403" s="75">
        <f>IF('BBG Verify'!S403="","not filed — run on terminal",'BBG Verify'!S403)</f>
        <v/>
      </c>
      <c r="BJ403" s="76" t="inlineStr">
        <is>
          <t>N</t>
        </is>
      </c>
      <c r="BK403" s="77">
        <f>IF('BBG Verify'!K403="","not filed — run on terminal",'BBG Verify'!K403)</f>
        <v/>
      </c>
      <c r="BL403" s="63" t="inlineStr">
        <is>
          <t>N/A</t>
        </is>
      </c>
      <c r="BM403" s="63" t="inlineStr">
        <is>
          <t>N/A</t>
        </is>
      </c>
      <c r="BN403" s="63" t="inlineStr">
        <is>
          <t>N/A</t>
        </is>
      </c>
      <c r="BO403" s="63" t="inlineStr">
        <is>
          <t>N/A</t>
        </is>
      </c>
      <c r="BP403" s="63" t="inlineStr">
        <is>
          <t>N/A</t>
        </is>
      </c>
      <c r="BQ403" s="63" t="inlineStr">
        <is>
          <t>N/A</t>
        </is>
      </c>
      <c r="BR403" s="76" t="inlineStr">
        <is>
          <t>China Industrial Securities International Capital Limited; Halcyon Capital Limited</t>
        </is>
      </c>
      <c r="BS403" s="63" t="inlineStr">
        <is>
          <t>China Industrial Securities International Capital Limited; Halcyon Capital Limited</t>
        </is>
      </c>
      <c r="BT403" s="63" t="inlineStr">
        <is>
          <t>China Industrial Securities International Capital Limited; Halcyon Securities Limited; ABCI Capital Limited; ABCI Securities Company Limited</t>
        </is>
      </c>
      <c r="BU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V403" s="78">
        <f>HYPERLINK("https://www1.hkexnews.hk/listedco/listconews/sehk/2025/1212/2025121200055.pdf","prospectus")</f>
        <v/>
      </c>
      <c r="BW403" s="78">
        <f>HYPERLINK("https://www1.hkexnews.hk/listedco/listconews/sehk/2025/1219/2025121901141.pdf","allotment")</f>
        <v/>
      </c>
      <c r="BX403" s="63" t="n"/>
      <c r="BY403" s="76" t="n"/>
      <c r="BZ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72" t="n">
        <v>0.6</v>
      </c>
      <c r="AC404" s="66" t="n">
        <v>38.42</v>
      </c>
      <c r="AD404" s="72" t="n">
        <v>-29.74</v>
      </c>
      <c r="AE404" s="63" t="inlineStr">
        <is>
          <t>N</t>
        </is>
      </c>
      <c r="AF404" s="63" t="inlineStr">
        <is>
          <t>lapsed (no over-allocation)</t>
        </is>
      </c>
      <c r="AG404" s="63" t="inlineStr">
        <is>
          <t>2026-01-16</t>
        </is>
      </c>
      <c r="AH404" s="63" t="inlineStr">
        <is>
          <t>CLSA Limited</t>
        </is>
      </c>
      <c r="AI404" s="63" t="inlineStr">
        <is>
          <t>CLSA</t>
        </is>
      </c>
      <c r="AJ404" s="73" t="n">
        <v>-29.32</v>
      </c>
      <c r="AK404" s="72" t="n">
        <v>-11.52</v>
      </c>
      <c r="AL404" s="72" t="n">
        <v>-20.12</v>
      </c>
      <c r="AM404" s="72" t="n">
        <v>-57.67</v>
      </c>
      <c r="AN404" s="72" t="n">
        <v>-71.95999999999999</v>
      </c>
      <c r="AO404" s="72" t="n">
        <v>-81.02</v>
      </c>
      <c r="AP404" s="72" t="n">
        <v>-40.11</v>
      </c>
      <c r="AQ404" s="72" t="n">
        <v>-60.33</v>
      </c>
      <c r="AR404" s="72" t="n">
        <v>-73.15000000000001</v>
      </c>
      <c r="AS404" s="72" t="n">
        <v>-53.08</v>
      </c>
      <c r="AT404" s="72" t="n">
        <v>-73.8</v>
      </c>
      <c r="AU404" s="72" t="n">
        <v>-86.11</v>
      </c>
      <c r="AV404" s="72" t="n">
        <v>-63.24</v>
      </c>
      <c r="AW404" s="72" t="n">
        <v>1.84</v>
      </c>
      <c r="AX404" s="72" t="n">
        <v>2.91</v>
      </c>
      <c r="AY404" s="63" t="inlineStr">
        <is>
          <t>China Biotech ETF (HS biotech proxy)</t>
        </is>
      </c>
      <c r="AZ404" s="72" t="n">
        <v>-87.23</v>
      </c>
      <c r="BA404" s="64" t="inlineStr">
        <is>
          <t>2026-08-28</t>
        </is>
      </c>
      <c r="BB404" s="65" t="n">
        <v>0.3</v>
      </c>
      <c r="BC404" s="68" t="n">
        <v>-180.5</v>
      </c>
      <c r="BD404" s="63" t="inlineStr">
        <is>
          <t>N</t>
        </is>
      </c>
      <c r="BE404" s="63" t="inlineStr">
        <is>
          <t>n/m</t>
        </is>
      </c>
      <c r="BF404" s="74" t="n"/>
      <c r="BG404" s="74" t="n"/>
      <c r="BH404" s="74" t="n">
        <v>14981.7</v>
      </c>
      <c r="BI404" s="75">
        <f>IF('BBG Verify'!S404="","not filed — run on terminal",'BBG Verify'!S404)</f>
        <v/>
      </c>
      <c r="BJ404" s="76" t="inlineStr">
        <is>
          <t>N</t>
        </is>
      </c>
      <c r="BK404" s="77">
        <f>IF('BBG Verify'!K404="","not filed — run on terminal",'BBG Verify'!K404)</f>
        <v/>
      </c>
      <c r="BL404" s="63" t="inlineStr">
        <is>
          <t>N/A</t>
        </is>
      </c>
      <c r="BM404" s="63" t="inlineStr">
        <is>
          <t>N/A</t>
        </is>
      </c>
      <c r="BN404" s="63" t="inlineStr">
        <is>
          <t>N/A</t>
        </is>
      </c>
      <c r="BO404" s="63" t="inlineStr">
        <is>
          <t>N/A</t>
        </is>
      </c>
      <c r="BP404" s="63" t="inlineStr">
        <is>
          <t>N/A</t>
        </is>
      </c>
      <c r="BQ404" s="63" t="inlineStr">
        <is>
          <t>N/A</t>
        </is>
      </c>
      <c r="BR404" s="76" t="inlineStr">
        <is>
          <t>Huatai Financial Holdings (Hong Kong) Limited; CITIC Securities (Hong Kong) Limited</t>
        </is>
      </c>
      <c r="BS404" s="63" t="inlineStr">
        <is>
          <t>Huatai Financial Holdings (Hong Kong) Limited; CITIC Securities (Hong Kong) Limited</t>
        </is>
      </c>
      <c r="BT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U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V404" s="78">
        <f>HYPERLINK("https://www1.hkexnews.hk/listedco/listconews/sehk/2025/1212/2025121200081.pdf","prospectus")</f>
        <v/>
      </c>
      <c r="BW404" s="78">
        <f>HYPERLINK("https://www1.hkexnews.hk/listedco/listconews/sehk/2025/1219/2025121901577.pdf","allotment")</f>
        <v/>
      </c>
      <c r="BX404" s="78">
        <f>HYPERLINK("https://www1.hkexnews.hk/listedco/listconews/sehk/2026/0118/2026011800013.pdf","stabilisation")</f>
        <v/>
      </c>
      <c r="BY404" s="76" t="n"/>
      <c r="BZ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72" t="n">
        <v>-25.4</v>
      </c>
      <c r="AC405" s="66" t="n">
        <v>6.97</v>
      </c>
      <c r="AD405" s="72" t="n">
        <v>-32.25</v>
      </c>
      <c r="AE405" s="63" t="inlineStr">
        <is>
          <t>Y</t>
        </is>
      </c>
      <c r="AF405" s="63" t="n"/>
      <c r="AG405" s="63" t="n"/>
      <c r="AH405" s="63" t="n"/>
      <c r="AI405" s="63" t="n"/>
      <c r="AJ405" s="73" t="n">
        <v>-49.46</v>
      </c>
      <c r="AK405" s="72" t="n">
        <v>-30.41</v>
      </c>
      <c r="AL405" s="72" t="n">
        <v>-27.37</v>
      </c>
      <c r="AM405" s="72" t="n">
        <v>-56</v>
      </c>
      <c r="AN405" s="72" t="n">
        <v>-56.21</v>
      </c>
      <c r="AO405" s="72" t="n">
        <v>-63.06</v>
      </c>
      <c r="AP405" s="72" t="n">
        <v>-12.94</v>
      </c>
      <c r="AQ405" s="72" t="n">
        <v>-13.36</v>
      </c>
      <c r="AR405" s="72" t="n">
        <v>-26.91</v>
      </c>
      <c r="AS405" s="72" t="n">
        <v>-56.56</v>
      </c>
      <c r="AT405" s="72" t="n">
        <v>-61.99</v>
      </c>
      <c r="AU405" s="72" t="n">
        <v>-50.37</v>
      </c>
      <c r="AV405" s="72" t="n">
        <v>-18.06</v>
      </c>
      <c r="AW405" s="72" t="n">
        <v>5.78</v>
      </c>
      <c r="AX405" s="72" t="n">
        <v>4.7</v>
      </c>
      <c r="AY405" s="63" t="inlineStr">
        <is>
          <t>HSTECH (Hang Seng TECH ETF)</t>
        </is>
      </c>
      <c r="AZ405" s="72" t="n">
        <v>-70.06999999999999</v>
      </c>
      <c r="BA405" s="64" t="inlineStr">
        <is>
          <t>2026-08-28</t>
        </is>
      </c>
      <c r="BB405" s="65" t="n">
        <v>2924.9</v>
      </c>
      <c r="BC405" s="68" t="n">
        <v>119.8</v>
      </c>
      <c r="BD405" s="63" t="inlineStr">
        <is>
          <t>Y</t>
        </is>
      </c>
      <c r="BE405" s="74" t="n">
        <v>24.3</v>
      </c>
      <c r="BF405" s="74" t="n">
        <v>11.1</v>
      </c>
      <c r="BG405" s="74" t="n">
        <v>6.2</v>
      </c>
      <c r="BH405" s="74" t="n">
        <v>1</v>
      </c>
      <c r="BI405" s="75">
        <f>IF('BBG Verify'!S405="","not filed — run on terminal",'BBG Verify'!S405)</f>
        <v/>
      </c>
      <c r="BJ405" s="76" t="inlineStr">
        <is>
          <t>N</t>
        </is>
      </c>
      <c r="BK405" s="77">
        <f>IF('BBG Verify'!K405="","not filed — run on terminal",'BBG Verify'!K405)</f>
        <v/>
      </c>
      <c r="BL405" s="63" t="inlineStr">
        <is>
          <t>N/A</t>
        </is>
      </c>
      <c r="BM405" s="63" t="inlineStr">
        <is>
          <t>N/A</t>
        </is>
      </c>
      <c r="BN405" s="63" t="inlineStr">
        <is>
          <t>N/A</t>
        </is>
      </c>
      <c r="BO405" s="63" t="inlineStr">
        <is>
          <t>N/A</t>
        </is>
      </c>
      <c r="BP405" s="63" t="inlineStr">
        <is>
          <t>N/A</t>
        </is>
      </c>
      <c r="BQ405" s="63" t="inlineStr">
        <is>
          <t>N/A</t>
        </is>
      </c>
      <c r="BR405" s="76" t="n"/>
      <c r="BS405" s="63" t="inlineStr">
        <is>
          <t>China International Capital Corporation Hong Kong Securities Limited; Citigroup Global Markets Asia Limited</t>
        </is>
      </c>
      <c r="BT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U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V405" s="78">
        <f>HYPERLINK("https://www1.hkexnews.hk/listedco/listconews/sehk/2025/1212/2025121200057.pdf","prospectus")</f>
        <v/>
      </c>
      <c r="BW405" s="78">
        <f>HYPERLINK("https://www1.hkexnews.hk/listedco/listconews/sehk/2025/1219/2025121901603.pdf","allotment")</f>
        <v/>
      </c>
      <c r="BX405" s="63" t="n"/>
      <c r="BY405" s="76" t="n"/>
      <c r="BZ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72" t="n">
        <v>-7.4</v>
      </c>
      <c r="AC406" s="66" t="n">
        <v>11.11</v>
      </c>
      <c r="AD406" s="72" t="n">
        <v>-18.11</v>
      </c>
      <c r="AE406" s="63" t="inlineStr">
        <is>
          <t>Y</t>
        </is>
      </c>
      <c r="AF406" s="63" t="inlineStr">
        <is>
          <t>lapsed (no over-allocation)</t>
        </is>
      </c>
      <c r="AG406" s="63" t="n"/>
      <c r="AH406" s="63" t="inlineStr">
        <is>
          <t>CLSA Limited</t>
        </is>
      </c>
      <c r="AI406" s="63" t="inlineStr">
        <is>
          <t>CLSA</t>
        </is>
      </c>
      <c r="AJ406" s="73" t="n">
        <v>-24.17</v>
      </c>
      <c r="AK406" s="72" t="n">
        <v>-23.92</v>
      </c>
      <c r="AL406" s="72" t="n">
        <v>-0.33</v>
      </c>
      <c r="AM406" s="72" t="n">
        <v>-17.42</v>
      </c>
      <c r="AN406" s="72" t="n">
        <v>-12.75</v>
      </c>
      <c r="AO406" s="72" t="n">
        <v>-9.5</v>
      </c>
      <c r="AP406" s="72" t="n">
        <v>8.9</v>
      </c>
      <c r="AQ406" s="72" t="n">
        <v>15.06</v>
      </c>
      <c r="AR406" s="72" t="n">
        <v>19.35</v>
      </c>
      <c r="AS406" s="72" t="n">
        <v>-18.24</v>
      </c>
      <c r="AT406" s="72" t="n">
        <v>-16.12</v>
      </c>
      <c r="AU406" s="72" t="n">
        <v>-12.35</v>
      </c>
      <c r="AV406" s="72" t="n">
        <v>12.22</v>
      </c>
      <c r="AW406" s="72" t="n">
        <v>3.37</v>
      </c>
      <c r="AX406" s="72" t="n">
        <v>2.84</v>
      </c>
      <c r="AY406" s="63" t="inlineStr">
        <is>
          <t>Hang Seng Finance sub-index</t>
        </is>
      </c>
      <c r="AZ406" s="72" t="n">
        <v>-20.19</v>
      </c>
      <c r="BA406" s="64" t="inlineStr">
        <is>
          <t>2026-08-31</t>
        </is>
      </c>
      <c r="BB406" s="65" t="n">
        <v>0</v>
      </c>
      <c r="BC406" s="68" t="n">
        <v>503.8</v>
      </c>
      <c r="BD406" s="63" t="inlineStr">
        <is>
          <t>Y</t>
        </is>
      </c>
      <c r="BE406" s="74" t="n">
        <v>20.8</v>
      </c>
      <c r="BF406" s="74" t="n">
        <v>10.9</v>
      </c>
      <c r="BG406" s="74" t="n">
        <v>5.8</v>
      </c>
      <c r="BH406" s="63" t="inlineStr">
        <is>
          <t>pre-rev</t>
        </is>
      </c>
      <c r="BI406" s="75">
        <f>IF('BBG Verify'!S406="","not filed — run on terminal",'BBG Verify'!S406)</f>
        <v/>
      </c>
      <c r="BJ406" s="76" t="inlineStr">
        <is>
          <t>Y</t>
        </is>
      </c>
      <c r="BK406" s="63" t="inlineStr">
        <is>
          <t>603093.SS</t>
        </is>
      </c>
      <c r="BL406" s="72" t="n">
        <v>77.34999999999999</v>
      </c>
      <c r="BM406" s="66" t="n">
        <v>21.2816</v>
      </c>
      <c r="BN406" s="80" t="n">
        <v>1.3419</v>
      </c>
      <c r="BO406" s="68" t="n">
        <v>16079.9</v>
      </c>
      <c r="BP406" s="75">
        <f>IF('BBG Verify'!Q406="","run on terminal",'BBG Verify'!Q406)</f>
        <v/>
      </c>
      <c r="BQ406" s="75">
        <f>IF('BBG Verify'!R406="","run on terminal",'BBG Verify'!R406)</f>
        <v/>
      </c>
      <c r="BR406" s="76" t="inlineStr">
        <is>
          <t>CITIC Securities (Hong Kong) Limited</t>
        </is>
      </c>
      <c r="BS406" s="63" t="inlineStr">
        <is>
          <t>CITIC Securities (Hong Kong) Limited</t>
        </is>
      </c>
      <c r="BT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U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V406" s="78">
        <f>HYPERLINK("https://www1.hkexnews.hk/listedco/listconews/sehk/2025/1212/2025121200021.pdf","prospectus")</f>
        <v/>
      </c>
      <c r="BW406" s="78">
        <f>HYPERLINK("https://www1.hkexnews.hk/listedco/listconews/sehk/2025/1219/2025121902017.pdf","allotment")</f>
        <v/>
      </c>
      <c r="BX406" s="78">
        <f>HYPERLINK("https://www1.hkexnews.hk/listedco/listconews/sehk/2026/0116/2026011600262.pdf","stabilisation")</f>
        <v/>
      </c>
      <c r="BY406" s="76" t="n"/>
      <c r="BZ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72" t="n"/>
      <c r="AC407" s="66" t="n"/>
      <c r="AD407" s="72" t="n"/>
      <c r="AE407" s="63" t="n"/>
      <c r="AF407" s="63" t="inlineStr">
        <is>
          <t>lapsed (no over-allocation)</t>
        </is>
      </c>
      <c r="AG407" s="63" t="n"/>
      <c r="AH407" s="63" t="inlineStr">
        <is>
          <t>China International Capital Corporation Hong Kong Securities Limited</t>
        </is>
      </c>
      <c r="AI407" s="63" t="inlineStr">
        <is>
          <t>China International</t>
        </is>
      </c>
      <c r="AJ407" s="73" t="n">
        <v>363.75</v>
      </c>
      <c r="AK407" s="72" t="n">
        <v>299.75</v>
      </c>
      <c r="AL407" s="72" t="n">
        <v>16.01</v>
      </c>
      <c r="AM407" s="72" t="n">
        <v>331.75</v>
      </c>
      <c r="AN407" s="72" t="n">
        <v>388.5</v>
      </c>
      <c r="AO407" s="72" t="n">
        <v>505</v>
      </c>
      <c r="AP407" s="72" t="n">
        <v>-6.9</v>
      </c>
      <c r="AQ407" s="72" t="n">
        <v>5.34</v>
      </c>
      <c r="AR407" s="72" t="n">
        <v>30.46</v>
      </c>
      <c r="AS407" s="72" t="n">
        <v>328.15</v>
      </c>
      <c r="AT407" s="72" t="n">
        <v>384.99</v>
      </c>
      <c r="AU407" s="72" t="n">
        <v>520.24</v>
      </c>
      <c r="AV407" s="72" t="n">
        <v>0.96</v>
      </c>
      <c r="AW407" s="72" t="n">
        <v>3.51</v>
      </c>
      <c r="AX407" s="72" t="n">
        <v>4.38</v>
      </c>
      <c r="AY407" s="63" t="inlineStr">
        <is>
          <t>HSTECH (Hang Seng TECH ETF)</t>
        </is>
      </c>
      <c r="AZ407" s="72" t="n">
        <v>33</v>
      </c>
      <c r="BA407" s="64" t="inlineStr">
        <is>
          <t>2026-08-31</t>
        </is>
      </c>
      <c r="BB407" s="65" t="n">
        <v>442.9</v>
      </c>
      <c r="BC407" s="68" t="n">
        <v>126.9</v>
      </c>
      <c r="BD407" s="63" t="inlineStr">
        <is>
          <t>Y</t>
        </is>
      </c>
      <c r="BE407" s="74" t="n">
        <v>23.9</v>
      </c>
      <c r="BF407" s="74" t="n"/>
      <c r="BG407" s="74" t="n"/>
      <c r="BH407" s="74" t="n">
        <v>6.8</v>
      </c>
      <c r="BI407" s="75">
        <f>IF('BBG Verify'!S407="","not filed — run on terminal",'BBG Verify'!S407)</f>
        <v/>
      </c>
      <c r="BJ407" s="76" t="inlineStr">
        <is>
          <t>N</t>
        </is>
      </c>
      <c r="BK407" s="77">
        <f>IF('BBG Verify'!K407="","not filed — run on terminal",'BBG Verify'!K407)</f>
        <v/>
      </c>
      <c r="BL407" s="63" t="inlineStr">
        <is>
          <t>N/A</t>
        </is>
      </c>
      <c r="BM407" s="63" t="inlineStr">
        <is>
          <t>N/A</t>
        </is>
      </c>
      <c r="BN407" s="63" t="inlineStr">
        <is>
          <t>N/A</t>
        </is>
      </c>
      <c r="BO407" s="63" t="inlineStr">
        <is>
          <t>N/A</t>
        </is>
      </c>
      <c r="BP407" s="63" t="inlineStr">
        <is>
          <t>N/A</t>
        </is>
      </c>
      <c r="BQ407" s="63" t="inlineStr">
        <is>
          <t>N/A</t>
        </is>
      </c>
      <c r="BR407" s="76" t="n"/>
      <c r="BS407" s="63" t="inlineStr">
        <is>
          <t>China International Capital Corporation Hong Kong Securities Limited</t>
        </is>
      </c>
      <c r="BT407" s="63" t="inlineStr">
        <is>
          <t>China International Capital Corporation Hong Kong Securities Limited; Livermore Holdings Limited; Patrons Securities Limited</t>
        </is>
      </c>
      <c r="BU407" s="63" t="inlineStr">
        <is>
          <t>China International Capital Corporation Hong Kong Securities Limited; Livermore Holdings Limited; Patrons Securities Limited</t>
        </is>
      </c>
      <c r="BV407" s="78">
        <f>HYPERLINK("https://www1.hkexnews.hk/listedco/listconews/sehk/2025/1215/2025121500019.pdf","prospectus")</f>
        <v/>
      </c>
      <c r="BW407" s="78">
        <f>HYPERLINK("https://www1.hkexnews.hk/listedco/listconews/sehk/2025/1222/2025122201578.pdf","allotment")</f>
        <v/>
      </c>
      <c r="BX407" s="78">
        <f>HYPERLINK("https://www1.hkexnews.hk/listedco/listconews/sehk/2026/0119/2026011900805.pdf","stabilisation")</f>
        <v/>
      </c>
      <c r="BY407" s="76" t="n"/>
      <c r="BZ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no grey-market headline on file for this deal — AAStocks publishes one per listing but keeps only recent items on the stock's news page, and no public archive of past evening sessions exists; captured from this run onward</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72" t="n"/>
      <c r="AC408" s="66" t="n"/>
      <c r="AD408" s="72" t="n"/>
      <c r="AE408" s="63" t="n"/>
      <c r="AF408" s="63" t="inlineStr">
        <is>
          <t>lapsed (no over-allocation)</t>
        </is>
      </c>
      <c r="AG408" s="63" t="inlineStr">
        <is>
          <t>2026-01-17</t>
        </is>
      </c>
      <c r="AH408" s="63" t="inlineStr">
        <is>
          <t>China International Capital Corporation Hong Kong Securities Limited</t>
        </is>
      </c>
      <c r="AI408" s="63" t="inlineStr">
        <is>
          <t>China International</t>
        </is>
      </c>
      <c r="AJ408" s="73" t="n">
        <v>158.82</v>
      </c>
      <c r="AK408" s="72" t="n">
        <v>120.46</v>
      </c>
      <c r="AL408" s="72" t="n">
        <v>17.4</v>
      </c>
      <c r="AM408" s="72" t="n">
        <v>229.37</v>
      </c>
      <c r="AN408" s="72" t="n">
        <v>338.71</v>
      </c>
      <c r="AO408" s="72" t="n">
        <v>592.6799999999999</v>
      </c>
      <c r="AP408" s="72" t="n">
        <v>27.26</v>
      </c>
      <c r="AQ408" s="72" t="n">
        <v>69.5</v>
      </c>
      <c r="AR408" s="72" t="n">
        <v>167.63</v>
      </c>
      <c r="AS408" s="72" t="n">
        <v>226.94</v>
      </c>
      <c r="AT408" s="72" t="n">
        <v>335.11</v>
      </c>
      <c r="AU408" s="72" t="n">
        <v>590.54</v>
      </c>
      <c r="AV408" s="72" t="n">
        <v>66.5</v>
      </c>
      <c r="AW408" s="72" t="n">
        <v>3.6</v>
      </c>
      <c r="AX408" s="72" t="n">
        <v>3</v>
      </c>
      <c r="AY408" s="63" t="inlineStr">
        <is>
          <t>Hang Seng Finance sub-index</t>
        </is>
      </c>
      <c r="AZ408" s="72" t="n">
        <v>-77.84</v>
      </c>
      <c r="BA408" s="64" t="inlineStr">
        <is>
          <t>2026-08-28</t>
        </is>
      </c>
      <c r="BB408" s="65" t="n">
        <v>1039.5</v>
      </c>
      <c r="BC408" s="68" t="n">
        <v>-0</v>
      </c>
      <c r="BD408" s="63" t="inlineStr">
        <is>
          <t>N</t>
        </is>
      </c>
      <c r="BE408" s="63" t="inlineStr">
        <is>
          <t>n/m</t>
        </is>
      </c>
      <c r="BF408" s="74" t="n"/>
      <c r="BG408" s="74" t="n"/>
      <c r="BH408" s="74" t="n">
        <v>4.5</v>
      </c>
      <c r="BI408" s="75">
        <f>IF('BBG Verify'!S408="","not filed — run on terminal",'BBG Verify'!S408)</f>
        <v/>
      </c>
      <c r="BJ408" s="76" t="inlineStr">
        <is>
          <t>N</t>
        </is>
      </c>
      <c r="BK408" s="77">
        <f>IF('BBG Verify'!K408="","not filed — run on terminal",'BBG Verify'!K408)</f>
        <v/>
      </c>
      <c r="BL408" s="63" t="inlineStr">
        <is>
          <t>N/A</t>
        </is>
      </c>
      <c r="BM408" s="63" t="inlineStr">
        <is>
          <t>N/A</t>
        </is>
      </c>
      <c r="BN408" s="63" t="inlineStr">
        <is>
          <t>N/A</t>
        </is>
      </c>
      <c r="BO408" s="63" t="inlineStr">
        <is>
          <t>N/A</t>
        </is>
      </c>
      <c r="BP408" s="63" t="inlineStr">
        <is>
          <t>N/A</t>
        </is>
      </c>
      <c r="BQ408" s="63" t="inlineStr">
        <is>
          <t>N/A</t>
        </is>
      </c>
      <c r="BR408" s="76" t="inlineStr">
        <is>
          <t>China International Capital Corporation Hong Kong Securities Limited; China Merchants Securities (HK) Co., Limited</t>
        </is>
      </c>
      <c r="BS408" s="63" t="inlineStr">
        <is>
          <t>China International Capital Corporation Hong Kong Securities Limited; China Merchants Securities (HK) Company Limited</t>
        </is>
      </c>
      <c r="BT408" s="63" t="inlineStr">
        <is>
          <t>China International Capital Corporation Hong Kong Securities Limited; China Merchants Securities (HK) Co., Limited; Futu Securities International (Hong Kong) Limited; SPDB International Capital Limited</t>
        </is>
      </c>
      <c r="BU408" s="63" t="inlineStr">
        <is>
          <t>China International Capital Corporation Hong Kong Securities Limited; China Merchants Securities (HK) Company Limited; Futu Securities International (Hong Kong) Limited; SPDB International Capital Limited</t>
        </is>
      </c>
      <c r="BV408" s="78">
        <f>HYPERLINK("https://www1.hkexnews.hk/listedco/listconews/sehk/2025/1215/2025121500031.pdf","prospectus")</f>
        <v/>
      </c>
      <c r="BW408" s="78">
        <f>HYPERLINK("https://www1.hkexnews.hk/listedco/listconews/sehk/2025/1222/2025122201716.pdf","allotment")</f>
        <v/>
      </c>
      <c r="BX408" s="78">
        <f>HYPERLINK("https://www1.hkexnews.hk/listedco/listconews/sehk/2026/0118/2026011800009.pdf","stabilisation")</f>
        <v/>
      </c>
      <c r="BY408" s="76" t="n"/>
      <c r="BZ408"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72" t="n"/>
      <c r="AC409" s="66" t="n"/>
      <c r="AD409" s="72" t="n"/>
      <c r="AE409" s="63" t="n"/>
      <c r="AF409" s="63" t="n"/>
      <c r="AG409" s="63" t="n"/>
      <c r="AH409" s="63" t="n"/>
      <c r="AI409" s="63" t="n"/>
      <c r="AJ409" s="73" t="n">
        <v>-46.25</v>
      </c>
      <c r="AK409" s="72" t="n">
        <v>-9.69</v>
      </c>
      <c r="AL409" s="72" t="n">
        <v>-40.48</v>
      </c>
      <c r="AM409" s="72" t="n">
        <v>-46.69</v>
      </c>
      <c r="AN409" s="72" t="n">
        <v>-46.97</v>
      </c>
      <c r="AO409" s="72" t="n">
        <v>-3.5</v>
      </c>
      <c r="AP409" s="72" t="n">
        <v>-0.82</v>
      </c>
      <c r="AQ409" s="72" t="n">
        <v>-1.34</v>
      </c>
      <c r="AR409" s="72" t="n">
        <v>79.53</v>
      </c>
      <c r="AS409" s="72" t="n">
        <v>-44.11</v>
      </c>
      <c r="AT409" s="72" t="n">
        <v>-48.39</v>
      </c>
      <c r="AU409" s="72" t="n">
        <v>-9.859999999999999</v>
      </c>
      <c r="AV409" s="72" t="n">
        <v>-3.42</v>
      </c>
      <c r="AW409" s="72" t="n">
        <v>1.42</v>
      </c>
      <c r="AX409" s="72" t="n">
        <v>2.08</v>
      </c>
      <c r="AY409" s="63" t="inlineStr">
        <is>
          <t>China Biotech ETF (HS biotech proxy)</t>
        </is>
      </c>
      <c r="AZ409" s="72" t="n">
        <v>-3.69</v>
      </c>
      <c r="BA409" s="64" t="inlineStr">
        <is>
          <t>2026-08-28</t>
        </is>
      </c>
      <c r="BB409" s="65" t="n">
        <v>0</v>
      </c>
      <c r="BC409" s="68" t="n">
        <v>-128.6</v>
      </c>
      <c r="BD409" s="63" t="inlineStr">
        <is>
          <t>N</t>
        </is>
      </c>
      <c r="BE409" s="63" t="inlineStr">
        <is>
          <t>n/m</t>
        </is>
      </c>
      <c r="BF409" s="74" t="n"/>
      <c r="BG409" s="74" t="n"/>
      <c r="BH409" s="63" t="inlineStr">
        <is>
          <t>pre-rev</t>
        </is>
      </c>
      <c r="BI409" s="75">
        <f>IF('BBG Verify'!S409="","not filed — run on terminal",'BBG Verify'!S409)</f>
        <v/>
      </c>
      <c r="BJ409" s="76" t="inlineStr">
        <is>
          <t>N</t>
        </is>
      </c>
      <c r="BK409" s="77">
        <f>IF('BBG Verify'!K409="","not filed — run on terminal",'BBG Verify'!K409)</f>
        <v/>
      </c>
      <c r="BL409" s="63" t="inlineStr">
        <is>
          <t>N/A</t>
        </is>
      </c>
      <c r="BM409" s="63" t="inlineStr">
        <is>
          <t>N/A</t>
        </is>
      </c>
      <c r="BN409" s="63" t="inlineStr">
        <is>
          <t>N/A</t>
        </is>
      </c>
      <c r="BO409" s="63" t="inlineStr">
        <is>
          <t>N/A</t>
        </is>
      </c>
      <c r="BP409" s="63" t="inlineStr">
        <is>
          <t>N/A</t>
        </is>
      </c>
      <c r="BQ409" s="63" t="inlineStr">
        <is>
          <t>N/A</t>
        </is>
      </c>
      <c r="BR409" s="76" t="n"/>
      <c r="BS409" s="63" t="inlineStr">
        <is>
          <t>ICBC International Capital Limited</t>
        </is>
      </c>
      <c r="BT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V409" s="63" t="n"/>
      <c r="BW409" s="78">
        <f>HYPERLINK("https://www1.hkexnews.hk/listedco/listconews/sehk/2025/1222/2025122201726.pdf","allotment")</f>
        <v/>
      </c>
      <c r="BX409" s="63" t="n"/>
      <c r="BY409" s="76" t="n"/>
      <c r="BZ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72" t="n"/>
      <c r="AC410" s="66" t="n"/>
      <c r="AD410" s="72" t="n"/>
      <c r="AE410" s="63" t="n"/>
      <c r="AF410" s="63" t="inlineStr">
        <is>
          <t>partial</t>
        </is>
      </c>
      <c r="AG410" s="63" t="inlineStr">
        <is>
          <t>2026-01-22</t>
        </is>
      </c>
      <c r="AH410" s="63" t="inlineStr">
        <is>
          <t>Guotai Junan Securities</t>
        </is>
      </c>
      <c r="AI410" s="63" t="inlineStr">
        <is>
          <t>Guotai Junan</t>
        </is>
      </c>
      <c r="AJ410" s="73" t="n">
        <v>1.04</v>
      </c>
      <c r="AK410" s="72" t="n">
        <v>0.04</v>
      </c>
      <c r="AL410" s="72" t="n">
        <v>1</v>
      </c>
      <c r="AM410" s="72" t="n">
        <v>1.54</v>
      </c>
      <c r="AN410" s="72" t="n">
        <v>23.75</v>
      </c>
      <c r="AO410" s="72" t="n">
        <v>313.54</v>
      </c>
      <c r="AP410" s="72" t="n">
        <v>0.49</v>
      </c>
      <c r="AQ410" s="72" t="n">
        <v>22.48</v>
      </c>
      <c r="AR410" s="72" t="n">
        <v>309.28</v>
      </c>
      <c r="AS410" s="72" t="n">
        <v>-3.21</v>
      </c>
      <c r="AT410" s="72" t="n">
        <v>17.42</v>
      </c>
      <c r="AU410" s="72" t="n">
        <v>328.44</v>
      </c>
      <c r="AV410" s="72" t="n">
        <v>17.91</v>
      </c>
      <c r="AW410" s="72" t="n">
        <v>6.33</v>
      </c>
      <c r="AX410" s="72" t="n">
        <v>4.57</v>
      </c>
      <c r="AY410" s="63" t="inlineStr">
        <is>
          <t>HSTECH (Hang Seng TECH ETF)</t>
        </is>
      </c>
      <c r="AZ410" s="72" t="n">
        <v>164.79</v>
      </c>
      <c r="BA410" s="64" t="inlineStr">
        <is>
          <t>2026-08-28</t>
        </is>
      </c>
      <c r="BB410" s="65" t="n">
        <v>695.2</v>
      </c>
      <c r="BC410" s="68" t="n">
        <v>-107.6</v>
      </c>
      <c r="BD410" s="63" t="inlineStr">
        <is>
          <t>N</t>
        </is>
      </c>
      <c r="BE410" s="63" t="inlineStr">
        <is>
          <t>n/m</t>
        </is>
      </c>
      <c r="BF410" s="74" t="n"/>
      <c r="BG410" s="74" t="n"/>
      <c r="BH410" s="74" t="n">
        <v>25.1</v>
      </c>
      <c r="BI410" s="75">
        <f>IF('BBG Verify'!S410="","not filed — run on terminal",'BBG Verify'!S410)</f>
        <v/>
      </c>
      <c r="BJ410" s="76" t="inlineStr">
        <is>
          <t>N</t>
        </is>
      </c>
      <c r="BK410" s="77">
        <f>IF('BBG Verify'!K410="","not filed — run on terminal",'BBG Verify'!K410)</f>
        <v/>
      </c>
      <c r="BL410" s="63" t="inlineStr">
        <is>
          <t>N/A</t>
        </is>
      </c>
      <c r="BM410" s="63" t="inlineStr">
        <is>
          <t>N/A</t>
        </is>
      </c>
      <c r="BN410" s="63" t="inlineStr">
        <is>
          <t>N/A</t>
        </is>
      </c>
      <c r="BO410" s="63" t="inlineStr">
        <is>
          <t>N/A</t>
        </is>
      </c>
      <c r="BP410" s="63" t="inlineStr">
        <is>
          <t>N/A</t>
        </is>
      </c>
      <c r="BQ410" s="63" t="inlineStr">
        <is>
          <t>N/A</t>
        </is>
      </c>
      <c r="BR410" s="76" t="inlineStr">
        <is>
          <t>Guotai Junan Capital Limited</t>
        </is>
      </c>
      <c r="BS410" s="63" t="inlineStr">
        <is>
          <t>Guotai Junan Capital Limited</t>
        </is>
      </c>
      <c r="BT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U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V410" s="78">
        <f>HYPERLINK("https://www1.hkexnews.hk/listedco/listconews/sehk/2025/1218/2025121800027.pdf","prospectus")</f>
        <v/>
      </c>
      <c r="BW410" s="78">
        <f>HYPERLINK("https://www1.hkexnews.hk/listedco/listconews/sehk/2025/1229/2025122902057.pdf","allotment")</f>
        <v/>
      </c>
      <c r="BX410" s="78">
        <f>HYPERLINK("https://www1.hkexnews.hk/listedco/listconews/sehk/2026/0123/2026012300001.pdf","stabilisation")</f>
        <v/>
      </c>
      <c r="BY410" s="76" t="n"/>
      <c r="BZ410" s="63" t="inlineStr">
        <is>
          <t>P/E: n/m — loss-making at IPO (use P/S) · A/H: no A-share listing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72" t="n"/>
      <c r="AC411" s="66" t="n"/>
      <c r="AD411" s="72" t="n"/>
      <c r="AE411" s="63" t="n"/>
      <c r="AF411" s="63" t="n"/>
      <c r="AG411" s="63" t="inlineStr">
        <is>
          <t>2026-01-22</t>
        </is>
      </c>
      <c r="AH411" s="63" t="inlineStr">
        <is>
          <t>CLSA Limited</t>
        </is>
      </c>
      <c r="AI411" s="63" t="inlineStr">
        <is>
          <t>CLSA</t>
        </is>
      </c>
      <c r="AJ411" s="73" t="n">
        <v>9.300000000000001</v>
      </c>
      <c r="AK411" s="72" t="n">
        <v>9.300000000000001</v>
      </c>
      <c r="AL411" s="72" t="n">
        <v>0</v>
      </c>
      <c r="AM411" s="72" t="n">
        <v>6.72</v>
      </c>
      <c r="AN411" s="72" t="n">
        <v>3.64</v>
      </c>
      <c r="AO411" s="72" t="n">
        <v>-18.28</v>
      </c>
      <c r="AP411" s="72" t="n">
        <v>-2.36</v>
      </c>
      <c r="AQ411" s="72" t="n">
        <v>-5.18</v>
      </c>
      <c r="AR411" s="72" t="n">
        <v>-25.23</v>
      </c>
      <c r="AS411" s="72" t="n">
        <v>3.48</v>
      </c>
      <c r="AT411" s="72" t="n">
        <v>-4.82</v>
      </c>
      <c r="AU411" s="72" t="n">
        <v>-11.47</v>
      </c>
      <c r="AV411" s="72" t="n">
        <v>-12.41</v>
      </c>
      <c r="AW411" s="72" t="n">
        <v>8.460000000000001</v>
      </c>
      <c r="AX411" s="72" t="n">
        <v>7.23</v>
      </c>
      <c r="AY411" s="63" t="inlineStr">
        <is>
          <t>Hang Seng Commerce &amp; Industry sub-index</t>
        </is>
      </c>
      <c r="AZ411" s="72" t="n">
        <v>-24.14</v>
      </c>
      <c r="BA411" s="64" t="inlineStr">
        <is>
          <t>2026-08-28</t>
        </is>
      </c>
      <c r="BB411" s="65" t="n">
        <v>1330.6</v>
      </c>
      <c r="BC411" s="68" t="n">
        <v>-0.1</v>
      </c>
      <c r="BD411" s="63" t="inlineStr">
        <is>
          <t>N</t>
        </is>
      </c>
      <c r="BE411" s="63" t="inlineStr">
        <is>
          <t>n/m</t>
        </is>
      </c>
      <c r="BF411" s="74" t="n">
        <v>6.8</v>
      </c>
      <c r="BG411" s="74" t="n">
        <v>5.5</v>
      </c>
      <c r="BH411" s="74" t="n">
        <v>8.199999999999999</v>
      </c>
      <c r="BI411" s="75">
        <f>IF('BBG Verify'!S411="","not filed — run on terminal",'BBG Verify'!S411)</f>
        <v/>
      </c>
      <c r="BJ411" s="76" t="inlineStr">
        <is>
          <t>N</t>
        </is>
      </c>
      <c r="BK411" s="77">
        <f>IF('BBG Verify'!K411="","not filed — run on terminal",'BBG Verify'!K411)</f>
        <v/>
      </c>
      <c r="BL411" s="63" t="inlineStr">
        <is>
          <t>N/A</t>
        </is>
      </c>
      <c r="BM411" s="63" t="inlineStr">
        <is>
          <t>N/A</t>
        </is>
      </c>
      <c r="BN411" s="63" t="inlineStr">
        <is>
          <t>N/A</t>
        </is>
      </c>
      <c r="BO411" s="63" t="inlineStr">
        <is>
          <t>N/A</t>
        </is>
      </c>
      <c r="BP411" s="63" t="inlineStr">
        <is>
          <t>N/A</t>
        </is>
      </c>
      <c r="BQ411" s="63" t="inlineStr">
        <is>
          <t>N/A</t>
        </is>
      </c>
      <c r="BR411" s="76" t="inlineStr">
        <is>
          <t>CITIC Securities (Hong Kong) Limited; Huatai Financial Holdings (Hong Kong) Limited</t>
        </is>
      </c>
      <c r="BS411" s="63" t="inlineStr">
        <is>
          <t>Huatai Financial Holdings (Hong Kong) Limited; CITIC Securities (Hong Kong) Limited</t>
        </is>
      </c>
      <c r="BT411" s="63" t="inlineStr">
        <is>
          <t>CLSA Limited; Huatai Financial Holdings (Hong Kong) Limited; Futu Securities International (Hong Kong) Limited; Tiger Brokers (HK) Global Limited</t>
        </is>
      </c>
      <c r="BU411" s="63" t="inlineStr">
        <is>
          <t>CLSA Limited; Futu Securities International (Hong Kong) Limited; Huatai Financial Holdings (Hong Kong) Limited; Tiger Brokers (HK) Global Limited</t>
        </is>
      </c>
      <c r="BV411" s="78">
        <f>HYPERLINK("https://www1.hkexnews.hk/listedco/listconews/sehk/2025/1218/2025121800221.pdf","prospectus")</f>
        <v/>
      </c>
      <c r="BW411" s="78">
        <f>HYPERLINK("https://www1.hkexnews.hk/listedco/listconews/sehk/2025/1229/2025122902127.pdf","allotment")</f>
        <v/>
      </c>
      <c r="BX411" s="78">
        <f>HYPERLINK("https://www1.hkexnews.hk/listedco/listconews/sehk/2026/0122/2026012201117.pdf","stabilisation")</f>
        <v/>
      </c>
      <c r="BY411" s="76" t="n"/>
      <c r="BZ411" s="63" t="inlineStr">
        <is>
          <t>P/E: n/m — loss-making at IPO (use P/S) · greenshoe: end-of-stabilisation notice not located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72" t="n">
        <v>13.7</v>
      </c>
      <c r="AC412" s="66" t="n">
        <v>8.07</v>
      </c>
      <c r="AD412" s="72" t="n">
        <v>-5.36</v>
      </c>
      <c r="AE412" s="63" t="inlineStr">
        <is>
          <t>Y</t>
        </is>
      </c>
      <c r="AF412" s="63" t="n"/>
      <c r="AG412" s="63" t="n"/>
      <c r="AH412" s="63" t="n"/>
      <c r="AI412" s="63" t="n"/>
      <c r="AJ412" s="73" t="n">
        <v>7.61</v>
      </c>
      <c r="AK412" s="72" t="n">
        <v>15.63</v>
      </c>
      <c r="AL412" s="72" t="n">
        <v>-6.94</v>
      </c>
      <c r="AM412" s="72" t="n">
        <v>4.23</v>
      </c>
      <c r="AN412" s="72" t="n">
        <v>-29.58</v>
      </c>
      <c r="AO412" s="72" t="n">
        <v>-42.25</v>
      </c>
      <c r="AP412" s="72" t="n">
        <v>-3.14</v>
      </c>
      <c r="AQ412" s="72" t="n">
        <v>-34.56</v>
      </c>
      <c r="AR412" s="72" t="n">
        <v>-46.33</v>
      </c>
      <c r="AS412" s="72" t="n">
        <v>0.99</v>
      </c>
      <c r="AT412" s="72" t="n">
        <v>-38.04</v>
      </c>
      <c r="AU412" s="72" t="n">
        <v>-35.44</v>
      </c>
      <c r="AV412" s="72" t="n">
        <v>-41.79</v>
      </c>
      <c r="AW412" s="72" t="n">
        <v>8.460000000000001</v>
      </c>
      <c r="AX412" s="72" t="n">
        <v>7.23</v>
      </c>
      <c r="AY412" s="63" t="inlineStr">
        <is>
          <t>Hang Seng Commerce &amp; Industry sub-index</t>
        </is>
      </c>
      <c r="AZ412" s="72" t="n">
        <v>-29.58</v>
      </c>
      <c r="BA412" s="64" t="inlineStr">
        <is>
          <t>2026-08-28</t>
        </is>
      </c>
      <c r="BB412" s="65" t="n"/>
      <c r="BC412" s="68" t="n"/>
      <c r="BD412" s="63" t="inlineStr">
        <is>
          <t>Y</t>
        </is>
      </c>
      <c r="BE412" s="74" t="n">
        <v>5.4</v>
      </c>
      <c r="BF412" s="74" t="n">
        <v>5.4</v>
      </c>
      <c r="BG412" s="74" t="n">
        <v>6.3</v>
      </c>
      <c r="BH412" s="74" t="n"/>
      <c r="BI412" s="75">
        <f>IF('BBG Verify'!S412="","not filed — run on terminal",'BBG Verify'!S412)</f>
        <v/>
      </c>
      <c r="BJ412" s="76" t="inlineStr">
        <is>
          <t>N</t>
        </is>
      </c>
      <c r="BK412" s="77">
        <f>IF('BBG Verify'!K412="","not filed — run on terminal",'BBG Verify'!K412)</f>
        <v/>
      </c>
      <c r="BL412" s="63" t="inlineStr">
        <is>
          <t>N/A</t>
        </is>
      </c>
      <c r="BM412" s="63" t="inlineStr">
        <is>
          <t>N/A</t>
        </is>
      </c>
      <c r="BN412" s="63" t="inlineStr">
        <is>
          <t>N/A</t>
        </is>
      </c>
      <c r="BO412" s="63" t="inlineStr">
        <is>
          <t>N/A</t>
        </is>
      </c>
      <c r="BP412" s="63" t="inlineStr">
        <is>
          <t>N/A</t>
        </is>
      </c>
      <c r="BQ412" s="63" t="inlineStr">
        <is>
          <t>N/A</t>
        </is>
      </c>
      <c r="BR412" s="76" t="inlineStr">
        <is>
          <t>Shenwan Hongyuan Capital (H.K.) Limited</t>
        </is>
      </c>
      <c r="BS412" s="63" t="inlineStr">
        <is>
          <t>Shenwan Hongyuan Capital (H.K.) Limited</t>
        </is>
      </c>
      <c r="BT412" s="63" t="inlineStr">
        <is>
          <t>Shenwan Hongyuan Securities (H.K.) Limited; ABCI Capital Limited; BOCI Asia Limited; Patrons Securities Limited; SPDB International Capital Limited; TradeGo Markets Limited</t>
        </is>
      </c>
      <c r="BU412" s="63" t="inlineStr">
        <is>
          <t>ABCI Securities Company Limited; BOCI Asia Limited; Patrons Securities Limited; Shenwan Hongyuan Securities (H.K.) Limited; SPDB International Capital Limited; TradeGo Markets Limited</t>
        </is>
      </c>
      <c r="BV412" s="78">
        <f>HYPERLINK("https://www1.hkexnews.hk/listedco/listconews/sehk/2025/1218/2025121800035.pdf","prospectus")</f>
        <v/>
      </c>
      <c r="BW412" s="78">
        <f>HYPERLINK("https://www1.hkexnews.hk/listedco/listconews/sehk/2025/1229/2025122902215.pdf","allotment")</f>
        <v/>
      </c>
      <c r="BX412" s="63" t="n"/>
      <c r="BY412" s="76" t="n"/>
      <c r="BZ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72" t="n"/>
      <c r="AC413" s="66" t="n"/>
      <c r="AD413" s="72" t="n"/>
      <c r="AE413" s="63" t="n"/>
      <c r="AF413" s="63" t="inlineStr">
        <is>
          <t>full</t>
        </is>
      </c>
      <c r="AG413" s="63" t="inlineStr">
        <is>
          <t>2026-01-22</t>
        </is>
      </c>
      <c r="AH413" s="63" t="inlineStr">
        <is>
          <t>Morgan Stanley Asia Limited</t>
        </is>
      </c>
      <c r="AI413" s="63" t="inlineStr">
        <is>
          <t>Morgan Stanley</t>
        </is>
      </c>
      <c r="AJ413" s="73" t="n">
        <v>24.66</v>
      </c>
      <c r="AK413" s="72" t="n">
        <v>45.53</v>
      </c>
      <c r="AL413" s="72" t="n">
        <v>-14.34</v>
      </c>
      <c r="AM413" s="72" t="n">
        <v>68.40000000000001</v>
      </c>
      <c r="AN413" s="72" t="n">
        <v>172.35</v>
      </c>
      <c r="AO413" s="72" t="n">
        <v>138.05</v>
      </c>
      <c r="AP413" s="72" t="n">
        <v>35.09</v>
      </c>
      <c r="AQ413" s="72" t="n">
        <v>118.47</v>
      </c>
      <c r="AR413" s="72" t="n">
        <v>90.95999999999999</v>
      </c>
      <c r="AS413" s="72" t="n">
        <v>63.65</v>
      </c>
      <c r="AT413" s="72" t="n">
        <v>166.02</v>
      </c>
      <c r="AU413" s="72" t="n">
        <v>152.95</v>
      </c>
      <c r="AV413" s="72" t="n">
        <v>113.9</v>
      </c>
      <c r="AW413" s="72" t="n">
        <v>6.33</v>
      </c>
      <c r="AX413" s="72" t="n">
        <v>4.57</v>
      </c>
      <c r="AY413" s="63" t="inlineStr">
        <is>
          <t>HSTECH (Hang Seng TECH ETF)</t>
        </is>
      </c>
      <c r="AZ413" s="72" t="n">
        <v>92.52</v>
      </c>
      <c r="BA413" s="64" t="inlineStr">
        <is>
          <t>2026-08-28</t>
        </is>
      </c>
      <c r="BB413" s="65" t="n">
        <v>669.5</v>
      </c>
      <c r="BC413" s="68" t="n">
        <v>-133.3</v>
      </c>
      <c r="BD413" s="63" t="inlineStr">
        <is>
          <t>N</t>
        </is>
      </c>
      <c r="BE413" s="63" t="inlineStr">
        <is>
          <t>n/m</t>
        </is>
      </c>
      <c r="BF413" s="74" t="n"/>
      <c r="BG413" s="74" t="n"/>
      <c r="BH413" s="74" t="n">
        <v>20</v>
      </c>
      <c r="BI413" s="75">
        <f>IF('BBG Verify'!S413="","not filed — run on terminal",'BBG Verify'!S413)</f>
        <v/>
      </c>
      <c r="BJ413" s="76" t="inlineStr">
        <is>
          <t>N</t>
        </is>
      </c>
      <c r="BK413" s="77">
        <f>IF('BBG Verify'!K413="","not filed — run on terminal",'BBG Verify'!K413)</f>
        <v/>
      </c>
      <c r="BL413" s="63" t="inlineStr">
        <is>
          <t>N/A</t>
        </is>
      </c>
      <c r="BM413" s="63" t="inlineStr">
        <is>
          <t>N/A</t>
        </is>
      </c>
      <c r="BN413" s="63" t="inlineStr">
        <is>
          <t>N/A</t>
        </is>
      </c>
      <c r="BO413" s="63" t="inlineStr">
        <is>
          <t>N/A</t>
        </is>
      </c>
      <c r="BP413" s="63" t="inlineStr">
        <is>
          <t>N/A</t>
        </is>
      </c>
      <c r="BQ413" s="63" t="inlineStr">
        <is>
          <t>N/A</t>
        </is>
      </c>
      <c r="BR413" s="76" t="inlineStr">
        <is>
          <t>Morgan Stanley Asia Limited; China International Capital Corporation Hong Kong Securities Limited; GF Capital (Hong Kong) Limited</t>
        </is>
      </c>
      <c r="BS413" s="63" t="inlineStr">
        <is>
          <t>China International Capital Corporation Hong Kong Securities Limited; Morgan Stanley Asia Limited; GF Capital (Hong Kong) Limited</t>
        </is>
      </c>
      <c r="BT413" s="63" t="inlineStr">
        <is>
          <t>Morgan Stanley Asia Limited; GF Securities (Hong Kong) Brokerage Limited; BNP Paribas Securities (Asia) Limited; Sinolink Securities (Hong Kong) Company Limited; BOCI Asia Limited</t>
        </is>
      </c>
      <c r="BU413" s="63" t="inlineStr">
        <is>
          <t>BNP Paribas Securities (Asia) Limited; BOCI Asia Limited; China International Capital Corporation Hong Kong Securities Limited; GF Securities (Hong Kong) Brokerage Limited; Morgan Stanley Asia Limited; Sinolink Securities (Hong Kong) Company Limited</t>
        </is>
      </c>
      <c r="BV413" s="78">
        <f>HYPERLINK("https://www1.hkexnews.hk/listedco/listconews/sehk/2025/1218/2025121800031.pdf","prospectus")</f>
        <v/>
      </c>
      <c r="BW413" s="78">
        <f>HYPERLINK("https://www1.hkexnews.hk/listedco/listconews/sehk/2025/1229/2025122902395.pdf","allotment")</f>
        <v/>
      </c>
      <c r="BX413" s="78">
        <f>HYPERLINK("https://www1.hkexnews.hk/listedco/listconews/sehk/2026/0122/2026012201223.pdf","stabilisation")</f>
        <v/>
      </c>
      <c r="BY413" s="76" t="n"/>
      <c r="BZ413"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72" t="n"/>
      <c r="AC414" s="66" t="n"/>
      <c r="AD414" s="72" t="n"/>
      <c r="AE414" s="63" t="n"/>
      <c r="AF414" s="63" t="inlineStr">
        <is>
          <t>lapsed (no over-allocation)</t>
        </is>
      </c>
      <c r="AG414" s="63" t="n"/>
      <c r="AH414" s="63" t="inlineStr">
        <is>
          <t>China International Capital Corporation Hong Kong Securities Limited 19 DEFINITIONS</t>
        </is>
      </c>
      <c r="AI414" s="63" t="inlineStr">
        <is>
          <t>China International</t>
        </is>
      </c>
      <c r="AJ414" s="73" t="n">
        <v>29.9</v>
      </c>
      <c r="AK414" s="72" t="n">
        <v>14.75</v>
      </c>
      <c r="AL414" s="72" t="n">
        <v>13.2</v>
      </c>
      <c r="AM414" s="72" t="n">
        <v>51.48</v>
      </c>
      <c r="AN414" s="72" t="n">
        <v>212.46</v>
      </c>
      <c r="AO414" s="72" t="n">
        <v>18.82</v>
      </c>
      <c r="AP414" s="72" t="n">
        <v>16.61</v>
      </c>
      <c r="AQ414" s="72" t="n">
        <v>140.54</v>
      </c>
      <c r="AR414" s="72" t="n">
        <v>-8.529999999999999</v>
      </c>
      <c r="AS414" s="72" t="n">
        <v>46.73</v>
      </c>
      <c r="AT414" s="72" t="n">
        <v>206.13</v>
      </c>
      <c r="AU414" s="72" t="n">
        <v>33.72</v>
      </c>
      <c r="AV414" s="72" t="n">
        <v>135.97</v>
      </c>
      <c r="AW414" s="72" t="n">
        <v>6.33</v>
      </c>
      <c r="AX414" s="72" t="n">
        <v>4.57</v>
      </c>
      <c r="AY414" s="63" t="inlineStr">
        <is>
          <t>HSTECH (Hang Seng TECH ETF)</t>
        </is>
      </c>
      <c r="AZ414" s="72" t="n">
        <v>112.46</v>
      </c>
      <c r="BA414" s="64" t="inlineStr">
        <is>
          <t>2026-08-28</t>
        </is>
      </c>
      <c r="BB414" s="65" t="n">
        <v>316.1</v>
      </c>
      <c r="BC414" s="68" t="n">
        <v>-86.90000000000001</v>
      </c>
      <c r="BD414" s="63" t="inlineStr">
        <is>
          <t>N</t>
        </is>
      </c>
      <c r="BE414" s="63" t="inlineStr">
        <is>
          <t>n/m</t>
        </is>
      </c>
      <c r="BF414" s="74" t="n"/>
      <c r="BG414" s="74" t="n"/>
      <c r="BH414" s="74" t="n">
        <v>39.2</v>
      </c>
      <c r="BI414" s="75">
        <f>IF('BBG Verify'!S414="","not filed — run on terminal",'BBG Verify'!S414)</f>
        <v/>
      </c>
      <c r="BJ414" s="76" t="inlineStr">
        <is>
          <t>N</t>
        </is>
      </c>
      <c r="BK414" s="77">
        <f>IF('BBG Verify'!K414="","not filed — run on terminal",'BBG Verify'!K414)</f>
        <v/>
      </c>
      <c r="BL414" s="63" t="inlineStr">
        <is>
          <t>N/A</t>
        </is>
      </c>
      <c r="BM414" s="63" t="inlineStr">
        <is>
          <t>N/A</t>
        </is>
      </c>
      <c r="BN414" s="63" t="inlineStr">
        <is>
          <t>N/A</t>
        </is>
      </c>
      <c r="BO414" s="63" t="inlineStr">
        <is>
          <t>N/A</t>
        </is>
      </c>
      <c r="BP414" s="63" t="inlineStr">
        <is>
          <t>N/A</t>
        </is>
      </c>
      <c r="BQ414" s="63" t="inlineStr">
        <is>
          <t>N/A</t>
        </is>
      </c>
      <c r="BR414" s="76" t="inlineStr">
        <is>
          <t>and Sponsor-OCs China International Capital Corporation Hong Kong Securities Limited; Huatai Financial Holdings (Hong Kong) Limited</t>
        </is>
      </c>
      <c r="BS414" s="63" t="inlineStr">
        <is>
          <t>China International Capital Corporation Hong Kong Securities Limited; Huatai Financial Holdings (Hong Kong) Limited</t>
        </is>
      </c>
      <c r="BT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U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V414" s="78">
        <f>HYPERLINK("https://www1.hkexnews.hk/listedco/listconews/sehk/2025/1218/2025121800029.pdf","prospectus")</f>
        <v/>
      </c>
      <c r="BW414" s="78">
        <f>HYPERLINK("https://www1.hkexnews.hk/listedco/listconews/sehk/2025/1229/2025122902393.pdf","allotment")</f>
        <v/>
      </c>
      <c r="BX414" s="78">
        <f>HYPERLINK("https://www1.hkexnews.hk/listedco/listconews/sehk/2026/0122/2026012200344.pdf","stabilisation")</f>
        <v/>
      </c>
      <c r="BY414" s="76" t="n"/>
      <c r="BZ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72" t="n"/>
      <c r="AC415" s="66" t="n"/>
      <c r="AD415" s="72" t="n"/>
      <c r="AE415" s="63" t="n"/>
      <c r="AF415" s="63" t="n"/>
      <c r="AG415" s="63" t="n"/>
      <c r="AH415" s="63" t="n"/>
      <c r="AI415" s="63" t="n"/>
      <c r="AJ415" s="73" t="n">
        <v>0.07000000000000001</v>
      </c>
      <c r="AK415" s="72" t="n">
        <v>0</v>
      </c>
      <c r="AL415" s="72" t="n">
        <v>0.07000000000000001</v>
      </c>
      <c r="AM415" s="72" t="n">
        <v>40.24</v>
      </c>
      <c r="AN415" s="72" t="n">
        <v>129.27</v>
      </c>
      <c r="AO415" s="72" t="n">
        <v>33.4</v>
      </c>
      <c r="AP415" s="72" t="n">
        <v>40.14</v>
      </c>
      <c r="AQ415" s="72" t="n">
        <v>129.11</v>
      </c>
      <c r="AR415" s="72" t="n">
        <v>33.31</v>
      </c>
      <c r="AS415" s="72" t="n">
        <v>35.49</v>
      </c>
      <c r="AT415" s="72" t="n">
        <v>122.94</v>
      </c>
      <c r="AU415" s="72" t="n">
        <v>48.3</v>
      </c>
      <c r="AV415" s="72" t="n">
        <v>124.54</v>
      </c>
      <c r="AW415" s="72" t="n">
        <v>6.33</v>
      </c>
      <c r="AX415" s="72" t="n">
        <v>4.57</v>
      </c>
      <c r="AY415" s="63" t="inlineStr">
        <is>
          <t>HSTECH (Hang Seng TECH ETF)</t>
        </is>
      </c>
      <c r="AZ415" s="72" t="n">
        <v>-27.71</v>
      </c>
      <c r="BA415" s="64" t="inlineStr">
        <is>
          <t>2026-08-28</t>
        </is>
      </c>
      <c r="BB415" s="65" t="n">
        <v>990.6</v>
      </c>
      <c r="BC415" s="68" t="n">
        <v>-27.1</v>
      </c>
      <c r="BD415" s="63" t="inlineStr">
        <is>
          <t>N</t>
        </is>
      </c>
      <c r="BE415" s="63" t="inlineStr">
        <is>
          <t>n/m</t>
        </is>
      </c>
      <c r="BF415" s="74" t="n"/>
      <c r="BG415" s="74" t="n"/>
      <c r="BH415" s="74" t="n">
        <v>16.6</v>
      </c>
      <c r="BI415" s="75">
        <f>IF('BBG Verify'!S415="","not filed — run on terminal",'BBG Verify'!S415)</f>
        <v/>
      </c>
      <c r="BJ415" s="76" t="inlineStr">
        <is>
          <t>N</t>
        </is>
      </c>
      <c r="BK415" s="77">
        <f>IF('BBG Verify'!K415="","not filed — run on terminal",'BBG Verify'!K415)</f>
        <v/>
      </c>
      <c r="BL415" s="63" t="inlineStr">
        <is>
          <t>N/A</t>
        </is>
      </c>
      <c r="BM415" s="63" t="inlineStr">
        <is>
          <t>N/A</t>
        </is>
      </c>
      <c r="BN415" s="63" t="inlineStr">
        <is>
          <t>N/A</t>
        </is>
      </c>
      <c r="BO415" s="63" t="inlineStr">
        <is>
          <t>N/A</t>
        </is>
      </c>
      <c r="BP415" s="63" t="inlineStr">
        <is>
          <t>N/A</t>
        </is>
      </c>
      <c r="BQ415" s="63" t="inlineStr">
        <is>
          <t>N/A</t>
        </is>
      </c>
      <c r="BR415" s="76" t="n"/>
      <c r="BS415" s="63" t="inlineStr">
        <is>
          <t>Huatai Financial Holdings (Hong Kong) Limited; Guotai Junan Capital Limited</t>
        </is>
      </c>
      <c r="BT415" s="63" t="inlineStr">
        <is>
          <t>BOCI Asia Limited; China Galaxy International Securities (Hong Kong) Company Limited; Futu Securities International (Hong Kong) Limited; Guotai Junan Securities (Hong Kong) Limited; Huatai Financial Holdings (Hong Kong) Limited</t>
        </is>
      </c>
      <c r="BU415" s="63" t="inlineStr">
        <is>
          <t>BOCI Asia Limited; China Galaxy International Securities (Hong Kong) Company Limited; Futu Securities International (Hong Kong) Limited; Guotai Junan Securities (Hong Kong) Limited; Huatai Financial Holdings (Hong Kong) Limited</t>
        </is>
      </c>
      <c r="BV415" s="63" t="n"/>
      <c r="BW415" s="78">
        <f>HYPERLINK("https://www1.hkexnews.hk/listedco/listconews/sehk/2025/1229/2025122902399.pdf","allotment")</f>
        <v/>
      </c>
      <c r="BX415" s="63" t="n"/>
      <c r="BY415" s="76" t="n"/>
      <c r="BZ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72" t="n"/>
      <c r="AC416" s="66" t="n"/>
      <c r="AD416" s="72" t="n"/>
      <c r="AE416" s="63" t="n"/>
      <c r="AF416" s="63" t="inlineStr">
        <is>
          <t>full</t>
        </is>
      </c>
      <c r="AG416" s="63" t="inlineStr">
        <is>
          <t>2026-01-28</t>
        </is>
      </c>
      <c r="AH416" s="63" t="inlineStr">
        <is>
          <t>China International Capital Corporation Hong Kong Securities Limited</t>
        </is>
      </c>
      <c r="AI416" s="63" t="inlineStr">
        <is>
          <t>China International</t>
        </is>
      </c>
      <c r="AJ416" s="73" t="n">
        <v>75.81999999999999</v>
      </c>
      <c r="AK416" s="72" t="n">
        <v>82.14</v>
      </c>
      <c r="AL416" s="72" t="n">
        <v>-3.47</v>
      </c>
      <c r="AM416" s="72" t="n">
        <v>73.78</v>
      </c>
      <c r="AN416" s="72" t="n">
        <v>67.34999999999999</v>
      </c>
      <c r="AO416" s="72" t="n">
        <v>75.31</v>
      </c>
      <c r="AP416" s="72" t="n">
        <v>-1.16</v>
      </c>
      <c r="AQ416" s="72" t="n">
        <v>-4.82</v>
      </c>
      <c r="AR416" s="72" t="n">
        <v>-0.29</v>
      </c>
      <c r="AS416" s="72" t="n">
        <v>70.53</v>
      </c>
      <c r="AT416" s="72" t="n">
        <v>67.16</v>
      </c>
      <c r="AU416" s="72" t="n">
        <v>87.84999999999999</v>
      </c>
      <c r="AV416" s="72" t="n">
        <v>-1.08</v>
      </c>
      <c r="AW416" s="72" t="n">
        <v>0.19</v>
      </c>
      <c r="AX416" s="72" t="n">
        <v>-3.74</v>
      </c>
      <c r="AY416" s="63" t="inlineStr">
        <is>
          <t>HSTECH (Hang Seng TECH ETF)</t>
        </is>
      </c>
      <c r="AZ416" s="72" t="n">
        <v>100.2</v>
      </c>
      <c r="BA416" s="64" t="inlineStr">
        <is>
          <t>2026-08-28</t>
        </is>
      </c>
      <c r="BB416" s="65" t="n">
        <v>370.5</v>
      </c>
      <c r="BC416" s="68" t="n">
        <v>-1691.9</v>
      </c>
      <c r="BD416" s="63" t="inlineStr">
        <is>
          <t>N</t>
        </is>
      </c>
      <c r="BE416" s="63" t="inlineStr">
        <is>
          <t>n/m</t>
        </is>
      </c>
      <c r="BF416" s="74" t="n"/>
      <c r="BG416" s="74" t="n"/>
      <c r="BH416" s="74" t="n">
        <v>108.2</v>
      </c>
      <c r="BI416" s="75">
        <f>IF('BBG Verify'!S416="","not filed — run on terminal",'BBG Verify'!S416)</f>
        <v/>
      </c>
      <c r="BJ416" s="76" t="inlineStr">
        <is>
          <t>N</t>
        </is>
      </c>
      <c r="BK416" s="77">
        <f>IF('BBG Verify'!K416="","not filed — run on terminal",'BBG Verify'!K416)</f>
        <v/>
      </c>
      <c r="BL416" s="63" t="inlineStr">
        <is>
          <t>N/A</t>
        </is>
      </c>
      <c r="BM416" s="63" t="inlineStr">
        <is>
          <t>N/A</t>
        </is>
      </c>
      <c r="BN416" s="63" t="inlineStr">
        <is>
          <t>N/A</t>
        </is>
      </c>
      <c r="BO416" s="63" t="inlineStr">
        <is>
          <t>N/A</t>
        </is>
      </c>
      <c r="BP416" s="63" t="inlineStr">
        <is>
          <t>N/A</t>
        </is>
      </c>
      <c r="BQ416" s="63" t="inlineStr">
        <is>
          <t>N/A</t>
        </is>
      </c>
      <c r="BR416" s="76" t="inlineStr">
        <is>
          <t>China International Capital Corporation Hong Kong Securities Limited; Ping An of China Capital (Hong Kong) Company Limited; BOCI Asia Limited; Ping An Securities (Hong Kong) Company Limited</t>
        </is>
      </c>
      <c r="BS416" s="63" t="inlineStr">
        <is>
          <t>China International Capital Corporation Hong Kong Securities Limited; Ping An of China Capital (Hong Kong) Company Limited; BOCI Asia Limited</t>
        </is>
      </c>
      <c r="BT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U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V416" s="78">
        <f>HYPERLINK("https://www1.hkexnews.hk/listedco/listconews/sehk/2025/1222/2025122200019.pdf","prospectus")</f>
        <v/>
      </c>
      <c r="BW416" s="78">
        <f>HYPERLINK("https://www1.hkexnews.hk/listedco/listconews/sehk/2025/1231/2025123102783.pdf","allotment")</f>
        <v/>
      </c>
      <c r="BX416" s="78">
        <f>HYPERLINK("https://www1.hkexnews.hk/listedco/listconews/sehk/2026/0128/2026012800772.pdf","stabilisation")</f>
        <v/>
      </c>
      <c r="BY416" s="76" t="n"/>
      <c r="BZ416" s="63" t="inlineStr">
        <is>
          <t>P/E: n/m — loss-making at IPO (use P/S) · A/H: no A line; closest listed proxy {'code': '688256.SS', 'name': 'Cambricon Technologies', 'rationale': "The A-share domestic AI-compute (GPGPU/accelerator) pure-play — closest proxy for Biren's training-GPU story."} · grey market: no grey-market headline on file for this deal — AAStocks publishes one per listing but keeps only recent items on the stock's news page, and no public archive of past evening sessions exists; captured from this run onward</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72" t="n"/>
      <c r="AC417" s="66" t="n"/>
      <c r="AD417" s="72" t="n"/>
      <c r="AE417" s="63" t="n"/>
      <c r="AF417" s="63" t="inlineStr">
        <is>
          <t>full</t>
        </is>
      </c>
      <c r="AG417" s="63" t="inlineStr">
        <is>
          <t>2026-02-04</t>
        </is>
      </c>
      <c r="AH417" s="63" t="inlineStr">
        <is>
          <t>China International Capital Corporation Hong Kong Securities Limited</t>
        </is>
      </c>
      <c r="AI417" s="63" t="inlineStr">
        <is>
          <t>China International</t>
        </is>
      </c>
      <c r="AJ417" s="73" t="n">
        <v>13.17</v>
      </c>
      <c r="AK417" s="72" t="n">
        <v>3.27</v>
      </c>
      <c r="AL417" s="72" t="n">
        <v>9.59</v>
      </c>
      <c r="AM417" s="72" t="n">
        <v>107.4</v>
      </c>
      <c r="AN417" s="72" t="n">
        <v>74.87</v>
      </c>
      <c r="AO417" s="72" t="n">
        <v>646.13</v>
      </c>
      <c r="AP417" s="72" t="n">
        <v>83.26000000000001</v>
      </c>
      <c r="AQ417" s="72" t="n">
        <v>54.52</v>
      </c>
      <c r="AR417" s="72" t="n">
        <v>559.3</v>
      </c>
      <c r="AS417" s="72" t="n">
        <v>105.98</v>
      </c>
      <c r="AT417" s="72" t="n">
        <v>81.89</v>
      </c>
      <c r="AU417" s="72" t="n">
        <v>660.55</v>
      </c>
      <c r="AV417" s="72" t="n">
        <v>60.37</v>
      </c>
      <c r="AW417" s="72" t="n">
        <v>-7.02</v>
      </c>
      <c r="AX417" s="72" t="n">
        <v>-5.85</v>
      </c>
      <c r="AY417" s="63" t="inlineStr">
        <is>
          <t>HSTECH (Hang Seng TECH ETF)</t>
        </is>
      </c>
      <c r="AZ417" s="72" t="n">
        <v>838.04</v>
      </c>
      <c r="BA417" s="64" t="inlineStr">
        <is>
          <t>2026-08-28</t>
        </is>
      </c>
      <c r="BB417" s="65" t="n">
        <v>343.7</v>
      </c>
      <c r="BC417" s="68" t="n">
        <v>-2110.3</v>
      </c>
      <c r="BD417" s="63" t="inlineStr">
        <is>
          <t>N</t>
        </is>
      </c>
      <c r="BE417" s="63" t="inlineStr">
        <is>
          <t>n/m</t>
        </is>
      </c>
      <c r="BF417" s="74" t="n"/>
      <c r="BG417" s="74" t="n"/>
      <c r="BH417" s="74" t="n">
        <v>131.1</v>
      </c>
      <c r="BI417" s="75">
        <f>IF('BBG Verify'!S417="","not filed — run on terminal",'BBG Verify'!S417)</f>
        <v/>
      </c>
      <c r="BJ417" s="76" t="inlineStr">
        <is>
          <t>N</t>
        </is>
      </c>
      <c r="BK417" s="77">
        <f>IF('BBG Verify'!K417="","not filed — run on terminal",'BBG Verify'!K417)</f>
        <v/>
      </c>
      <c r="BL417" s="63" t="inlineStr">
        <is>
          <t>N/A</t>
        </is>
      </c>
      <c r="BM417" s="63" t="inlineStr">
        <is>
          <t>N/A</t>
        </is>
      </c>
      <c r="BN417" s="63" t="inlineStr">
        <is>
          <t>N/A</t>
        </is>
      </c>
      <c r="BO417" s="63" t="inlineStr">
        <is>
          <t>N/A</t>
        </is>
      </c>
      <c r="BP417" s="63" t="inlineStr">
        <is>
          <t>N/A</t>
        </is>
      </c>
      <c r="BQ417" s="63" t="inlineStr">
        <is>
          <t>N/A</t>
        </is>
      </c>
      <c r="BR417" s="76" t="inlineStr">
        <is>
          <t>CICC</t>
        </is>
      </c>
      <c r="BS417" s="63" t="inlineStr">
        <is>
          <t>China International Capital Corporation Hong Kong Securities Limited</t>
        </is>
      </c>
      <c r="BT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U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V417" s="78">
        <f>HYPERLINK("https://www1.hkexnews.hk/listedco/listconews/sehk/2025/1230/2025123000017.pdf","prospectus")</f>
        <v/>
      </c>
      <c r="BW417" s="78">
        <f>HYPERLINK("https://www1.hkexnews.hk/listedco/listconews/sehk/2026/0107/2026010701798.pdf","allotment")</f>
        <v/>
      </c>
      <c r="BX417" s="78">
        <f>HYPERLINK("https://www1.hkexnews.hk/listedco/listconews/sehk/2026/0204/2026020402110.pdf","stabilisation")</f>
        <v/>
      </c>
      <c r="BY417" s="76" t="n"/>
      <c r="BZ417"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72" t="n"/>
      <c r="AC418" s="66" t="n"/>
      <c r="AD418" s="72" t="n"/>
      <c r="AE418" s="63" t="n"/>
      <c r="AF418" s="63" t="n"/>
      <c r="AG418" s="63" t="n"/>
      <c r="AH418" s="63" t="n"/>
      <c r="AI418" s="63" t="n"/>
      <c r="AJ418" s="73" t="n">
        <v>8.44</v>
      </c>
      <c r="AK418" s="72" t="n">
        <v>31.54</v>
      </c>
      <c r="AL418" s="72" t="n">
        <v>-17.56</v>
      </c>
      <c r="AM418" s="72" t="n">
        <v>21.72</v>
      </c>
      <c r="AN418" s="72" t="n">
        <v>14.25</v>
      </c>
      <c r="AO418" s="72" t="n">
        <v>156.57</v>
      </c>
      <c r="AP418" s="72" t="n">
        <v>12.25</v>
      </c>
      <c r="AQ418" s="72" t="n">
        <v>5.36</v>
      </c>
      <c r="AR418" s="72" t="n">
        <v>136.6</v>
      </c>
      <c r="AS418" s="72" t="n">
        <v>20.3</v>
      </c>
      <c r="AT418" s="72" t="n">
        <v>21.27</v>
      </c>
      <c r="AU418" s="72" t="n">
        <v>170.99</v>
      </c>
      <c r="AV418" s="72" t="n">
        <v>11.21</v>
      </c>
      <c r="AW418" s="72" t="n">
        <v>-7.02</v>
      </c>
      <c r="AX418" s="72" t="n">
        <v>-5.85</v>
      </c>
      <c r="AY418" s="63" t="inlineStr">
        <is>
          <t>HSTECH (Hang Seng TECH ETF)</t>
        </is>
      </c>
      <c r="AZ418" s="72" t="n">
        <v>174.41</v>
      </c>
      <c r="BA418" s="64" t="inlineStr">
        <is>
          <t>2026-08-28</t>
        </is>
      </c>
      <c r="BB418" s="65" t="n">
        <v>593.5</v>
      </c>
      <c r="BC418" s="68" t="n">
        <v>-1104</v>
      </c>
      <c r="BD418" s="63" t="inlineStr">
        <is>
          <t>N</t>
        </is>
      </c>
      <c r="BE418" s="63" t="inlineStr">
        <is>
          <t>n/m</t>
        </is>
      </c>
      <c r="BF418" s="74" t="n"/>
      <c r="BG418" s="74" t="n"/>
      <c r="BH418" s="74" t="n">
        <v>62</v>
      </c>
      <c r="BI418" s="75">
        <f>IF('BBG Verify'!S418="","not filed — run on terminal",'BBG Verify'!S418)</f>
        <v/>
      </c>
      <c r="BJ418" s="76" t="inlineStr">
        <is>
          <t>N</t>
        </is>
      </c>
      <c r="BK418" s="77">
        <f>IF('BBG Verify'!K418="","not filed — run on terminal",'BBG Verify'!K418)</f>
        <v/>
      </c>
      <c r="BL418" s="63" t="inlineStr">
        <is>
          <t>N/A</t>
        </is>
      </c>
      <c r="BM418" s="63" t="inlineStr">
        <is>
          <t>N/A</t>
        </is>
      </c>
      <c r="BN418" s="63" t="inlineStr">
        <is>
          <t>N/A</t>
        </is>
      </c>
      <c r="BO418" s="63" t="inlineStr">
        <is>
          <t>N/A</t>
        </is>
      </c>
      <c r="BP418" s="63" t="inlineStr">
        <is>
          <t>N/A</t>
        </is>
      </c>
      <c r="BQ418" s="63" t="inlineStr">
        <is>
          <t>N/A</t>
        </is>
      </c>
      <c r="BR418" s="76" t="inlineStr">
        <is>
          <t>Huatai Financial Holdings (Hong Kong) Limited</t>
        </is>
      </c>
      <c r="BS418" s="63" t="inlineStr">
        <is>
          <t>Huatai Financial Holdings (Hong Kong) Limited</t>
        </is>
      </c>
      <c r="BT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U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V418" s="78">
        <f>HYPERLINK("https://www1.hkexnews.hk/listedco/listconews/sehk/2025/1230/2025123000019.pdf","prospectus")</f>
        <v/>
      </c>
      <c r="BW418" s="78">
        <f>HYPERLINK("https://www1.hkexnews.hk/listedco/listconews/sehk/2026/0107/2026010701802.pdf","allotment")</f>
        <v/>
      </c>
      <c r="BX418" s="63" t="n"/>
      <c r="BY418" s="76" t="n"/>
      <c r="BZ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72" t="n"/>
      <c r="AC419" s="66" t="n"/>
      <c r="AD419" s="72" t="n"/>
      <c r="AE419" s="63" t="n"/>
      <c r="AF419" s="63" t="inlineStr">
        <is>
          <t>full</t>
        </is>
      </c>
      <c r="AG419" s="63" t="n"/>
      <c r="AH419" s="63" t="inlineStr">
        <is>
          <t>Morgan Stanley Asia Limited</t>
        </is>
      </c>
      <c r="AI419" s="63" t="inlineStr">
        <is>
          <t>Morgan Stanley</t>
        </is>
      </c>
      <c r="AJ419" s="73" t="n">
        <v>30.9</v>
      </c>
      <c r="AK419" s="72" t="n">
        <v>36.45</v>
      </c>
      <c r="AL419" s="72" t="n">
        <v>-4.07</v>
      </c>
      <c r="AM419" s="72" t="n">
        <v>55.53</v>
      </c>
      <c r="AN419" s="72" t="n">
        <v>37.72</v>
      </c>
      <c r="AO419" s="72" t="n">
        <v>24.88</v>
      </c>
      <c r="AP419" s="72" t="n">
        <v>18.82</v>
      </c>
      <c r="AQ419" s="72" t="n">
        <v>5.21</v>
      </c>
      <c r="AR419" s="72" t="n">
        <v>-4.6</v>
      </c>
      <c r="AS419" s="72" t="n">
        <v>54.65</v>
      </c>
      <c r="AT419" s="72" t="n">
        <v>44.87</v>
      </c>
      <c r="AU419" s="72" t="n">
        <v>14.69</v>
      </c>
      <c r="AV419" s="72" t="n">
        <v>11.68</v>
      </c>
      <c r="AW419" s="72" t="n">
        <v>-7.15</v>
      </c>
      <c r="AX419" s="72" t="n">
        <v>-6.47</v>
      </c>
      <c r="AY419" s="63" t="inlineStr">
        <is>
          <t>China Biotech ETF (HS biotech proxy)</t>
        </is>
      </c>
      <c r="AZ419" s="72" t="n">
        <v>-16.37</v>
      </c>
      <c r="BA419" s="64" t="inlineStr">
        <is>
          <t>2026-08-28</t>
        </is>
      </c>
      <c r="BB419" s="65" t="n">
        <v>33.3</v>
      </c>
      <c r="BC419" s="68" t="n">
        <v>-145.8</v>
      </c>
      <c r="BD419" s="63" t="inlineStr">
        <is>
          <t>N</t>
        </is>
      </c>
      <c r="BE419" s="63" t="inlineStr">
        <is>
          <t>n/m</t>
        </is>
      </c>
      <c r="BF419" s="74" t="n"/>
      <c r="BG419" s="74" t="n"/>
      <c r="BH419" s="74" t="n">
        <v>503.5</v>
      </c>
      <c r="BI419" s="75">
        <f>IF('BBG Verify'!S419="","not filed — run on terminal",'BBG Verify'!S419)</f>
        <v/>
      </c>
      <c r="BJ419" s="76" t="inlineStr">
        <is>
          <t>N</t>
        </is>
      </c>
      <c r="BK419" s="77">
        <f>IF('BBG Verify'!K419="","not filed — run on terminal",'BBG Verify'!K419)</f>
        <v/>
      </c>
      <c r="BL419" s="63" t="inlineStr">
        <is>
          <t>N/A</t>
        </is>
      </c>
      <c r="BM419" s="63" t="inlineStr">
        <is>
          <t>N/A</t>
        </is>
      </c>
      <c r="BN419" s="63" t="inlineStr">
        <is>
          <t>N/A</t>
        </is>
      </c>
      <c r="BO419" s="63" t="inlineStr">
        <is>
          <t>N/A</t>
        </is>
      </c>
      <c r="BP419" s="63" t="inlineStr">
        <is>
          <t>N/A</t>
        </is>
      </c>
      <c r="BQ419" s="63" t="inlineStr">
        <is>
          <t>N/A</t>
        </is>
      </c>
      <c r="BR419" s="76" t="inlineStr">
        <is>
          <t>Morgan Stanley Asia Limited; GF Capital (Hong Kong) Limited</t>
        </is>
      </c>
      <c r="BS419" s="63" t="inlineStr">
        <is>
          <t>Morgan Stanley Asia Limited; GF Capital (Hong Kong) Limited</t>
        </is>
      </c>
      <c r="BT419" s="63" t="inlineStr">
        <is>
          <t>China International Capital Corporation Hong Kong Securities Limited; CLSA Limited; CMBC Securities Company Limited; GF Securities (Hong Kong) Brokerage Limited; Morgan Stanley Asia Limited</t>
        </is>
      </c>
      <c r="BU419" s="63" t="inlineStr">
        <is>
          <t>China International Capital Corporation Hong Kong Securities Limited; CLSA Limited; CMBC Securities Company Limited; GF Securities (Hong Kong) Brokerage Limited; Morgan Stanley Asia Limited</t>
        </is>
      </c>
      <c r="BV419" s="78">
        <f>HYPERLINK("https://www1.hkexnews.hk/listedco/listconews/sehk/2025/1230/2025123000029.pdf","prospectus")</f>
        <v/>
      </c>
      <c r="BW419" s="78">
        <f>HYPERLINK("https://www1.hkexnews.hk/listedco/listconews/sehk/2026/0107/2026010701900.pdf","allotment")</f>
        <v/>
      </c>
      <c r="BX419" s="78">
        <f>HYPERLINK("https://www1.hkexnews.hk/listedco/listconews/sehk/2026/0204/2026020402144.pdf","stabilisation")</f>
        <v/>
      </c>
      <c r="BY419" s="76" t="n"/>
      <c r="BZ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no grey-market headline on file for this deal — AAStocks publishes one per listing but keeps only recent items on the stock's news page, and no public archive of past evening sessions exists; captured from this run onward</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72" t="n"/>
      <c r="AC420" s="66" t="n"/>
      <c r="AD420" s="72" t="n"/>
      <c r="AE420" s="63" t="n"/>
      <c r="AF420" s="63" t="n"/>
      <c r="AG420" s="63" t="inlineStr">
        <is>
          <t>2026-02-05</t>
        </is>
      </c>
      <c r="AH420" s="63" t="inlineStr">
        <is>
          <t>China International Capital Corporation Hong Kong Securities Limited</t>
        </is>
      </c>
      <c r="AI420" s="63" t="inlineStr">
        <is>
          <t>China International</t>
        </is>
      </c>
      <c r="AJ420" s="73" t="n">
        <v>109.09</v>
      </c>
      <c r="AK420" s="72" t="n">
        <v>42.67</v>
      </c>
      <c r="AL420" s="72" t="n">
        <v>46.55</v>
      </c>
      <c r="AM420" s="72" t="n">
        <v>165.45</v>
      </c>
      <c r="AN420" s="72" t="n">
        <v>212.12</v>
      </c>
      <c r="AO420" s="72" t="n">
        <v>445.76</v>
      </c>
      <c r="AP420" s="72" t="n">
        <v>26.95</v>
      </c>
      <c r="AQ420" s="72" t="n">
        <v>49.28</v>
      </c>
      <c r="AR420" s="72" t="n">
        <v>161.02</v>
      </c>
      <c r="AS420" s="72" t="n">
        <v>162.84</v>
      </c>
      <c r="AT420" s="72" t="n">
        <v>216.71</v>
      </c>
      <c r="AU420" s="72" t="n">
        <v>455.86</v>
      </c>
      <c r="AV420" s="72" t="n">
        <v>54.04</v>
      </c>
      <c r="AW420" s="72" t="n">
        <v>-4.59</v>
      </c>
      <c r="AX420" s="72" t="n">
        <v>-4.76</v>
      </c>
      <c r="AY420" s="63" t="inlineStr">
        <is>
          <t>HSTECH (Hang Seng TECH ETF)</t>
        </is>
      </c>
      <c r="AZ420" s="72" t="n">
        <v>82.06</v>
      </c>
      <c r="BA420" s="64" t="inlineStr">
        <is>
          <t>2026-08-28</t>
        </is>
      </c>
      <c r="BB420" s="65" t="n">
        <v>616.2</v>
      </c>
      <c r="BC420" s="68" t="n">
        <v>-14598.6</v>
      </c>
      <c r="BD420" s="63" t="inlineStr">
        <is>
          <t>N</t>
        </is>
      </c>
      <c r="BE420" s="63" t="inlineStr">
        <is>
          <t>n/m</t>
        </is>
      </c>
      <c r="BF420" s="74" t="n"/>
      <c r="BG420" s="74" t="n"/>
      <c r="BH420" s="74" t="n">
        <v>80.40000000000001</v>
      </c>
      <c r="BI420" s="75">
        <f>IF('BBG Verify'!S420="","not filed — run on terminal",'BBG Verify'!S420)</f>
        <v/>
      </c>
      <c r="BJ420" s="76" t="inlineStr">
        <is>
          <t>N</t>
        </is>
      </c>
      <c r="BK420" s="77">
        <f>IF('BBG Verify'!K420="","not filed — run on terminal",'BBG Verify'!K420)</f>
        <v/>
      </c>
      <c r="BL420" s="63" t="inlineStr">
        <is>
          <t>N/A</t>
        </is>
      </c>
      <c r="BM420" s="63" t="inlineStr">
        <is>
          <t>N/A</t>
        </is>
      </c>
      <c r="BN420" s="63" t="inlineStr">
        <is>
          <t>N/A</t>
        </is>
      </c>
      <c r="BO420" s="63" t="inlineStr">
        <is>
          <t>N/A</t>
        </is>
      </c>
      <c r="BP420" s="63" t="inlineStr">
        <is>
          <t>N/A</t>
        </is>
      </c>
      <c r="BQ420" s="63" t="inlineStr">
        <is>
          <t>N/A</t>
        </is>
      </c>
      <c r="BR420" s="76" t="inlineStr">
        <is>
          <t>CICC</t>
        </is>
      </c>
      <c r="BS420" s="63" t="inlineStr">
        <is>
          <t>China International Capital Corporation Hong Kong Securities Limited; UBS Securities Hong Kong Limited</t>
        </is>
      </c>
      <c r="BT420" s="63" t="inlineStr">
        <is>
          <t>China International Capital Corporation Hong Kong Securities Limited; Futu Securities International (Hong Kong) Limited; Goldman Sachs (Asia) L.L.C.; Morgan Stanley Asia Limited; Tiger Brokers (HK) Global Limited; UBS AG Hong Kong Branch</t>
        </is>
      </c>
      <c r="BU420" s="63" t="inlineStr">
        <is>
          <t>China International Capital Corporation Hong Kong Securities Limited; Futu Securities International (Hong Kong) Limited; Goldman Sachs (Asia) L.L.C.; Morgan Stanley Asia Limited; Tiger Brokers (HK) Global Limited; UBS AG Hong Kong Branch</t>
        </is>
      </c>
      <c r="BV420" s="63" t="n"/>
      <c r="BW420" s="78">
        <f>HYPERLINK("https://www1.hkexnews.hk/listedco/listconews/sehk/2026/0108/2026010801342.pdf","allotment")</f>
        <v/>
      </c>
      <c r="BX420" s="63" t="n"/>
      <c r="BY420" s="76" t="n"/>
      <c r="BZ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72" t="n"/>
      <c r="AC421" s="66" t="n"/>
      <c r="AD421" s="72" t="n"/>
      <c r="AE421" s="63" t="n"/>
      <c r="AF421" s="63" t="inlineStr">
        <is>
          <t>full</t>
        </is>
      </c>
      <c r="AG421" s="63" t="inlineStr">
        <is>
          <t>2026-02-05</t>
        </is>
      </c>
      <c r="AH421" s="63" t="inlineStr">
        <is>
          <t>China International Capital Corporation Hong Kong Securities Limited</t>
        </is>
      </c>
      <c r="AI421" s="63" t="inlineStr">
        <is>
          <t>China International</t>
        </is>
      </c>
      <c r="AJ421" s="73" t="n">
        <v>41.62</v>
      </c>
      <c r="AK421" s="72" t="n">
        <v>29.38</v>
      </c>
      <c r="AL421" s="72" t="n">
        <v>9.460000000000001</v>
      </c>
      <c r="AM421" s="72" t="n">
        <v>30.76</v>
      </c>
      <c r="AN421" s="72" t="n">
        <v>18.25</v>
      </c>
      <c r="AO421" s="72" t="n">
        <v>14.63</v>
      </c>
      <c r="AP421" s="72" t="n">
        <v>-7.67</v>
      </c>
      <c r="AQ421" s="72" t="n">
        <v>-16.5</v>
      </c>
      <c r="AR421" s="72" t="n">
        <v>-19.06</v>
      </c>
      <c r="AS421" s="72" t="n">
        <v>29.59</v>
      </c>
      <c r="AT421" s="72" t="n">
        <v>23.78</v>
      </c>
      <c r="AU421" s="72" t="n">
        <v>2.94</v>
      </c>
      <c r="AV421" s="72" t="n">
        <v>-9.67</v>
      </c>
      <c r="AW421" s="72" t="n">
        <v>-5.53</v>
      </c>
      <c r="AX421" s="72" t="n">
        <v>-6.83</v>
      </c>
      <c r="AY421" s="63" t="inlineStr">
        <is>
          <t>China Biotech ETF (HS biotech proxy)</t>
        </is>
      </c>
      <c r="AZ421" s="72" t="n">
        <v>6.61</v>
      </c>
      <c r="BA421" s="64" t="inlineStr">
        <is>
          <t>2026-08-28</t>
        </is>
      </c>
      <c r="BB421" s="65" t="n">
        <v>72.90000000000001</v>
      </c>
      <c r="BC421" s="68" t="n">
        <v>-155.7</v>
      </c>
      <c r="BD421" s="63" t="inlineStr">
        <is>
          <t>N</t>
        </is>
      </c>
      <c r="BE421" s="63" t="inlineStr">
        <is>
          <t>n/m</t>
        </is>
      </c>
      <c r="BF421" s="74" t="n"/>
      <c r="BG421" s="74" t="n"/>
      <c r="BH421" s="74" t="n">
        <v>128.6</v>
      </c>
      <c r="BI421" s="75">
        <f>IF('BBG Verify'!S421="","not filed — run on terminal",'BBG Verify'!S421)</f>
        <v/>
      </c>
      <c r="BJ421" s="76" t="inlineStr">
        <is>
          <t>N</t>
        </is>
      </c>
      <c r="BK421" s="77">
        <f>IF('BBG Verify'!K421="","not filed — run on terminal",'BBG Verify'!K421)</f>
        <v/>
      </c>
      <c r="BL421" s="63" t="inlineStr">
        <is>
          <t>N/A</t>
        </is>
      </c>
      <c r="BM421" s="63" t="inlineStr">
        <is>
          <t>N/A</t>
        </is>
      </c>
      <c r="BN421" s="63" t="inlineStr">
        <is>
          <t>N/A</t>
        </is>
      </c>
      <c r="BO421" s="63" t="inlineStr">
        <is>
          <t>N/A</t>
        </is>
      </c>
      <c r="BP421" s="63" t="inlineStr">
        <is>
          <t>N/A</t>
        </is>
      </c>
      <c r="BQ421" s="63" t="inlineStr">
        <is>
          <t>N/A</t>
        </is>
      </c>
      <c r="BR421" s="76" t="inlineStr">
        <is>
          <t>Citigroup Global Markets Asia Limited</t>
        </is>
      </c>
      <c r="BS421" s="63" t="inlineStr">
        <is>
          <t>China International Capital Corporation Hong Kong Securities Limited; Citigroup Global Markets Asia Limited</t>
        </is>
      </c>
      <c r="BT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U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V421" s="78">
        <f>HYPERLINK("https://www1.hkexnews.hk/listedco/listconews/sehk/2025/1231/2025123100037.pdf","prospectus")</f>
        <v/>
      </c>
      <c r="BW421" s="78">
        <f>HYPERLINK("https://www1.hkexnews.hk/listedco/listconews/sehk/2026/0108/2026010801352.pdf","allotment")</f>
        <v/>
      </c>
      <c r="BX421" s="78">
        <f>HYPERLINK("https://www1.hkexnews.hk/listedco/listconews/sehk/2026/0205/2026020502414.pdf","stabilisation")</f>
        <v/>
      </c>
      <c r="BY421" s="76" t="n"/>
      <c r="BZ421"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72" t="n"/>
      <c r="AC422" s="66" t="n"/>
      <c r="AD422" s="72" t="n"/>
      <c r="AE422" s="63" t="n"/>
      <c r="AF422" s="63" t="n"/>
      <c r="AG422" s="63" t="inlineStr">
        <is>
          <t>2026-02-05</t>
        </is>
      </c>
      <c r="AH422" s="63" t="inlineStr">
        <is>
          <t>Huatai Financial Holdings</t>
        </is>
      </c>
      <c r="AI422" s="63" t="inlineStr">
        <is>
          <t>Huatai</t>
        </is>
      </c>
      <c r="AJ422" s="73" t="n">
        <v>26</v>
      </c>
      <c r="AK422" s="72" t="n">
        <v>26.67</v>
      </c>
      <c r="AL422" s="72" t="n">
        <v>-0.53</v>
      </c>
      <c r="AM422" s="72" t="n">
        <v>31.27</v>
      </c>
      <c r="AN422" s="72" t="n">
        <v>25.53</v>
      </c>
      <c r="AO422" s="72" t="n">
        <v>-12.67</v>
      </c>
      <c r="AP422" s="72" t="n">
        <v>4.18</v>
      </c>
      <c r="AQ422" s="72" t="n">
        <v>-0.37</v>
      </c>
      <c r="AR422" s="72" t="n">
        <v>-30.69</v>
      </c>
      <c r="AS422" s="72" t="n">
        <v>28.08</v>
      </c>
      <c r="AT422" s="72" t="n">
        <v>24.65</v>
      </c>
      <c r="AU422" s="72" t="n">
        <v>-9.619999999999999</v>
      </c>
      <c r="AV422" s="72" t="n">
        <v>-0.86</v>
      </c>
      <c r="AW422" s="72" t="n">
        <v>0.88</v>
      </c>
      <c r="AX422" s="72" t="n">
        <v>0.49</v>
      </c>
      <c r="AY422" s="63" t="inlineStr">
        <is>
          <t>Hang Seng Commerce &amp; Industry sub-index</t>
        </is>
      </c>
      <c r="AZ422" s="72" t="n">
        <v>-42.27</v>
      </c>
      <c r="BA422" s="64" t="inlineStr">
        <is>
          <t>2026-08-28</t>
        </is>
      </c>
      <c r="BB422" s="65" t="n">
        <v>2498.2</v>
      </c>
      <c r="BC422" s="68" t="n">
        <v>361.7</v>
      </c>
      <c r="BD422" s="63" t="inlineStr">
        <is>
          <t>Y</t>
        </is>
      </c>
      <c r="BE422" s="74" t="n">
        <v>11.4</v>
      </c>
      <c r="BF422" s="74" t="n">
        <v>11.4</v>
      </c>
      <c r="BG422" s="74" t="n">
        <v>5</v>
      </c>
      <c r="BH422" s="74" t="n"/>
      <c r="BI422" s="75">
        <f>IF('BBG Verify'!S422="","not filed — run on terminal",'BBG Verify'!S422)</f>
        <v/>
      </c>
      <c r="BJ422" s="76" t="inlineStr">
        <is>
          <t>N</t>
        </is>
      </c>
      <c r="BK422" s="77">
        <f>IF('BBG Verify'!K422="","not filed — run on terminal",'BBG Verify'!K422)</f>
        <v/>
      </c>
      <c r="BL422" s="63" t="inlineStr">
        <is>
          <t>N/A</t>
        </is>
      </c>
      <c r="BM422" s="63" t="inlineStr">
        <is>
          <t>N/A</t>
        </is>
      </c>
      <c r="BN422" s="63" t="inlineStr">
        <is>
          <t>N/A</t>
        </is>
      </c>
      <c r="BO422" s="63" t="inlineStr">
        <is>
          <t>N/A</t>
        </is>
      </c>
      <c r="BP422" s="63" t="inlineStr">
        <is>
          <t>N/A</t>
        </is>
      </c>
      <c r="BQ422" s="63" t="inlineStr">
        <is>
          <t>N/A</t>
        </is>
      </c>
      <c r="BR422" s="76" t="n"/>
      <c r="BS422" s="63" t="inlineStr">
        <is>
          <t>Huatai Financial Holdings (Hong Kong) Limited</t>
        </is>
      </c>
      <c r="BT422" s="63" t="inlineStr">
        <is>
          <t>ABCI Securities Company Limited; BOCI Asia Limited; CLSA Limited; Futu Securities International (Hong Kong) Limited; Huatai Financial Holdings (Hong Kong) Limited; Tiger Brokers (HK) Global Limited</t>
        </is>
      </c>
      <c r="BU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V422" s="63" t="n"/>
      <c r="BW422" s="78">
        <f>HYPERLINK("https://www1.hkexnews.hk/listedco/listconews/sehk/2026/0108/2026010801368.pdf","allotment")</f>
        <v/>
      </c>
      <c r="BX422" s="63" t="n"/>
      <c r="BY422" s="76" t="n"/>
      <c r="BZ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72" t="n"/>
      <c r="AC423" s="66" t="n"/>
      <c r="AD423" s="72" t="n"/>
      <c r="AE423" s="63" t="n"/>
      <c r="AF423" s="63" t="n"/>
      <c r="AG423" s="63" t="inlineStr">
        <is>
          <t>2026-02-06</t>
        </is>
      </c>
      <c r="AH423" s="63" t="inlineStr">
        <is>
          <t>China International Capital Corporation Hong Kong Securities Limited</t>
        </is>
      </c>
      <c r="AI423" s="63" t="inlineStr">
        <is>
          <t>China International</t>
        </is>
      </c>
      <c r="AJ423" s="73" t="n">
        <v>16.22</v>
      </c>
      <c r="AK423" s="72" t="n">
        <v>3.05</v>
      </c>
      <c r="AL423" s="72" t="n">
        <v>12.78</v>
      </c>
      <c r="AM423" s="72" t="n">
        <v>11.16</v>
      </c>
      <c r="AN423" s="72" t="n">
        <v>-0.1</v>
      </c>
      <c r="AO423" s="72" t="n">
        <v>-25.05</v>
      </c>
      <c r="AP423" s="72" t="n">
        <v>-4.35</v>
      </c>
      <c r="AQ423" s="72" t="n">
        <v>-14.04</v>
      </c>
      <c r="AR423" s="72" t="n">
        <v>-35.51</v>
      </c>
      <c r="AS423" s="72" t="n">
        <v>9.99</v>
      </c>
      <c r="AT423" s="72" t="n">
        <v>4.21</v>
      </c>
      <c r="AU423" s="72" t="n">
        <v>-13.75</v>
      </c>
      <c r="AV423" s="72" t="n">
        <v>-6.82</v>
      </c>
      <c r="AW423" s="72" t="n">
        <v>-4.31</v>
      </c>
      <c r="AX423" s="72" t="n">
        <v>-7.22</v>
      </c>
      <c r="AY423" s="63" t="inlineStr">
        <is>
          <t>HSTECH (Hang Seng TECH ETF)</t>
        </is>
      </c>
      <c r="AZ423" s="72" t="n">
        <v>-30.77</v>
      </c>
      <c r="BA423" s="64" t="inlineStr">
        <is>
          <t>2026-08-31</t>
        </is>
      </c>
      <c r="BB423" s="65" t="n">
        <v>31740.3</v>
      </c>
      <c r="BC423" s="68" t="n">
        <v>4450</v>
      </c>
      <c r="BD423" s="63" t="inlineStr">
        <is>
          <t>Y</t>
        </is>
      </c>
      <c r="BE423" s="74" t="n">
        <v>29.6</v>
      </c>
      <c r="BF423" s="74" t="n"/>
      <c r="BG423" s="74" t="n"/>
      <c r="BH423" s="74" t="n">
        <v>4.2</v>
      </c>
      <c r="BI423" s="75">
        <f>IF('BBG Verify'!S423="","not filed — run on terminal",'BBG Verify'!S423)</f>
        <v/>
      </c>
      <c r="BJ423" s="76" t="inlineStr">
        <is>
          <t>Y</t>
        </is>
      </c>
      <c r="BK423" s="63" t="inlineStr">
        <is>
          <t>603501.SS</t>
        </is>
      </c>
      <c r="BL423" s="72" t="n">
        <v>40</v>
      </c>
      <c r="BM423" s="66" t="n">
        <v>146.7186</v>
      </c>
      <c r="BN423" s="80" t="n">
        <v>0.3378</v>
      </c>
      <c r="BO423" s="68" t="n">
        <v>122209.4</v>
      </c>
      <c r="BP423" s="75">
        <f>IF('BBG Verify'!Q423="","run on terminal",'BBG Verify'!Q423)</f>
        <v/>
      </c>
      <c r="BQ423" s="75">
        <f>IF('BBG Verify'!R423="","run on terminal",'BBG Verify'!R423)</f>
        <v/>
      </c>
      <c r="BR423" s="76" t="inlineStr">
        <is>
          <t>CICC; Ping An of China Capital (Hong Kong); GF Capital (Hong Kong)</t>
        </is>
      </c>
      <c r="BS423" s="63" t="inlineStr">
        <is>
          <t>China International Capital Corporation Hong Kong Securities Limited; UBS Securities Hong Kong Limited; GF Capital (Hong Kong) Limited; Ping An of China Capital (Hong Kong) Company Limited</t>
        </is>
      </c>
      <c r="BT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V423" s="63" t="n"/>
      <c r="BW423" s="78">
        <f>HYPERLINK("https://www1.hkexnews.hk/listedco/listconews/sehk/2026/0109/2026010901581.pdf","allotment")</f>
        <v/>
      </c>
      <c r="BX423" s="63" t="n"/>
      <c r="BY423" s="76" t="n"/>
      <c r="BZ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72" t="n">
        <v>47.4</v>
      </c>
      <c r="AC424" s="66" t="n">
        <v>18.07</v>
      </c>
      <c r="AD424" s="72" t="n">
        <v>-31.93</v>
      </c>
      <c r="AE424" s="63" t="inlineStr">
        <is>
          <t>Y</t>
        </is>
      </c>
      <c r="AF424" s="63" t="n"/>
      <c r="AG424" s="63" t="n"/>
      <c r="AH424" s="63" t="n"/>
      <c r="AI424" s="63" t="n"/>
      <c r="AJ424" s="73" t="n">
        <v>0.33</v>
      </c>
      <c r="AK424" s="72" t="n">
        <v>59.71</v>
      </c>
      <c r="AL424" s="72" t="n">
        <v>-37.18</v>
      </c>
      <c r="AM424" s="72" t="n">
        <v>-18.76</v>
      </c>
      <c r="AN424" s="72" t="n">
        <v>-30.51</v>
      </c>
      <c r="AO424" s="72" t="n">
        <v>-42.09</v>
      </c>
      <c r="AP424" s="72" t="n">
        <v>-19.03</v>
      </c>
      <c r="AQ424" s="72" t="n">
        <v>-30.74</v>
      </c>
      <c r="AR424" s="72" t="n">
        <v>-42.28</v>
      </c>
      <c r="AS424" s="72" t="n">
        <v>-17.31</v>
      </c>
      <c r="AT424" s="72" t="n">
        <v>-30.22</v>
      </c>
      <c r="AU424" s="72" t="n">
        <v>-36.03</v>
      </c>
      <c r="AV424" s="72" t="n">
        <v>-29.76</v>
      </c>
      <c r="AW424" s="72" t="n">
        <v>-0.29</v>
      </c>
      <c r="AX424" s="72" t="n">
        <v>-0.98</v>
      </c>
      <c r="AY424" s="63" t="inlineStr">
        <is>
          <t>Hang Seng Commerce &amp; Industry sub-index</t>
        </is>
      </c>
      <c r="AZ424" s="72" t="n">
        <v>-66.23</v>
      </c>
      <c r="BA424" s="64" t="inlineStr">
        <is>
          <t>2026-08-28</t>
        </is>
      </c>
      <c r="BB424" s="65" t="n">
        <v>256.9</v>
      </c>
      <c r="BC424" s="68" t="n">
        <v>91.2</v>
      </c>
      <c r="BD424" s="63" t="inlineStr">
        <is>
          <t>Y</t>
        </is>
      </c>
      <c r="BE424" s="74" t="n">
        <v>13.2</v>
      </c>
      <c r="BF424" s="74" t="n">
        <v>10.8</v>
      </c>
      <c r="BG424" s="74" t="n">
        <v>3.5</v>
      </c>
      <c r="BH424" s="74" t="n">
        <v>4.7</v>
      </c>
      <c r="BI424" s="75">
        <f>IF('BBG Verify'!S424="","not filed — run on terminal",'BBG Verify'!S424)</f>
        <v/>
      </c>
      <c r="BJ424" s="76" t="inlineStr">
        <is>
          <t>N</t>
        </is>
      </c>
      <c r="BK424" s="77">
        <f>IF('BBG Verify'!K424="","not filed — run on terminal",'BBG Verify'!K424)</f>
        <v/>
      </c>
      <c r="BL424" s="63" t="inlineStr">
        <is>
          <t>N/A</t>
        </is>
      </c>
      <c r="BM424" s="63" t="inlineStr">
        <is>
          <t>N/A</t>
        </is>
      </c>
      <c r="BN424" s="63" t="inlineStr">
        <is>
          <t>N/A</t>
        </is>
      </c>
      <c r="BO424" s="63" t="inlineStr">
        <is>
          <t>N/A</t>
        </is>
      </c>
      <c r="BP424" s="63" t="inlineStr">
        <is>
          <t>N/A</t>
        </is>
      </c>
      <c r="BQ424" s="63" t="inlineStr">
        <is>
          <t>N/A</t>
        </is>
      </c>
      <c r="BR424" s="76" t="inlineStr">
        <is>
          <t>CCB International Capital Limited; ABCI Capital Limited</t>
        </is>
      </c>
      <c r="BS424" s="63" t="inlineStr">
        <is>
          <t>CCB International Capital Limited; ABCI Capital Limited</t>
        </is>
      </c>
      <c r="BT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U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V424" s="78">
        <f>HYPERLINK("https://www1.hkexnews.hk/listedco/listconews/sehk/2025/1231/2025123100085.pdf","prospectus")</f>
        <v/>
      </c>
      <c r="BW424" s="78">
        <f>HYPERLINK("https://www1.hkexnews.hk/listedco/listconews/sehk/2026/0112/2026011201301.pdf","allotment")</f>
        <v/>
      </c>
      <c r="BX424" s="63" t="n"/>
      <c r="BY424" s="76" t="n"/>
      <c r="BZ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72" t="n"/>
      <c r="AC425" s="66" t="n"/>
      <c r="AD425" s="72" t="n"/>
      <c r="AE425" s="63" t="n"/>
      <c r="AF425" s="63" t="inlineStr">
        <is>
          <t>full</t>
        </is>
      </c>
      <c r="AG425" s="63" t="inlineStr">
        <is>
          <t>2026-02-07</t>
        </is>
      </c>
      <c r="AH425" s="63" t="inlineStr">
        <is>
          <t>Huatai Financial Holdings</t>
        </is>
      </c>
      <c r="AI425" s="63" t="inlineStr">
        <is>
          <t>Huatai</t>
        </is>
      </c>
      <c r="AJ425" s="73" t="n">
        <v>37.53</v>
      </c>
      <c r="AK425" s="72" t="n">
        <v>45.06</v>
      </c>
      <c r="AL425" s="72" t="n">
        <v>-5.19</v>
      </c>
      <c r="AM425" s="72" t="n">
        <v>88.89</v>
      </c>
      <c r="AN425" s="72" t="n">
        <v>82.72</v>
      </c>
      <c r="AO425" s="72" t="n">
        <v>161.11</v>
      </c>
      <c r="AP425" s="72" t="n">
        <v>37.34</v>
      </c>
      <c r="AQ425" s="72" t="n">
        <v>32.86</v>
      </c>
      <c r="AR425" s="72" t="n">
        <v>89.86</v>
      </c>
      <c r="AS425" s="72" t="n">
        <v>91.94</v>
      </c>
      <c r="AT425" s="72" t="n">
        <v>88.98999999999999</v>
      </c>
      <c r="AU425" s="72" t="n">
        <v>174.87</v>
      </c>
      <c r="AV425" s="72" t="n">
        <v>39.13</v>
      </c>
      <c r="AW425" s="72" t="n">
        <v>-6.27</v>
      </c>
      <c r="AX425" s="72" t="n">
        <v>-6.27</v>
      </c>
      <c r="AY425" s="63" t="inlineStr">
        <is>
          <t>HSTECH (Hang Seng TECH ETF)</t>
        </is>
      </c>
      <c r="AZ425" s="72" t="n">
        <v>200</v>
      </c>
      <c r="BA425" s="64" t="inlineStr">
        <is>
          <t>2026-08-28</t>
        </is>
      </c>
      <c r="BB425" s="65" t="n">
        <v>8091.6</v>
      </c>
      <c r="BC425" s="68" t="n">
        <v>1211</v>
      </c>
      <c r="BD425" s="63" t="inlineStr">
        <is>
          <t>Y</t>
        </is>
      </c>
      <c r="BE425" s="74" t="n">
        <v>93.8</v>
      </c>
      <c r="BF425" s="74" t="n">
        <v>80.3</v>
      </c>
      <c r="BG425" s="74" t="n">
        <v>191.8</v>
      </c>
      <c r="BH425" s="74" t="n">
        <v>14</v>
      </c>
      <c r="BI425" s="75">
        <f>IF('BBG Verify'!S425="","not filed — run on terminal",'BBG Verify'!S425)</f>
        <v/>
      </c>
      <c r="BJ425" s="76" t="inlineStr">
        <is>
          <t>Y</t>
        </is>
      </c>
      <c r="BK425" s="63" t="inlineStr">
        <is>
          <t>603986.SS</t>
        </is>
      </c>
      <c r="BL425" s="72" t="n">
        <v>80.54000000000001</v>
      </c>
      <c r="BM425" s="66" t="n">
        <v>292.4683</v>
      </c>
      <c r="BN425" s="80" t="n">
        <v>-0.0267</v>
      </c>
      <c r="BO425" s="68" t="n">
        <v>332461.5</v>
      </c>
      <c r="BP425" s="75">
        <f>IF('BBG Verify'!Q425="","run on terminal",'BBG Verify'!Q425)</f>
        <v/>
      </c>
      <c r="BQ425" s="75">
        <f>IF('BBG Verify'!R425="","run on terminal",'BBG Verify'!R425)</f>
        <v/>
      </c>
      <c r="BR425" s="76" t="inlineStr">
        <is>
          <t>China International Capital Corporation Hong Kong Securities Limited; Huatai Financial Holdings (Hong Kong) Limited</t>
        </is>
      </c>
      <c r="BS425" s="63"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78">
        <f>HYPERLINK("https://www1.hkexnews.hk/listedco/listconews/sehk/2025/1231/2025123100035.pdf","prospectus")</f>
        <v/>
      </c>
      <c r="BW425" s="78">
        <f>HYPERLINK("https://www1.hkexnews.hk/listedco/listconews/sehk/2026/0112/2026011201539.pdf","allotment")</f>
        <v/>
      </c>
      <c r="BX425" s="78">
        <f>HYPERLINK("https://www1.hkexnews.hk/listedco/listconews/sehk/2026/0208/2026020800007.pdf","stabilisation")</f>
        <v/>
      </c>
      <c r="BY425" s="76" t="n"/>
      <c r="BZ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72" t="n"/>
      <c r="AC426" s="66" t="n"/>
      <c r="AD426" s="72" t="n"/>
      <c r="AE426" s="63" t="n"/>
      <c r="AF426" s="63" t="inlineStr">
        <is>
          <t>lapsed</t>
        </is>
      </c>
      <c r="AG426" s="63" t="inlineStr">
        <is>
          <t>2026-02-18</t>
        </is>
      </c>
      <c r="AH426" s="63" t="inlineStr">
        <is>
          <t>Citigroup Global Markets Asia Limited</t>
        </is>
      </c>
      <c r="AI426" s="63" t="inlineStr">
        <is>
          <t>Citigroup</t>
        </is>
      </c>
      <c r="AJ426" s="73" t="n">
        <v>3.55</v>
      </c>
      <c r="AK426" s="72" t="n">
        <v>12.9</v>
      </c>
      <c r="AL426" s="72" t="n">
        <v>-8.279999999999999</v>
      </c>
      <c r="AM426" s="72" t="n">
        <v>-1.61</v>
      </c>
      <c r="AN426" s="72" t="n">
        <v>-3.68</v>
      </c>
      <c r="AO426" s="72" t="n">
        <v>-29.1</v>
      </c>
      <c r="AP426" s="72" t="n">
        <v>-4.98</v>
      </c>
      <c r="AQ426" s="72" t="n">
        <v>-6.98</v>
      </c>
      <c r="AR426" s="72" t="n">
        <v>-31.53</v>
      </c>
      <c r="AS426" s="72" t="n">
        <v>-3.21</v>
      </c>
      <c r="AT426" s="72" t="n">
        <v>4.86</v>
      </c>
      <c r="AU426" s="72" t="n">
        <v>-14.69</v>
      </c>
      <c r="AV426" s="72" t="n">
        <v>1.89</v>
      </c>
      <c r="AW426" s="72" t="n">
        <v>-8.539999999999999</v>
      </c>
      <c r="AX426" s="72" t="n">
        <v>-8.869999999999999</v>
      </c>
      <c r="AY426" s="63" t="inlineStr">
        <is>
          <t>HSTECH (Hang Seng TECH ETF)</t>
        </is>
      </c>
      <c r="AZ426" s="72" t="n">
        <v>-27.16</v>
      </c>
      <c r="BA426" s="64" t="inlineStr">
        <is>
          <t>2026-08-28</t>
        </is>
      </c>
      <c r="BB426" s="65" t="n">
        <v>51020.7</v>
      </c>
      <c r="BC426" s="68" t="n">
        <v>542.7</v>
      </c>
      <c r="BD426" s="63" t="inlineStr">
        <is>
          <t>Y</t>
        </is>
      </c>
      <c r="BE426" s="74" t="n">
        <v>29.9</v>
      </c>
      <c r="BF426" s="74" t="n">
        <v>22.6</v>
      </c>
      <c r="BG426" s="74" t="n">
        <v>16.3</v>
      </c>
      <c r="BH426" s="74" t="n">
        <v>0.3</v>
      </c>
      <c r="BI426" s="75">
        <f>IF('BBG Verify'!S426="","not filed — run on terminal",'BBG Verify'!S426)</f>
        <v/>
      </c>
      <c r="BJ426" s="76" t="inlineStr">
        <is>
          <t>Y</t>
        </is>
      </c>
      <c r="BK426" s="63" t="inlineStr">
        <is>
          <t>603341.SS</t>
        </is>
      </c>
      <c r="BL426" s="72" t="n">
        <v>75.63</v>
      </c>
      <c r="BM426" s="66" t="n">
        <v>54.4441</v>
      </c>
      <c r="BN426" s="80" t="n">
        <v>0.8847</v>
      </c>
      <c r="BO426" s="68" t="n">
        <v>22777.9</v>
      </c>
      <c r="BP426" s="75">
        <f>IF('BBG Verify'!Q426="","run on terminal",'BBG Verify'!Q426)</f>
        <v/>
      </c>
      <c r="BQ426" s="75">
        <f>IF('BBG Verify'!R426="","run on terminal",'BBG Verify'!R426)</f>
        <v/>
      </c>
      <c r="BR426" s="76" t="inlineStr">
        <is>
          <t>Citigroup Global Markets Asia Limited; Haitong International Capital Limited; Guotai Junan Capital Limited</t>
        </is>
      </c>
      <c r="BS426" s="63" t="inlineStr">
        <is>
          <t>Haitong International Capital Limited; Guotai Junan Capital Limited; Citigroup Global Markets Asia Limited</t>
        </is>
      </c>
      <c r="BT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U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V426" s="78">
        <f>HYPERLINK("https://www1.hkexnews.hk/listedco/listconews/sehk/2026/0114/2026011400011.pdf","prospectus")</f>
        <v/>
      </c>
      <c r="BW426" s="78">
        <f>HYPERLINK("https://www1.hkexnews.hk/listedco/listconews/sehk/2026/0121/2026012101145.pdf","allotment")</f>
        <v/>
      </c>
      <c r="BX426" s="78">
        <f>HYPERLINK("https://www1.hkexnews.hk/listedco/listconews/sehk/2026/0223/2026022300424.pdf","stabilisation")</f>
        <v/>
      </c>
      <c r="BY426" s="76" t="n"/>
      <c r="BZ426" s="63" t="inlineStr">
        <is>
          <t>range low: cap-only pricing — the filing publishes a Maximum Offer Price and no indicative floor · A/H: Jan 2026 H listing (smart-device ODM) · grey market: no grey-market headline on file for this deal — AAStocks publishes one per listing but keeps only recent items on the stock's news page, and no public archive of past evening sessions exists; captured from this run onward</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72" t="n"/>
      <c r="AC427" s="66" t="n"/>
      <c r="AD427" s="72" t="n"/>
      <c r="AE427" s="63" t="n"/>
      <c r="AF427" s="63" t="n"/>
      <c r="AG427" s="63" t="n"/>
      <c r="AH427" s="63" t="inlineStr">
        <is>
          <t>Goldman Sachs</t>
        </is>
      </c>
      <c r="AI427" s="63" t="inlineStr">
        <is>
          <t>Goldman Sachs</t>
        </is>
      </c>
      <c r="AJ427" s="73" t="n">
        <v>69.06</v>
      </c>
      <c r="AK427" s="72" t="n">
        <v>88.08</v>
      </c>
      <c r="AL427" s="72" t="n">
        <v>-10.11</v>
      </c>
      <c r="AM427" s="72" t="n">
        <v>68.81</v>
      </c>
      <c r="AN427" s="72" t="n">
        <v>65.17</v>
      </c>
      <c r="AO427" s="72" t="n">
        <v>84.11</v>
      </c>
      <c r="AP427" s="72" t="n">
        <v>-0.15</v>
      </c>
      <c r="AQ427" s="72" t="n">
        <v>-2.3</v>
      </c>
      <c r="AR427" s="72" t="n">
        <v>8.9</v>
      </c>
      <c r="AS427" s="72" t="n">
        <v>72.29000000000001</v>
      </c>
      <c r="AT427" s="72" t="n">
        <v>73.93000000000001</v>
      </c>
      <c r="AU427" s="72" t="n">
        <v>92.84999999999999</v>
      </c>
      <c r="AV427" s="72" t="n">
        <v>8.77</v>
      </c>
      <c r="AW427" s="72" t="n">
        <v>-8.76</v>
      </c>
      <c r="AX427" s="72" t="n">
        <v>-11.07</v>
      </c>
      <c r="AY427" s="63" t="inlineStr">
        <is>
          <t>Hang Seng Commerce &amp; Industry sub-index</t>
        </is>
      </c>
      <c r="AZ427" s="72" t="n">
        <v>88</v>
      </c>
      <c r="BA427" s="64" t="inlineStr">
        <is>
          <t>2026-08-28</t>
        </is>
      </c>
      <c r="BB427" s="65" t="n">
        <v>72787.39999999999</v>
      </c>
      <c r="BC427" s="68" t="n">
        <v>2562.1</v>
      </c>
      <c r="BD427" s="63" t="inlineStr">
        <is>
          <t>Y</t>
        </is>
      </c>
      <c r="BE427" s="74" t="n">
        <v>19.9</v>
      </c>
      <c r="BF427" s="74" t="n"/>
      <c r="BG427" s="74" t="n"/>
      <c r="BH427" s="74" t="n">
        <v>0.7</v>
      </c>
      <c r="BI427" s="75">
        <f>IF('BBG Verify'!S427="","not filed — run on terminal",'BBG Verify'!S427)</f>
        <v/>
      </c>
      <c r="BJ427" s="76" t="inlineStr">
        <is>
          <t>N</t>
        </is>
      </c>
      <c r="BK427" s="77">
        <f>IF('BBG Verify'!K427="","not filed — run on terminal",'BBG Verify'!K427)</f>
        <v/>
      </c>
      <c r="BL427" s="63" t="inlineStr">
        <is>
          <t>N/A</t>
        </is>
      </c>
      <c r="BM427" s="63" t="inlineStr">
        <is>
          <t>N/A</t>
        </is>
      </c>
      <c r="BN427" s="63" t="inlineStr">
        <is>
          <t>N/A</t>
        </is>
      </c>
      <c r="BO427" s="63" t="inlineStr">
        <is>
          <t>N/A</t>
        </is>
      </c>
      <c r="BP427" s="63" t="inlineStr">
        <is>
          <t>N/A</t>
        </is>
      </c>
      <c r="BQ427" s="63" t="inlineStr">
        <is>
          <t>N/A</t>
        </is>
      </c>
      <c r="BR427" s="76" t="inlineStr">
        <is>
          <t>Goldman Sachs; Huatai Financial Holdings (Hong Kong)</t>
        </is>
      </c>
      <c r="BS427" s="63" t="inlineStr">
        <is>
          <t>Goldman Sachs (Asia) L.L.C.; Huatai Financial Holdings (Hong Kong) Limited</t>
        </is>
      </c>
      <c r="BT427" s="63" t="inlineStr">
        <is>
          <t>Deutsche Bank AG; Hong Kong Branch; Futu Securities International (Hong Kong) Limited; Goldman Sachs (Asia) L.L.C.; Huatai Financial Holdings (Hong Kong) Limited; Haitong International Securities Company Limited</t>
        </is>
      </c>
      <c r="BU427" s="63" t="inlineStr">
        <is>
          <t>Deutsche Bank AG; Hong Kong Branch; Futu Securities International (Hong Kong) Limited; Goldman Sachs (Asia) L.L.C.; Huatai Financial Holdings (Hong Kong) Limited; Haitong International Securities Company Limited; SPDB International Capital Limited</t>
        </is>
      </c>
      <c r="BV427" s="63" t="n"/>
      <c r="BW427" s="78">
        <f>HYPERLINK("https://www1.hkexnews.hk/listedco/listconews/sehk/2026/0127/2026012701713.pdf","allotment")</f>
        <v/>
      </c>
      <c r="BX427" s="63" t="n"/>
      <c r="BY427" s="76" t="n"/>
      <c r="BZ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72" t="n"/>
      <c r="AC428" s="66" t="n"/>
      <c r="AD428" s="72" t="n"/>
      <c r="AE428" s="63" t="n"/>
      <c r="AF428" s="63" t="inlineStr">
        <is>
          <t>partial</t>
        </is>
      </c>
      <c r="AG428" s="63" t="n"/>
      <c r="AH428" s="63" t="inlineStr">
        <is>
          <t>Morgan Stanley Asia Limited</t>
        </is>
      </c>
      <c r="AI428" s="63" t="inlineStr">
        <is>
          <t>Morgan Stanley</t>
        </is>
      </c>
      <c r="AJ428" s="73" t="n">
        <v>1.53</v>
      </c>
      <c r="AK428" s="72" t="n">
        <v>0</v>
      </c>
      <c r="AL428" s="72" t="n">
        <v>1.53</v>
      </c>
      <c r="AM428" s="72" t="n">
        <v>0.8100000000000001</v>
      </c>
      <c r="AN428" s="72" t="n">
        <v>-13.87</v>
      </c>
      <c r="AO428" s="72" t="n">
        <v>-12.46</v>
      </c>
      <c r="AP428" s="72" t="n">
        <v>-0.71</v>
      </c>
      <c r="AQ428" s="72" t="n">
        <v>-15.17</v>
      </c>
      <c r="AR428" s="72" t="n">
        <v>-13.78</v>
      </c>
      <c r="AS428" s="72" t="n">
        <v>-0.05</v>
      </c>
      <c r="AT428" s="72" t="n">
        <v>-7.17</v>
      </c>
      <c r="AU428" s="72" t="n">
        <v>-6.91</v>
      </c>
      <c r="AV428" s="72" t="n">
        <v>-8.83</v>
      </c>
      <c r="AW428" s="72" t="n">
        <v>-6.7</v>
      </c>
      <c r="AX428" s="72" t="n">
        <v>-6.34</v>
      </c>
      <c r="AY428" s="63" t="inlineStr">
        <is>
          <t>Hang Seng Commerce &amp; Industry sub-index</t>
        </is>
      </c>
      <c r="AZ428" s="72" t="n">
        <v>-42.86</v>
      </c>
      <c r="BA428" s="64" t="inlineStr">
        <is>
          <t>2026-08-31</t>
        </is>
      </c>
      <c r="BB428" s="65" t="n">
        <v>17413.4</v>
      </c>
      <c r="BC428" s="68" t="n">
        <v>3659.1</v>
      </c>
      <c r="BD428" s="63" t="inlineStr">
        <is>
          <t>Y</t>
        </is>
      </c>
      <c r="BE428" s="74" t="n">
        <v>38</v>
      </c>
      <c r="BF428" s="74" t="n">
        <v>26.3</v>
      </c>
      <c r="BG428" s="74" t="n">
        <v>14.4</v>
      </c>
      <c r="BH428" s="74" t="n">
        <v>8</v>
      </c>
      <c r="BI428" s="75">
        <f>IF('BBG Verify'!S428="","not filed — run on terminal",'BBG Verify'!S428)</f>
        <v/>
      </c>
      <c r="BJ428" s="76" t="inlineStr">
        <is>
          <t>Y</t>
        </is>
      </c>
      <c r="BK428" s="63" t="inlineStr">
        <is>
          <t>605499.SS</t>
        </is>
      </c>
      <c r="BL428" s="72" t="n">
        <v>16.43</v>
      </c>
      <c r="BM428" s="66" t="n">
        <v>288.7582</v>
      </c>
      <c r="BN428" s="80" t="n">
        <v>0.283</v>
      </c>
      <c r="BO428" s="68" t="n">
        <v>102792.2</v>
      </c>
      <c r="BP428" s="75">
        <f>IF('BBG Verify'!Q428="","run on terminal",'BBG Verify'!Q428)</f>
        <v/>
      </c>
      <c r="BQ428" s="75">
        <f>IF('BBG Verify'!R428="","run on terminal",'BBG Verify'!R428)</f>
        <v/>
      </c>
      <c r="BR428" s="76" t="inlineStr">
        <is>
          <t>Huatai Financial Holdings (Hong Kong) Limited; Morgan Stanley Asia Limited; UBS Securities Hong Kong Limited</t>
        </is>
      </c>
      <c r="BS428" s="63" t="inlineStr">
        <is>
          <t>Morgan Stanley Asia Limited; UBS Securities Hong Kong Limited; Huatai Financial Holdings (Hong Kong) Limited</t>
        </is>
      </c>
      <c r="BT428" s="63" t="inlineStr">
        <is>
          <t>Huatai Financial Holdings (Hong Kong) Limited; Morgan Stanley Asia Limited; UBS AG Hong Kong Branch</t>
        </is>
      </c>
      <c r="BU428" s="63" t="inlineStr">
        <is>
          <t>Huatai Financial Holdings (Hong Kong) Limited; Morgan Stanley Asia Limited; UBS AG Hong Kong Branch</t>
        </is>
      </c>
      <c r="BV428" s="78">
        <f>HYPERLINK("https://www1.hkexnews.hk/listedco/listconews/sehk/2026/0126/2026012600003.pdf","prospectus")</f>
        <v/>
      </c>
      <c r="BW428" s="78">
        <f>HYPERLINK("https://www1.hkexnews.hk/listedco/listconews/sehk/2026/0202/2026020203212.pdf","allotment")</f>
        <v/>
      </c>
      <c r="BX428" s="78">
        <f>HYPERLINK("https://www1.hkexnews.hk/listedco/listconews/sehk/2026/0301/2026030100013.pdf","stabilisation")</f>
        <v/>
      </c>
      <c r="BY428" s="76" t="n"/>
      <c r="BZ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72" t="n"/>
      <c r="AC429" s="66" t="n"/>
      <c r="AD429" s="72" t="n"/>
      <c r="AE429" s="63" t="n"/>
      <c r="AF429" s="63" t="n"/>
      <c r="AG429" s="63" t="n"/>
      <c r="AH429" s="63" t="n"/>
      <c r="AI429" s="63" t="n"/>
      <c r="AJ429" s="73" t="n">
        <v>11.56</v>
      </c>
      <c r="AK429" s="72" t="n">
        <v>25</v>
      </c>
      <c r="AL429" s="72" t="n">
        <v>-10.75</v>
      </c>
      <c r="AM429" s="72" t="n">
        <v>27.22</v>
      </c>
      <c r="AN429" s="72" t="n">
        <v>33.22</v>
      </c>
      <c r="AO429" s="72" t="n">
        <v>43.75</v>
      </c>
      <c r="AP429" s="72" t="n">
        <v>14.04</v>
      </c>
      <c r="AQ429" s="72" t="n">
        <v>19.42</v>
      </c>
      <c r="AR429" s="72" t="n">
        <v>28.85</v>
      </c>
      <c r="AS429" s="72" t="n">
        <v>26.57</v>
      </c>
      <c r="AT429" s="72" t="n">
        <v>40.68</v>
      </c>
      <c r="AU429" s="72" t="n">
        <v>50.43</v>
      </c>
      <c r="AV429" s="72" t="n">
        <v>25.2</v>
      </c>
      <c r="AW429" s="72" t="n">
        <v>-7.46</v>
      </c>
      <c r="AX429" s="72" t="n">
        <v>-5.78</v>
      </c>
      <c r="AY429" s="63" t="inlineStr">
        <is>
          <t>HSTECH (Hang Seng TECH ETF)</t>
        </is>
      </c>
      <c r="AZ429" s="72" t="n">
        <v>57.87</v>
      </c>
      <c r="BA429" s="64" t="inlineStr">
        <is>
          <t>2026-08-31</t>
        </is>
      </c>
      <c r="BB429" s="65" t="n">
        <v>23376.4</v>
      </c>
      <c r="BC429" s="68" t="n">
        <v>937.2</v>
      </c>
      <c r="BD429" s="63" t="inlineStr">
        <is>
          <t>Y</t>
        </is>
      </c>
      <c r="BE429" s="74" t="n">
        <v>11.6</v>
      </c>
      <c r="BF429" s="74" t="n">
        <v>11.2</v>
      </c>
      <c r="BG429" s="74" t="n">
        <v>16.5</v>
      </c>
      <c r="BH429" s="74" t="n">
        <v>0.5</v>
      </c>
      <c r="BI429" s="75">
        <f>IF('BBG Verify'!S429="","not filed — run on terminal",'BBG Verify'!S429)</f>
        <v/>
      </c>
      <c r="BJ429" s="76" t="inlineStr">
        <is>
          <t>Y</t>
        </is>
      </c>
      <c r="BK429" s="63" t="inlineStr">
        <is>
          <t>002768.SZ</t>
        </is>
      </c>
      <c r="BL429" s="72" t="n">
        <v>74.11</v>
      </c>
      <c r="BM429" s="66" t="n">
        <v>62.6783</v>
      </c>
      <c r="BN429" s="80" t="n">
        <v>1.0222</v>
      </c>
      <c r="BO429" s="68" t="n">
        <v>33945.1</v>
      </c>
      <c r="BP429" s="75">
        <f>IF('BBG Verify'!Q429="","run on terminal",'BBG Verify'!Q429)</f>
        <v/>
      </c>
      <c r="BQ429" s="75">
        <f>IF('BBG Verify'!R429="","run on terminal",'BBG Verify'!R429)</f>
        <v/>
      </c>
      <c r="BR429" s="76" t="n"/>
      <c r="BS429" s="63" t="inlineStr">
        <is>
          <t>China Merchants Securities (HK) Company Limited</t>
        </is>
      </c>
      <c r="BT429" s="63" t="inlineStr">
        <is>
          <t>China International Capital Corporation Hong Kong Securities Limited; CLSA Limited; CMB International Capital Limited; China Merchants Securities (HK) Company Limited; Livermore Holdings Limited; Tiger Brokers (HK) Global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n"/>
      <c r="BW429" s="78">
        <f>HYPERLINK("https://www1.hkexnews.hk/listedco/listconews/sehk/2026/0203/2026020302602.pdf","allotment")</f>
        <v/>
      </c>
      <c r="BX429" s="63" t="n"/>
      <c r="BY429" s="76" t="n"/>
      <c r="BZ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72" t="n">
        <v>48.2</v>
      </c>
      <c r="AC430" s="66" t="n">
        <v>88.8</v>
      </c>
      <c r="AD430" s="72" t="n">
        <v>-23.51</v>
      </c>
      <c r="AE430" s="63" t="inlineStr">
        <is>
          <t>Y</t>
        </is>
      </c>
      <c r="AF430" s="63" t="inlineStr">
        <is>
          <t>partial</t>
        </is>
      </c>
      <c r="AG430" s="63" t="inlineStr">
        <is>
          <t>2026-03-05</t>
        </is>
      </c>
      <c r="AH430" s="63" t="n"/>
      <c r="AI430" s="63" t="n"/>
      <c r="AJ430" s="73" t="n">
        <v>13.36</v>
      </c>
      <c r="AK430" s="72" t="n">
        <v>35.23</v>
      </c>
      <c r="AL430" s="72" t="n">
        <v>-16.17</v>
      </c>
      <c r="AM430" s="72" t="n">
        <v>-3.17</v>
      </c>
      <c r="AN430" s="72" t="n">
        <v>9.1</v>
      </c>
      <c r="AO430" s="72" t="n">
        <v>-54.49</v>
      </c>
      <c r="AP430" s="72" t="n">
        <v>-14.58</v>
      </c>
      <c r="AQ430" s="72" t="n">
        <v>-3.76</v>
      </c>
      <c r="AR430" s="72" t="n">
        <v>-59.85</v>
      </c>
      <c r="AS430" s="72" t="n">
        <v>-4.64</v>
      </c>
      <c r="AT430" s="72" t="n">
        <v>14.97</v>
      </c>
      <c r="AU430" s="72" t="n">
        <v>-61.12</v>
      </c>
      <c r="AV430" s="72" t="n">
        <v>2.14</v>
      </c>
      <c r="AW430" s="72" t="n">
        <v>-5.87</v>
      </c>
      <c r="AX430" s="72" t="n">
        <v>-5.9</v>
      </c>
      <c r="AY430" s="63" t="inlineStr">
        <is>
          <t>China Biotech ETF (HS biotech proxy)</t>
        </is>
      </c>
      <c r="AZ430" s="72" t="n">
        <v>-60.13</v>
      </c>
      <c r="BA430" s="64" t="inlineStr">
        <is>
          <t>2026-08-28</t>
        </is>
      </c>
      <c r="BB430" s="65" t="n">
        <v>1054.4</v>
      </c>
      <c r="BC430" s="68" t="n">
        <v>88.2</v>
      </c>
      <c r="BD430" s="63" t="inlineStr">
        <is>
          <t>Y</t>
        </is>
      </c>
      <c r="BE430" s="74" t="n">
        <v>43.7</v>
      </c>
      <c r="BF430" s="74" t="n"/>
      <c r="BG430" s="74" t="n"/>
      <c r="BH430" s="74" t="n">
        <v>3.7</v>
      </c>
      <c r="BI430" s="75">
        <f>IF('BBG Verify'!S430="","not filed — run on terminal",'BBG Verify'!S430)</f>
        <v/>
      </c>
      <c r="BJ430" s="76" t="inlineStr">
        <is>
          <t>N</t>
        </is>
      </c>
      <c r="BK430" s="77">
        <f>IF('BBG Verify'!K430="","not filed — run on terminal",'BBG Verify'!K430)</f>
        <v/>
      </c>
      <c r="BL430" s="63" t="inlineStr">
        <is>
          <t>N/A</t>
        </is>
      </c>
      <c r="BM430" s="63" t="inlineStr">
        <is>
          <t>N/A</t>
        </is>
      </c>
      <c r="BN430" s="63" t="inlineStr">
        <is>
          <t>N/A</t>
        </is>
      </c>
      <c r="BO430" s="63" t="inlineStr">
        <is>
          <t>N/A</t>
        </is>
      </c>
      <c r="BP430" s="63" t="inlineStr">
        <is>
          <t>N/A</t>
        </is>
      </c>
      <c r="BQ430" s="63" t="inlineStr">
        <is>
          <t>N/A</t>
        </is>
      </c>
      <c r="BR430" s="76" t="inlineStr">
        <is>
          <t>Haitong International Capital Limited; SPDB International Capital Limited; Haitong International Securities Company Limited</t>
        </is>
      </c>
      <c r="BS430" s="63" t="inlineStr">
        <is>
          <t>Haitong International Capital Limited; SPDB International Capital Limited</t>
        </is>
      </c>
      <c r="BT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U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V430" s="78">
        <f>HYPERLINK("https://www1.hkexnews.hk/listedco/listconews/sehk/2026/0129/2026012900021.pdf","prospectus")</f>
        <v/>
      </c>
      <c r="BW430" s="78">
        <f>HYPERLINK("https://www1.hkexnews.hk/listedco/listconews/sehk/2026/0205/2026020501800.pdf","allotment")</f>
        <v/>
      </c>
      <c r="BX430" s="78">
        <f>HYPERLINK("https://www1.hkexnews.hk/listedco/listconews/sehk/2026/0305/2026030502008.pdf","stabilisation")</f>
        <v/>
      </c>
      <c r="BY430" s="76" t="n"/>
      <c r="BZ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72" t="n"/>
      <c r="AC431" s="66" t="n"/>
      <c r="AD431" s="72" t="n"/>
      <c r="AE431" s="63" t="n"/>
      <c r="AF431" s="63" t="inlineStr">
        <is>
          <t>full</t>
        </is>
      </c>
      <c r="AG431" s="63" t="inlineStr">
        <is>
          <t>2026-03-05</t>
        </is>
      </c>
      <c r="AH431" s="63" t="inlineStr">
        <is>
          <t>China International Capital Corporation Hong Kong Securities Limited</t>
        </is>
      </c>
      <c r="AI431" s="63" t="inlineStr">
        <is>
          <t>China International</t>
        </is>
      </c>
      <c r="AJ431" s="73" t="n">
        <v>14.82</v>
      </c>
      <c r="AK431" s="72" t="n">
        <v>10.65</v>
      </c>
      <c r="AL431" s="72" t="n">
        <v>3.77</v>
      </c>
      <c r="AM431" s="72" t="n">
        <v>17.54</v>
      </c>
      <c r="AN431" s="72" t="n">
        <v>21.92</v>
      </c>
      <c r="AO431" s="72" t="n">
        <v>69.42</v>
      </c>
      <c r="AP431" s="72" t="n">
        <v>2.37</v>
      </c>
      <c r="AQ431" s="72" t="n">
        <v>6.18</v>
      </c>
      <c r="AR431" s="72" t="n">
        <v>47.55</v>
      </c>
      <c r="AS431" s="72" t="n">
        <v>18.24</v>
      </c>
      <c r="AT431" s="72" t="n">
        <v>26.5</v>
      </c>
      <c r="AU431" s="72" t="n">
        <v>76.59999999999999</v>
      </c>
      <c r="AV431" s="72" t="n">
        <v>9.92</v>
      </c>
      <c r="AW431" s="72" t="n">
        <v>-4.58</v>
      </c>
      <c r="AX431" s="72" t="n">
        <v>-3.74</v>
      </c>
      <c r="AY431" s="63" t="inlineStr">
        <is>
          <t>Hang Seng Commerce &amp; Industry sub-index</t>
        </is>
      </c>
      <c r="AZ431" s="72" t="n">
        <v>6.58</v>
      </c>
      <c r="BA431" s="64" t="inlineStr">
        <is>
          <t>2026-08-28</t>
        </is>
      </c>
      <c r="BB431" s="65" t="n">
        <v>3677.4</v>
      </c>
      <c r="BC431" s="68" t="n">
        <v>329.5</v>
      </c>
      <c r="BD431" s="63" t="inlineStr">
        <is>
          <t>Y</t>
        </is>
      </c>
      <c r="BE431" s="74" t="n">
        <v>122.2</v>
      </c>
      <c r="BF431" s="74" t="n">
        <v>50.1</v>
      </c>
      <c r="BG431" s="74" t="n">
        <v>50.2</v>
      </c>
      <c r="BH431" s="74" t="n">
        <v>11</v>
      </c>
      <c r="BI431" s="75">
        <f>IF('BBG Verify'!S431="","not filed — run on terminal",'BBG Verify'!S431)</f>
        <v/>
      </c>
      <c r="BJ431" s="76" t="inlineStr">
        <is>
          <t>Y</t>
        </is>
      </c>
      <c r="BK431" s="63" t="inlineStr">
        <is>
          <t>301200.SZ</t>
        </is>
      </c>
      <c r="BL431" s="72" t="n">
        <v>84.04000000000001</v>
      </c>
      <c r="BM431" s="66" t="n">
        <v>176.3149</v>
      </c>
      <c r="BN431" s="80" t="n">
        <v>1.8629</v>
      </c>
      <c r="BO431" s="68" t="n">
        <v>159771.9</v>
      </c>
      <c r="BP431" s="75">
        <f>IF('BBG Verify'!Q431="","run on terminal",'BBG Verify'!Q431)</f>
        <v/>
      </c>
      <c r="BQ431" s="75">
        <f>IF('BBG Verify'!R431="","run on terminal",'BBG Verify'!R431)</f>
        <v/>
      </c>
      <c r="BR431" s="76" t="inlineStr">
        <is>
          <t>China International Capital Corporation Hong Kong Securities Limited</t>
        </is>
      </c>
      <c r="BS431" s="63" t="inlineStr">
        <is>
          <t>China International Capital Corporation Hong Kong Securities Limited</t>
        </is>
      </c>
      <c r="BT431" s="63" t="inlineStr">
        <is>
          <t>China International Capital Corporation Hong Kong Securities Limited; Deutsche Bank AG, Hong Kong Branch; Sinolink Securities (Hong Kong) Company Limited; SDIC Securities (Hong Kong) Limited; ABCI Capital Limited</t>
        </is>
      </c>
      <c r="BU431" s="63" t="inlineStr">
        <is>
          <t>ABCI Securities Company Limited; China International Capital Corporation Hong Kong Securities Limited; Deutsche Bank AG, Hong Kong Branch; SDIC Securities (Hong Kong) Limited; Sinolink Securities (Hong Kong) Company Limited</t>
        </is>
      </c>
      <c r="BV431" s="78">
        <f>HYPERLINK("https://www1.hkexnews.hk/listedco/listconews/sehk/2026/0129/2026012900019.pdf","prospectus")</f>
        <v/>
      </c>
      <c r="BW431" s="78">
        <f>HYPERLINK("https://www1.hkexnews.hk/listedco/listconews/sehk/2026/0205/2026020502290.pdf","allotment")</f>
        <v/>
      </c>
      <c r="BX431" s="78">
        <f>HYPERLINK("https://www1.hkexnews.hk/listedco/listconews/sehk/2026/0305/2026030501746.pdf","stabilisation")</f>
        <v/>
      </c>
      <c r="BY431" s="76" t="n"/>
      <c r="BZ431" s="63" t="inlineStr">
        <is>
          <t>range low: cap-only pricing — the filing publishes a Maximum Offer Price and no indicative floor · A/H: Feb 2026 H listing (PCB drilling equipment) · grey market: no grey-market headline on file for this deal — AAStocks publishes one per listing but keeps only recent items on the stock's news page, and no public archive of past evening sessions exists; captured from this run onward</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72" t="n"/>
      <c r="AC432" s="66" t="n"/>
      <c r="AD432" s="72" t="n"/>
      <c r="AE432" s="63" t="n"/>
      <c r="AF432" s="63" t="inlineStr">
        <is>
          <t>partial</t>
        </is>
      </c>
      <c r="AG432" s="63" t="inlineStr">
        <is>
          <t>2026-03-05</t>
        </is>
      </c>
      <c r="AH432" s="63" t="inlineStr">
        <is>
          <t>Morgan Stanley Asia Limited</t>
        </is>
      </c>
      <c r="AI432" s="63" t="inlineStr">
        <is>
          <t>Morgan Stanley</t>
        </is>
      </c>
      <c r="AJ432" s="73" t="n">
        <v>3.9</v>
      </c>
      <c r="AK432" s="72" t="n">
        <v>0</v>
      </c>
      <c r="AL432" s="72" t="n">
        <v>3.9</v>
      </c>
      <c r="AM432" s="72" t="n">
        <v>0.51</v>
      </c>
      <c r="AN432" s="72" t="n">
        <v>19.69</v>
      </c>
      <c r="AO432" s="72" t="n">
        <v>0.67</v>
      </c>
      <c r="AP432" s="72" t="n">
        <v>-3.26</v>
      </c>
      <c r="AQ432" s="72" t="n">
        <v>15.2</v>
      </c>
      <c r="AR432" s="72" t="n">
        <v>-3.11</v>
      </c>
      <c r="AS432" s="72" t="n">
        <v>1.21</v>
      </c>
      <c r="AT432" s="72" t="n">
        <v>24.27</v>
      </c>
      <c r="AU432" s="72" t="n">
        <v>7.85</v>
      </c>
      <c r="AV432" s="72" t="n">
        <v>18.94</v>
      </c>
      <c r="AW432" s="72" t="n">
        <v>-4.58</v>
      </c>
      <c r="AX432" s="72" t="n">
        <v>-3.74</v>
      </c>
      <c r="AY432" s="63" t="inlineStr">
        <is>
          <t>Hang Seng Commerce &amp; Industry sub-index</t>
        </is>
      </c>
      <c r="AZ432" s="72" t="n">
        <v>-9.029999999999999</v>
      </c>
      <c r="BA432" s="64" t="inlineStr">
        <is>
          <t>2026-08-28</t>
        </is>
      </c>
      <c r="BB432" s="65" t="n">
        <v>158559.5</v>
      </c>
      <c r="BC432" s="68" t="n">
        <v>16992.9</v>
      </c>
      <c r="BD432" s="63" t="inlineStr">
        <is>
          <t>Y</t>
        </is>
      </c>
      <c r="BE432" s="74" t="n">
        <v>16.8</v>
      </c>
      <c r="BF432" s="74" t="n">
        <v>12.5</v>
      </c>
      <c r="BG432" s="74" t="n">
        <v>9.9</v>
      </c>
      <c r="BH432" s="74" t="n">
        <v>1.8</v>
      </c>
      <c r="BI432" s="75">
        <f>IF('BBG Verify'!S432="","not filed — run on terminal",'BBG Verify'!S432)</f>
        <v/>
      </c>
      <c r="BJ432" s="76" t="inlineStr">
        <is>
          <t>Y</t>
        </is>
      </c>
      <c r="BK432" s="63" t="inlineStr">
        <is>
          <t>002714.SZ</t>
        </is>
      </c>
      <c r="BL432" s="72" t="n">
        <v>34.91</v>
      </c>
      <c r="BM432" s="66" t="n">
        <v>52.613</v>
      </c>
      <c r="BN432" s="80" t="n">
        <v>0.3875</v>
      </c>
      <c r="BO432" s="68" t="n">
        <v>285027</v>
      </c>
      <c r="BP432" s="75">
        <f>IF('BBG Verify'!Q432="","run on terminal",'BBG Verify'!Q432)</f>
        <v/>
      </c>
      <c r="BQ432" s="75">
        <f>IF('BBG Verify'!R432="","run on terminal",'BBG Verify'!R432)</f>
        <v/>
      </c>
      <c r="BR432" s="76" t="inlineStr">
        <is>
          <t>Morgan Stanley Asia Limited; CITIC Securities (Hong Kong) Limited; Goldman Sachs (Asia) L.L.C</t>
        </is>
      </c>
      <c r="BS432" s="63" t="inlineStr">
        <is>
          <t>Morgan Stanley Asia Limited; Goldman Sachs (Asia) L.L.C.; CITIC Securities (Hong Kong) Limited</t>
        </is>
      </c>
      <c r="BT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U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V432" s="78">
        <f>HYPERLINK("https://www1.hkexnews.hk/listedco/listconews/sehk/2026/0129/2026012900023.pdf","prospectus")</f>
        <v/>
      </c>
      <c r="BW432" s="78">
        <f>HYPERLINK("https://www1.hkexnews.hk/listedco/listconews/sehk/2026/0205/2026020502402.pdf","allotment")</f>
        <v/>
      </c>
      <c r="BX432" s="78">
        <f>HYPERLINK("https://www1.hkexnews.hk/listedco/listconews/sehk/2026/0305/2026030501974.pdf","stabilisation")</f>
        <v/>
      </c>
      <c r="BY432" s="76" t="n"/>
      <c r="BZ432" s="63" t="inlineStr">
        <is>
          <t>range low: cap-only pricing — the filing publishes a Maximum Offer Price and no indicative floor · A/H: Feb 2026, net proceeds up to HK$12.0bn w/ greenshoe; subdued debut · grey market: no grey-market headline on file for this deal — AAStocks publishes one per listing but keeps only recent items on the stock's news page, and no public archive of past evening sessions exists; captured from this run onward</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72" t="n"/>
      <c r="AC433" s="66" t="n"/>
      <c r="AD433" s="72" t="n"/>
      <c r="AE433" s="63" t="n"/>
      <c r="AF433" s="63" t="inlineStr">
        <is>
          <t>full</t>
        </is>
      </c>
      <c r="AG433" s="63" t="inlineStr">
        <is>
          <t>2026-03-06</t>
        </is>
      </c>
      <c r="AH433" s="63" t="inlineStr">
        <is>
          <t>Morgan Stanley Asia Limited</t>
        </is>
      </c>
      <c r="AI433" s="63" t="inlineStr">
        <is>
          <t>Morgan Stanley</t>
        </is>
      </c>
      <c r="AJ433" s="73" t="n">
        <v>63.72</v>
      </c>
      <c r="AK433" s="72" t="n">
        <v>57.17</v>
      </c>
      <c r="AL433" s="72" t="n">
        <v>4.17</v>
      </c>
      <c r="AM433" s="72" t="n">
        <v>97.40000000000001</v>
      </c>
      <c r="AN433" s="72" t="n">
        <v>64.19</v>
      </c>
      <c r="AO433" s="72" t="n">
        <v>312.39</v>
      </c>
      <c r="AP433" s="72" t="n">
        <v>20.57</v>
      </c>
      <c r="AQ433" s="72" t="n">
        <v>0.29</v>
      </c>
      <c r="AR433" s="72" t="n">
        <v>151.89</v>
      </c>
      <c r="AS433" s="72" t="n">
        <v>97.02</v>
      </c>
      <c r="AT433" s="72" t="n">
        <v>71.06999999999999</v>
      </c>
      <c r="AU433" s="72" t="n">
        <v>321.84</v>
      </c>
      <c r="AV433" s="72" t="n">
        <v>8.4</v>
      </c>
      <c r="AW433" s="72" t="n">
        <v>-6.88</v>
      </c>
      <c r="AX433" s="72" t="n">
        <v>-8.109999999999999</v>
      </c>
      <c r="AY433" s="63" t="inlineStr">
        <is>
          <t>HSTECH (Hang Seng TECH ETF)</t>
        </is>
      </c>
      <c r="AZ433" s="72" t="n">
        <v>166.63</v>
      </c>
      <c r="BA433" s="64" t="inlineStr">
        <is>
          <t>2026-08-28</t>
        </is>
      </c>
      <c r="BB433" s="65" t="n">
        <v>4002.8</v>
      </c>
      <c r="BC433" s="68" t="n">
        <v>1474.8</v>
      </c>
      <c r="BD433" s="63" t="inlineStr">
        <is>
          <t>Y</t>
        </is>
      </c>
      <c r="BE433" s="74" t="n">
        <v>77</v>
      </c>
      <c r="BF433" s="74" t="n">
        <v>79.09999999999999</v>
      </c>
      <c r="BG433" s="74" t="n">
        <v>136.4</v>
      </c>
      <c r="BH433" s="74" t="n">
        <v>28.4</v>
      </c>
      <c r="BI433" s="75">
        <f>IF('BBG Verify'!S433="","not filed — run on terminal",'BBG Verify'!S433)</f>
        <v/>
      </c>
      <c r="BJ433" s="76" t="inlineStr">
        <is>
          <t>Y</t>
        </is>
      </c>
      <c r="BK433" s="63" t="inlineStr">
        <is>
          <t>688008.SS</t>
        </is>
      </c>
      <c r="BL433" s="72" t="n">
        <v>72.29000000000001</v>
      </c>
      <c r="BM433" s="66" t="n">
        <v>184.1562</v>
      </c>
      <c r="BN433" s="80" t="n">
        <v>-0.112</v>
      </c>
      <c r="BO433" s="68" t="n">
        <v>291900</v>
      </c>
      <c r="BP433" s="75">
        <f>IF('BBG Verify'!Q433="","run on terminal",'BBG Verify'!Q433)</f>
        <v/>
      </c>
      <c r="BQ433" s="75">
        <f>IF('BBG Verify'!R433="","run on terminal",'BBG Verify'!R433)</f>
        <v/>
      </c>
      <c r="BR433" s="76" t="inlineStr">
        <is>
          <t>China International Capital Corporation Hong Kong Securities Limited; Morgan Stanley Asia Limited; UBS Securities Hong Kong Limited</t>
        </is>
      </c>
      <c r="BS433" s="63"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AG Hong Kong Branch</t>
        </is>
      </c>
      <c r="BU433" s="63" t="inlineStr">
        <is>
          <t>China International Capital Corporation Hong Kong Securities Limited; CLSA Limited; Goldman Sachs (Asia) L.L.C.; Morgan Stanley Asia Limited; UBS AG Hong Kong Branch</t>
        </is>
      </c>
      <c r="BV433" s="78">
        <f>HYPERLINK("https://www1.hkexnews.hk/listedco/listconews/sehk/2026/0130/2026013000007.pdf","prospectus")</f>
        <v/>
      </c>
      <c r="BW433" s="78">
        <f>HYPERLINK("https://www1.hkexnews.hk/listedco/listconews/sehk/2026/0206/2026020601350.pdf","allotment")</f>
        <v/>
      </c>
      <c r="BX433" s="78">
        <f>HYPERLINK("https://www1.hkexnews.hk/listedco/listconews/sehk/2026/0306/2026030600629.pdf","stabilisation")</f>
        <v/>
      </c>
      <c r="BY433" s="76" t="n"/>
      <c r="BZ433" s="63" t="inlineStr">
        <is>
          <t>range low: cap-only pricing — the filing publishes a Maximum Offer Price and no indicative floor · A/H: Feb 2026 H listing (memory interface chips) · grey market: no grey-market headline on file for this deal — AAStocks publishes one per listing but keeps only recent items on the stock's news page, and no public archive of past evening sessions exists; captured from this run onward</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72" t="n">
        <v>99.8</v>
      </c>
      <c r="AC434" s="66" t="n">
        <v>24.48</v>
      </c>
      <c r="AD434" s="72" t="n">
        <v>1.25</v>
      </c>
      <c r="AE434" s="63" t="inlineStr">
        <is>
          <t>Y</t>
        </is>
      </c>
      <c r="AF434" s="63" t="n"/>
      <c r="AG434" s="63" t="n"/>
      <c r="AH434" s="63" t="n"/>
      <c r="AI434" s="63" t="n"/>
      <c r="AJ434" s="73" t="n">
        <v>102.29</v>
      </c>
      <c r="AK434" s="72" t="n">
        <v>96.08</v>
      </c>
      <c r="AL434" s="72" t="n">
        <v>3.17</v>
      </c>
      <c r="AM434" s="72" t="n">
        <v>124.49</v>
      </c>
      <c r="AN434" s="72" t="n">
        <v>112.24</v>
      </c>
      <c r="AO434" s="72" t="n">
        <v>100.82</v>
      </c>
      <c r="AP434" s="72" t="n">
        <v>10.97</v>
      </c>
      <c r="AQ434" s="72" t="n">
        <v>4.92</v>
      </c>
      <c r="AR434" s="72" t="n">
        <v>-0.73</v>
      </c>
      <c r="AS434" s="72" t="n">
        <v>126.89</v>
      </c>
      <c r="AT434" s="72" t="n">
        <v>116.15</v>
      </c>
      <c r="AU434" s="72" t="n">
        <v>108.97</v>
      </c>
      <c r="AV434" s="72" t="n">
        <v>9.609999999999999</v>
      </c>
      <c r="AW434" s="72" t="n">
        <v>-3.91</v>
      </c>
      <c r="AX434" s="72" t="n">
        <v>-4.69</v>
      </c>
      <c r="AY434" s="63" t="inlineStr">
        <is>
          <t>Hang Seng Commerce &amp; Industry sub-index</t>
        </is>
      </c>
      <c r="AZ434" s="72" t="n">
        <v>97.55</v>
      </c>
      <c r="BA434" s="64" t="inlineStr">
        <is>
          <t>2026-08-28</t>
        </is>
      </c>
      <c r="BB434" s="65" t="n">
        <v>630.8</v>
      </c>
      <c r="BC434" s="68" t="n">
        <v>65.3</v>
      </c>
      <c r="BD434" s="63" t="inlineStr">
        <is>
          <t>Y</t>
        </is>
      </c>
      <c r="BE434" s="74" t="n">
        <v>24.1</v>
      </c>
      <c r="BF434" s="74" t="n"/>
      <c r="BG434" s="74" t="n"/>
      <c r="BH434" s="74" t="n">
        <v>2.5</v>
      </c>
      <c r="BI434" s="75">
        <f>IF('BBG Verify'!S434="","not filed — run on terminal",'BBG Verify'!S434)</f>
        <v/>
      </c>
      <c r="BJ434" s="76" t="inlineStr">
        <is>
          <t>N</t>
        </is>
      </c>
      <c r="BK434" s="77">
        <f>IF('BBG Verify'!K434="","not filed — run on terminal",'BBG Verify'!K434)</f>
        <v/>
      </c>
      <c r="BL434" s="63" t="inlineStr">
        <is>
          <t>N/A</t>
        </is>
      </c>
      <c r="BM434" s="63" t="inlineStr">
        <is>
          <t>N/A</t>
        </is>
      </c>
      <c r="BN434" s="63" t="inlineStr">
        <is>
          <t>N/A</t>
        </is>
      </c>
      <c r="BO434" s="63" t="inlineStr">
        <is>
          <t>N/A</t>
        </is>
      </c>
      <c r="BP434" s="63" t="inlineStr">
        <is>
          <t>N/A</t>
        </is>
      </c>
      <c r="BQ434" s="63" t="inlineStr">
        <is>
          <t>N/A</t>
        </is>
      </c>
      <c r="BR434" s="76" t="inlineStr">
        <is>
          <t>China International Capital Corporation Hong Kong Securities Limited</t>
        </is>
      </c>
      <c r="BS434" s="63" t="inlineStr">
        <is>
          <t>China International Capital Corporation Hong Kong Securities Limited</t>
        </is>
      </c>
      <c r="BT434" s="63" t="inlineStr">
        <is>
          <t>China International Capital Corporation Hong Kong Securities Limited; Futu Securities International (Hong Kong) Limited; Fuze Securities (International) Limited</t>
        </is>
      </c>
      <c r="BU434" s="63" t="inlineStr">
        <is>
          <t>China International Capital Corporation Hong Kong Securities Limited; Futu Securities International (Hong Kong) Limited; FUZE SECURITIES (INTERNATIONAL) LIMITED</t>
        </is>
      </c>
      <c r="BV434" s="78">
        <f>HYPERLINK("https://www1.hkexnews.hk/listedco/listconews/sehk/2026/0130/2026013002014.pdf","prospectus")</f>
        <v/>
      </c>
      <c r="BW434" s="78">
        <f>HYPERLINK("https://www1.hkexnews.hk/listedco/listconews/sehk/2026/0209/2026020901096.pdf","allotment")</f>
        <v/>
      </c>
      <c r="BX434" s="63" t="n"/>
      <c r="BY434" s="76" t="n"/>
      <c r="BZ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72" t="n"/>
      <c r="AC435" s="66" t="n"/>
      <c r="AD435" s="72" t="n"/>
      <c r="AE435" s="63" t="n"/>
      <c r="AF435" s="63" t="n"/>
      <c r="AG435" s="63" t="n"/>
      <c r="AH435" s="63" t="inlineStr">
        <is>
          <t>China International Capital Corporation Hong Kong Securities Limited</t>
        </is>
      </c>
      <c r="AI435" s="63" t="inlineStr">
        <is>
          <t>China International</t>
        </is>
      </c>
      <c r="AJ435" s="73" t="n">
        <v>0</v>
      </c>
      <c r="AK435" s="72" t="n">
        <v>0</v>
      </c>
      <c r="AL435" s="72" t="n">
        <v>0</v>
      </c>
      <c r="AM435" s="72" t="n">
        <v>20.21</v>
      </c>
      <c r="AN435" s="72" t="n">
        <v>-11.21</v>
      </c>
      <c r="AO435" s="72" t="n">
        <v>-28.01</v>
      </c>
      <c r="AP435" s="72" t="n">
        <v>20.21</v>
      </c>
      <c r="AQ435" s="72" t="n">
        <v>-11.21</v>
      </c>
      <c r="AR435" s="72" t="n">
        <v>-28.01</v>
      </c>
      <c r="AS435" s="72" t="n">
        <v>23.89</v>
      </c>
      <c r="AT435" s="72" t="n">
        <v>-5.51</v>
      </c>
      <c r="AU435" s="72" t="n">
        <v>-17.82</v>
      </c>
      <c r="AV435" s="72" t="n">
        <v>-5.07</v>
      </c>
      <c r="AW435" s="72" t="n">
        <v>-5.7</v>
      </c>
      <c r="AX435" s="72" t="n">
        <v>-6.14</v>
      </c>
      <c r="AY435" s="63" t="inlineStr">
        <is>
          <t>HSTECH (Hang Seng TECH ETF)</t>
        </is>
      </c>
      <c r="AZ435" s="72" t="n">
        <v>-38.58</v>
      </c>
      <c r="BA435" s="64" t="inlineStr">
        <is>
          <t>2026-08-28</t>
        </is>
      </c>
      <c r="BB435" s="65" t="n">
        <v>617.9</v>
      </c>
      <c r="BC435" s="68" t="n">
        <v>-249.7</v>
      </c>
      <c r="BD435" s="63" t="inlineStr">
        <is>
          <t>N</t>
        </is>
      </c>
      <c r="BE435" s="63" t="inlineStr">
        <is>
          <t>n/m</t>
        </is>
      </c>
      <c r="BF435" s="74" t="n"/>
      <c r="BG435" s="74" t="n"/>
      <c r="BH435" s="74" t="n">
        <v>26.8</v>
      </c>
      <c r="BI435" s="75">
        <f>IF('BBG Verify'!S435="","not filed — run on terminal",'BBG Verify'!S435)</f>
        <v/>
      </c>
      <c r="BJ435" s="76" t="inlineStr">
        <is>
          <t>N</t>
        </is>
      </c>
      <c r="BK435" s="77">
        <f>IF('BBG Verify'!K435="","not filed — run on terminal",'BBG Verify'!K435)</f>
        <v/>
      </c>
      <c r="BL435" s="63" t="inlineStr">
        <is>
          <t>N/A</t>
        </is>
      </c>
      <c r="BM435" s="63" t="inlineStr">
        <is>
          <t>N/A</t>
        </is>
      </c>
      <c r="BN435" s="63" t="inlineStr">
        <is>
          <t>N/A</t>
        </is>
      </c>
      <c r="BO435" s="63" t="inlineStr">
        <is>
          <t>N/A</t>
        </is>
      </c>
      <c r="BP435" s="63" t="inlineStr">
        <is>
          <t>N/A</t>
        </is>
      </c>
      <c r="BQ435" s="63" t="inlineStr">
        <is>
          <t>N/A</t>
        </is>
      </c>
      <c r="BR435" s="76" t="n"/>
      <c r="BS435" s="63" t="inlineStr">
        <is>
          <t>China International Capital Corporation Hong Kong Securities Limited; BOCOM International (Asia) Limited; Guotai Junan Capital Limited</t>
        </is>
      </c>
      <c r="BT435" s="63" t="inlineStr">
        <is>
          <t>BOCOM International Securities Limited; China International Capital Corporation Hong Kong Securities Limited; Guotai Junan Securities (Hong Kong) Limited</t>
        </is>
      </c>
      <c r="BU435" s="63" t="inlineStr">
        <is>
          <t>BOCOM International Securities Limited; China International Capital Corporation Hong Kong Securities Limited; Guotai Junan Securities (Hong Kong) Limited</t>
        </is>
      </c>
      <c r="BV435" s="63" t="n"/>
      <c r="BW435" s="78">
        <f>HYPERLINK("https://www1.hkexnews.hk/listedco/listconews/sehk/2026/0209/2026020901278.pdf","allotment")</f>
        <v/>
      </c>
      <c r="BX435" s="63" t="n"/>
      <c r="BY435" s="76" t="n"/>
      <c r="BZ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72" t="n"/>
      <c r="AC436" s="66" t="n"/>
      <c r="AD436" s="72" t="n"/>
      <c r="AE436" s="63" t="n"/>
      <c r="AF436" s="63" t="inlineStr">
        <is>
          <t>partial</t>
        </is>
      </c>
      <c r="AG436" s="63" t="n"/>
      <c r="AH436" s="63" t="inlineStr">
        <is>
          <t>J.P. Morgan Securities</t>
        </is>
      </c>
      <c r="AI436" s="63" t="inlineStr">
        <is>
          <t>JP Morgan</t>
        </is>
      </c>
      <c r="AJ436" s="73" t="n">
        <v>0</v>
      </c>
      <c r="AK436" s="72" t="n">
        <v>1</v>
      </c>
      <c r="AL436" s="72" t="n">
        <v>-0.99</v>
      </c>
      <c r="AM436" s="72" t="n">
        <v>0.61</v>
      </c>
      <c r="AN436" s="72" t="n">
        <v>-9.039999999999999</v>
      </c>
      <c r="AO436" s="72" t="n">
        <v>15.5</v>
      </c>
      <c r="AP436" s="72" t="n">
        <v>0.61</v>
      </c>
      <c r="AQ436" s="72" t="n">
        <v>-9.039999999999999</v>
      </c>
      <c r="AR436" s="72" t="n">
        <v>15.5</v>
      </c>
      <c r="AS436" s="72" t="n">
        <v>1.12</v>
      </c>
      <c r="AT436" s="72" t="n">
        <v>-4.23</v>
      </c>
      <c r="AU436" s="72" t="n">
        <v>24.71</v>
      </c>
      <c r="AV436" s="72" t="n">
        <v>-3.62</v>
      </c>
      <c r="AW436" s="72" t="n">
        <v>-4.81</v>
      </c>
      <c r="AX436" s="72" t="n">
        <v>-5.42</v>
      </c>
      <c r="AY436" s="63" t="inlineStr">
        <is>
          <t>Hang Seng Commerce &amp; Industry sub-index</t>
        </is>
      </c>
      <c r="AZ436" s="72" t="n">
        <v>-34.28</v>
      </c>
      <c r="BA436" s="64" t="inlineStr">
        <is>
          <t>2026-08-28</t>
        </is>
      </c>
      <c r="BB436" s="65" t="n">
        <v>13040.6</v>
      </c>
      <c r="BC436" s="68" t="n">
        <v>314.7</v>
      </c>
      <c r="BD436" s="63" t="inlineStr">
        <is>
          <t>Y</t>
        </is>
      </c>
      <c r="BE436" s="74" t="n">
        <v>243.6</v>
      </c>
      <c r="BF436" s="74" t="n"/>
      <c r="BG436" s="74" t="n"/>
      <c r="BH436" s="74" t="n">
        <v>5.9</v>
      </c>
      <c r="BI436" s="75">
        <f>IF('BBG Verify'!S436="","not filed — run on terminal",'BBG Verify'!S436)</f>
        <v/>
      </c>
      <c r="BJ436" s="76" t="inlineStr">
        <is>
          <t>Y</t>
        </is>
      </c>
      <c r="BK436" s="63" t="inlineStr">
        <is>
          <t>300450.SZ</t>
        </is>
      </c>
      <c r="BL436" s="72" t="n">
        <v>41.82</v>
      </c>
      <c r="BM436" s="66" t="n">
        <v>64.9515</v>
      </c>
      <c r="BN436" s="80" t="n">
        <v>0.2401</v>
      </c>
      <c r="BO436" s="68" t="n">
        <v>65684.8</v>
      </c>
      <c r="BP436" s="75">
        <f>IF('BBG Verify'!Q436="","run on terminal",'BBG Verify'!Q436)</f>
        <v/>
      </c>
      <c r="BQ436" s="75">
        <f>IF('BBG Verify'!R436="","run on terminal",'BBG Verify'!R436)</f>
        <v/>
      </c>
      <c r="BR436" s="76" t="inlineStr">
        <is>
          <t>CITIC Securities (Hong Kong) Limited; J.P. Morgan Securities (Far East) Limited</t>
        </is>
      </c>
      <c r="BS436" s="63" t="inlineStr">
        <is>
          <t>J.P. Morgan Securities (Far East) Limited; CITIC Securities (Hong Kong) Limited</t>
        </is>
      </c>
      <c r="BT436" s="63" t="inlineStr">
        <is>
          <t>CMB International Capital Limited; ICBC International Securities Limited; SPDB International Capital Limited</t>
        </is>
      </c>
      <c r="BU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V436" s="78">
        <f>HYPERLINK("https://www1.hkexnews.hk/listedco/listconews/sehk/2026/0203/2026020300009.pdf","prospectus")</f>
        <v/>
      </c>
      <c r="BW436" s="78">
        <f>HYPERLINK("https://www1.hkexnews.hk/listedco/listconews/sehk/2026/0210/2026021001338.pdf","allotment")</f>
        <v/>
      </c>
      <c r="BX436" s="78">
        <f>HYPERLINK("https://www1.hkexnews.hk/listedco/listconews/sehk/2026/0308/2026030800191.pdf","stabilisation")</f>
        <v/>
      </c>
      <c r="BY436" s="76" t="n"/>
      <c r="BZ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 · grey market: no grey-market headline on file for this deal — AAStocks publishes one per listing but keeps only recent items on the stock's news page, and no public archive of past evening sessions exists; captured from this run onward</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72" t="n"/>
      <c r="AC437" s="66" t="n"/>
      <c r="AD437" s="72" t="n"/>
      <c r="AE437" s="63" t="n"/>
      <c r="AF437" s="63" t="n"/>
      <c r="AG437" s="63" t="n"/>
      <c r="AH437" s="63" t="n"/>
      <c r="AI437" s="63" t="n"/>
      <c r="AJ437" s="73" t="n">
        <v>242.2</v>
      </c>
      <c r="AK437" s="72" t="n">
        <v>204.14</v>
      </c>
      <c r="AL437" s="72" t="n">
        <v>12.51</v>
      </c>
      <c r="AM437" s="72" t="n">
        <v>298.74</v>
      </c>
      <c r="AN437" s="72" t="n">
        <v>204.69</v>
      </c>
      <c r="AO437" s="72" t="n">
        <v>132.45</v>
      </c>
      <c r="AP437" s="72" t="n">
        <v>16.52</v>
      </c>
      <c r="AQ437" s="72" t="n">
        <v>-10.96</v>
      </c>
      <c r="AR437" s="72" t="n">
        <v>-32.07</v>
      </c>
      <c r="AS437" s="72" t="n">
        <v>301.67</v>
      </c>
      <c r="AT437" s="72" t="n">
        <v>212.53</v>
      </c>
      <c r="AU437" s="72" t="n">
        <v>142.63</v>
      </c>
      <c r="AV437" s="72" t="n">
        <v>-4.09</v>
      </c>
      <c r="AW437" s="72" t="n">
        <v>-7.84</v>
      </c>
      <c r="AX437" s="72" t="n">
        <v>-6.87</v>
      </c>
      <c r="AY437" s="63" t="inlineStr">
        <is>
          <t>HSTECH (Hang Seng TECH ETF)</t>
        </is>
      </c>
      <c r="AZ437" s="72" t="n">
        <v>85.88</v>
      </c>
      <c r="BA437" s="64" t="inlineStr">
        <is>
          <t>2026-08-28</t>
        </is>
      </c>
      <c r="BB437" s="65" t="n">
        <v>553.4</v>
      </c>
      <c r="BC437" s="68" t="n">
        <v>-103.1</v>
      </c>
      <c r="BD437" s="63" t="inlineStr">
        <is>
          <t>N</t>
        </is>
      </c>
      <c r="BE437" s="63" t="inlineStr">
        <is>
          <t>n/m</t>
        </is>
      </c>
      <c r="BF437" s="74" t="n"/>
      <c r="BG437" s="74" t="n"/>
      <c r="BH437" s="74" t="n">
        <v>19.6</v>
      </c>
      <c r="BI437" s="75">
        <f>IF('BBG Verify'!S437="","not filed — run on terminal",'BBG Verify'!S437)</f>
        <v/>
      </c>
      <c r="BJ437" s="76" t="inlineStr">
        <is>
          <t>N</t>
        </is>
      </c>
      <c r="BK437" s="77">
        <f>IF('BBG Verify'!K437="","not filed — run on terminal",'BBG Verify'!K437)</f>
        <v/>
      </c>
      <c r="BL437" s="63" t="inlineStr">
        <is>
          <t>N/A</t>
        </is>
      </c>
      <c r="BM437" s="63" t="inlineStr">
        <is>
          <t>N/A</t>
        </is>
      </c>
      <c r="BN437" s="63" t="inlineStr">
        <is>
          <t>N/A</t>
        </is>
      </c>
      <c r="BO437" s="63" t="inlineStr">
        <is>
          <t>N/A</t>
        </is>
      </c>
      <c r="BP437" s="63" t="inlineStr">
        <is>
          <t>N/A</t>
        </is>
      </c>
      <c r="BQ437" s="63" t="inlineStr">
        <is>
          <t>N/A</t>
        </is>
      </c>
      <c r="BR437" s="76" t="inlineStr">
        <is>
          <t>CMB International Capital Limited; BOCI Asia Limited; Shenwan Hongyuan Capital (H.K.) Limited</t>
        </is>
      </c>
      <c r="BS437" s="63" t="inlineStr">
        <is>
          <t>CMB International Capital Limited; BOCI Asia Limited; Shenwan Hongyuan Capital (H.K.) Limited</t>
        </is>
      </c>
      <c r="BT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U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V437" s="78">
        <f>HYPERLINK("https://www1.hkexnews.hk/listedco/listconews/sehk/2026/0205/2026020500037.pdf","prospectus")</f>
        <v/>
      </c>
      <c r="BW437" s="78">
        <f>HYPERLINK("https://www1.hkexnews.hk/listedco/listconews/sehk/2026/0212/2026021201324.pdf","allotment")</f>
        <v/>
      </c>
      <c r="BX437" s="63" t="n"/>
      <c r="BY437" s="76" t="n"/>
      <c r="BZ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no grey-market headline on file for this deal — AAStocks publishes one per listing but keeps only recent items on the stock's news page, and no public archive of past evening sessions exists; captured from this run onward</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72" t="n"/>
      <c r="AC438" s="66" t="n"/>
      <c r="AD438" s="72" t="n"/>
      <c r="AE438" s="63" t="n"/>
      <c r="AF438" s="63" t="n"/>
      <c r="AG438" s="63" t="n"/>
      <c r="AH438" s="63" t="n"/>
      <c r="AI438" s="63" t="n"/>
      <c r="AJ438" s="73" t="n">
        <v>2.94</v>
      </c>
      <c r="AK438" s="72" t="n">
        <v>0.05</v>
      </c>
      <c r="AL438" s="72" t="n">
        <v>2.89</v>
      </c>
      <c r="AM438" s="72" t="n">
        <v>3.04</v>
      </c>
      <c r="AN438" s="72" t="n">
        <v>1.05</v>
      </c>
      <c r="AO438" s="72" t="n">
        <v>-28.07</v>
      </c>
      <c r="AP438" s="72" t="n">
        <v>0.1</v>
      </c>
      <c r="AQ438" s="72" t="n">
        <v>-1.84</v>
      </c>
      <c r="AR438" s="72" t="n">
        <v>-30.12</v>
      </c>
      <c r="AS438" s="72" t="n">
        <v>4.99</v>
      </c>
      <c r="AT438" s="72" t="n">
        <v>7.19</v>
      </c>
      <c r="AU438" s="72" t="n">
        <v>-18.36</v>
      </c>
      <c r="AV438" s="72" t="n">
        <v>2.93</v>
      </c>
      <c r="AW438" s="72" t="n">
        <v>-6.14</v>
      </c>
      <c r="AX438" s="72" t="n">
        <v>-4.77</v>
      </c>
      <c r="AY438" s="63" t="inlineStr">
        <is>
          <t>Hang Seng Commerce &amp; Industry sub-index</t>
        </is>
      </c>
      <c r="AZ438" s="72" t="n">
        <v>-49.58</v>
      </c>
      <c r="BA438" s="64" t="inlineStr">
        <is>
          <t>2026-08-28</t>
        </is>
      </c>
      <c r="BB438" s="65" t="n">
        <v>7612.1</v>
      </c>
      <c r="BC438" s="68" t="n">
        <v>1012.6</v>
      </c>
      <c r="BD438" s="63" t="inlineStr">
        <is>
          <t>Y</t>
        </is>
      </c>
      <c r="BE438" s="74" t="n">
        <v>27.8</v>
      </c>
      <c r="BF438" s="74" t="n">
        <v>19.9</v>
      </c>
      <c r="BG438" s="74" t="n">
        <v>10.1</v>
      </c>
      <c r="BH438" s="74" t="n">
        <v>3.7</v>
      </c>
      <c r="BI438" s="75">
        <f>IF('BBG Verify'!S438="","not filed — run on terminal",'BBG Verify'!S438)</f>
        <v/>
      </c>
      <c r="BJ438" s="76" t="inlineStr">
        <is>
          <t>Y</t>
        </is>
      </c>
      <c r="BK438" s="63" t="inlineStr">
        <is>
          <t>002130.SZ</t>
        </is>
      </c>
      <c r="BL438" s="72" t="n">
        <v>58.6</v>
      </c>
      <c r="BM438" s="66" t="n">
        <v>31.8623</v>
      </c>
      <c r="BN438" s="80" t="n">
        <v>0.9814000000000001</v>
      </c>
      <c r="BO438" s="68" t="n">
        <v>27970.6</v>
      </c>
      <c r="BP438" s="75">
        <f>IF('BBG Verify'!Q438="","run on terminal",'BBG Verify'!Q438)</f>
        <v/>
      </c>
      <c r="BQ438" s="75">
        <f>IF('BBG Verify'!R438="","run on terminal",'BBG Verify'!R438)</f>
        <v/>
      </c>
      <c r="BR438" s="76" t="n"/>
      <c r="BS438" s="63" t="inlineStr">
        <is>
          <t>China Securities (International) Corporate Finance Company Limited; China Merchants Securities (HK) Company Limited</t>
        </is>
      </c>
      <c r="BT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78">
        <f>HYPERLINK("https://www1.hkexnews.hk/listedco/listconews/sehk/2026/0205/2026020500092.htm","prospectus")</f>
        <v/>
      </c>
      <c r="BW438" s="78">
        <f>HYPERLINK("https://www1.hkexnews.hk/listedco/listconews/sehk/2026/0212/2026021201492.pdf","allotment")</f>
        <v/>
      </c>
      <c r="BX438" s="63" t="n"/>
      <c r="BY438" s="76" t="n"/>
      <c r="BZ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no grey-market headline on file for this deal — AAStocks publishes one per listing but keeps only recent items on the stock's news page, and no public archive of past evening sessions exists; captured from this run onward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72" t="n">
        <v>-8.199999999999999</v>
      </c>
      <c r="AC439" s="66" t="n">
        <v>14.1</v>
      </c>
      <c r="AD439" s="72" t="n">
        <v>-8.52</v>
      </c>
      <c r="AE439" s="63" t="inlineStr">
        <is>
          <t>Y</t>
        </is>
      </c>
      <c r="AF439" s="63" t="inlineStr">
        <is>
          <t>lapsed</t>
        </is>
      </c>
      <c r="AG439" s="63" t="inlineStr">
        <is>
          <t>2026-04-03</t>
        </is>
      </c>
      <c r="AH439" s="63" t="inlineStr">
        <is>
          <t>Huatai Financial Holdings</t>
        </is>
      </c>
      <c r="AI439" s="63" t="inlineStr">
        <is>
          <t>Huatai</t>
        </is>
      </c>
      <c r="AJ439" s="73" t="n">
        <v>-16.02</v>
      </c>
      <c r="AK439" s="72" t="n">
        <v>0</v>
      </c>
      <c r="AL439" s="72" t="n">
        <v>-16.02</v>
      </c>
      <c r="AM439" s="72" t="n">
        <v>-16.41</v>
      </c>
      <c r="AN439" s="72" t="n">
        <v>-16.73</v>
      </c>
      <c r="AO439" s="72" t="n">
        <v>8.27</v>
      </c>
      <c r="AP439" s="72" t="n">
        <v>-0.46</v>
      </c>
      <c r="AQ439" s="72" t="n">
        <v>-0.85</v>
      </c>
      <c r="AR439" s="72" t="n">
        <v>28.92</v>
      </c>
      <c r="AS439" s="72" t="n">
        <v>-19.76</v>
      </c>
      <c r="AT439" s="72" t="n">
        <v>-15.12</v>
      </c>
      <c r="AU439" s="72" t="n">
        <v>13.98</v>
      </c>
      <c r="AV439" s="72" t="n">
        <v>0.47</v>
      </c>
      <c r="AW439" s="72" t="n">
        <v>-1.61</v>
      </c>
      <c r="AX439" s="72" t="n">
        <v>-1.32</v>
      </c>
      <c r="AY439" s="63" t="inlineStr">
        <is>
          <t>HSTECH (Hang Seng TECH ETF)</t>
        </is>
      </c>
      <c r="AZ439" s="72" t="n">
        <v>11</v>
      </c>
      <c r="BA439" s="64" t="inlineStr">
        <is>
          <t>2026-08-28</t>
        </is>
      </c>
      <c r="BB439" s="65" t="n">
        <v>4409.6</v>
      </c>
      <c r="BC439" s="68" t="n">
        <v>-664.6</v>
      </c>
      <c r="BD439" s="63" t="inlineStr">
        <is>
          <t>N</t>
        </is>
      </c>
      <c r="BE439" s="63" t="inlineStr">
        <is>
          <t>n/m</t>
        </is>
      </c>
      <c r="BF439" s="74" t="n">
        <v>210.8</v>
      </c>
      <c r="BG439" s="74" t="n">
        <v>303.5</v>
      </c>
      <c r="BH439" s="74" t="n">
        <v>3.7</v>
      </c>
      <c r="BI439" s="75">
        <f>IF('BBG Verify'!S439="","not filed — run on terminal",'BBG Verify'!S439)</f>
        <v/>
      </c>
      <c r="BJ439" s="76" t="inlineStr">
        <is>
          <t>Y</t>
        </is>
      </c>
      <c r="BK439" s="63" t="inlineStr">
        <is>
          <t>002747.SZ</t>
        </is>
      </c>
      <c r="BL439" s="72" t="n">
        <v>64.04000000000001</v>
      </c>
      <c r="BM439" s="66" t="n">
        <v>25.1964</v>
      </c>
      <c r="BN439" s="80" t="n">
        <v>1.1519</v>
      </c>
      <c r="BO439" s="68" t="n">
        <v>35753.8</v>
      </c>
      <c r="BP439" s="75">
        <f>IF('BBG Verify'!Q439="","run on terminal",'BBG Verify'!Q439)</f>
        <v/>
      </c>
      <c r="BQ439" s="75">
        <f>IF('BBG Verify'!R439="","run on terminal",'BBG Verify'!R439)</f>
        <v/>
      </c>
      <c r="BR439" s="76" t="inlineStr">
        <is>
          <t>Huatai Financial Holdings (Hong Kong) Limited</t>
        </is>
      </c>
      <c r="BS439" s="63" t="inlineStr">
        <is>
          <t>Huatai Financial Holdings (Hong Kong) Limited</t>
        </is>
      </c>
      <c r="BT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U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V439" s="78">
        <f>HYPERLINK("https://www1.hkexnews.hk/listedco/listconews/sehk/2026/0227/2026022700017.pdf","prospectus")</f>
        <v/>
      </c>
      <c r="BW439" s="78">
        <f>HYPERLINK("https://www1.hkexnews.hk/listedco/listconews/sehk/2026/0306/2026030601391.pdf","allotment")</f>
        <v/>
      </c>
      <c r="BX439" s="78">
        <f>HYPERLINK("https://www1.hkexnews.hk/listedco/listconews/sehk/2026/0407/2026040700049.pdf","stabilisation")</f>
        <v/>
      </c>
      <c r="BY439" s="76" t="n"/>
      <c r="BZ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72" t="n">
        <v>-0.9</v>
      </c>
      <c r="AC440" s="66" t="n">
        <v>10.9</v>
      </c>
      <c r="AD440" s="72" t="n">
        <v>-43.13</v>
      </c>
      <c r="AE440" s="63" t="inlineStr">
        <is>
          <t>Y</t>
        </is>
      </c>
      <c r="AF440" s="63" t="n"/>
      <c r="AG440" s="63" t="n"/>
      <c r="AH440" s="63" t="inlineStr">
        <is>
          <t>China Securities</t>
        </is>
      </c>
      <c r="AI440" s="63" t="inlineStr">
        <is>
          <t>China Securities</t>
        </is>
      </c>
      <c r="AJ440" s="73" t="n">
        <v>-43.64</v>
      </c>
      <c r="AK440" s="72" t="n">
        <v>-31.82</v>
      </c>
      <c r="AL440" s="72" t="n">
        <v>-17.34</v>
      </c>
      <c r="AM440" s="72" t="n">
        <v>-53.09</v>
      </c>
      <c r="AN440" s="72" t="n">
        <v>-64.55</v>
      </c>
      <c r="AO440" s="72" t="n">
        <v>-64.55</v>
      </c>
      <c r="AP440" s="72" t="n">
        <v>-16.77</v>
      </c>
      <c r="AQ440" s="72" t="n">
        <v>-37.1</v>
      </c>
      <c r="AR440" s="72" t="n">
        <v>-37.1</v>
      </c>
      <c r="AS440" s="72" t="n">
        <v>-55.39</v>
      </c>
      <c r="AT440" s="72" t="n">
        <v>-63.77</v>
      </c>
      <c r="AU440" s="72" t="n">
        <v>-55.82</v>
      </c>
      <c r="AV440" s="72" t="n">
        <v>-37.03</v>
      </c>
      <c r="AW440" s="72" t="n">
        <v>-0.78</v>
      </c>
      <c r="AX440" s="72" t="n">
        <v>-0.07000000000000001</v>
      </c>
      <c r="AY440" s="63" t="inlineStr">
        <is>
          <t>Hang Seng Commerce &amp; Industry sub-index</t>
        </is>
      </c>
      <c r="AZ440" s="72" t="n">
        <v>-64.55</v>
      </c>
      <c r="BA440" s="64" t="inlineStr">
        <is>
          <t>2026-08-28</t>
        </is>
      </c>
      <c r="BB440" s="65" t="n">
        <v>921.4</v>
      </c>
      <c r="BC440" s="68" t="n">
        <v>55.8</v>
      </c>
      <c r="BD440" s="63" t="inlineStr">
        <is>
          <t>Y</t>
        </is>
      </c>
      <c r="BE440" s="74" t="n">
        <v>17.8</v>
      </c>
      <c r="BF440" s="74" t="n"/>
      <c r="BG440" s="74" t="n"/>
      <c r="BH440" s="74" t="n">
        <v>1.1</v>
      </c>
      <c r="BI440" s="75">
        <f>IF('BBG Verify'!S440="","not filed — run on terminal",'BBG Verify'!S440)</f>
        <v/>
      </c>
      <c r="BJ440" s="76" t="inlineStr">
        <is>
          <t>N</t>
        </is>
      </c>
      <c r="BK440" s="77">
        <f>IF('BBG Verify'!K440="","not filed — run on terminal",'BBG Verify'!K440)</f>
        <v/>
      </c>
      <c r="BL440" s="63" t="inlineStr">
        <is>
          <t>N/A</t>
        </is>
      </c>
      <c r="BM440" s="63" t="inlineStr">
        <is>
          <t>N/A</t>
        </is>
      </c>
      <c r="BN440" s="63" t="inlineStr">
        <is>
          <t>N/A</t>
        </is>
      </c>
      <c r="BO440" s="63" t="inlineStr">
        <is>
          <t>N/A</t>
        </is>
      </c>
      <c r="BP440" s="63" t="inlineStr">
        <is>
          <t>N/A</t>
        </is>
      </c>
      <c r="BQ440" s="63" t="inlineStr">
        <is>
          <t>N/A</t>
        </is>
      </c>
      <c r="BR440" s="76" t="inlineStr">
        <is>
          <t>China Securities (International) Corporate Finance Company Limited</t>
        </is>
      </c>
      <c r="BS440" s="63" t="inlineStr">
        <is>
          <t>China Securities (International) Corporate Finance Company Limited</t>
        </is>
      </c>
      <c r="BT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U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V440" s="78">
        <f>HYPERLINK("https://www1.hkexnews.hk/listedco/listconews/sehk/2026/0227/2026022700013.pdf","prospectus")</f>
        <v/>
      </c>
      <c r="BW440" s="78">
        <f>HYPERLINK("https://www1.hkexnews.hk/listedco/listconews/sehk/2026/0306/2026030601405.pdf","allotment")</f>
        <v/>
      </c>
      <c r="BX440" s="63" t="n"/>
      <c r="BY440" s="76" t="n"/>
      <c r="BZ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72" t="n">
        <v>16.2</v>
      </c>
      <c r="AC441" s="66" t="n">
        <v>82.8</v>
      </c>
      <c r="AD441" s="72" t="n">
        <v>-11.87</v>
      </c>
      <c r="AE441" s="63" t="inlineStr">
        <is>
          <t>Y</t>
        </is>
      </c>
      <c r="AF441" s="63" t="n"/>
      <c r="AG441" s="63" t="n"/>
      <c r="AH441" s="63" t="n"/>
      <c r="AI441" s="63" t="n"/>
      <c r="AJ441" s="73" t="n">
        <v>2.41</v>
      </c>
      <c r="AK441" s="72" t="n">
        <v>9.43</v>
      </c>
      <c r="AL441" s="72" t="n">
        <v>-6.42</v>
      </c>
      <c r="AM441" s="72" t="n">
        <v>11.39</v>
      </c>
      <c r="AN441" s="72" t="n">
        <v>-7.48</v>
      </c>
      <c r="AO441" s="72" t="n">
        <v>-13.09</v>
      </c>
      <c r="AP441" s="72" t="n">
        <v>8.77</v>
      </c>
      <c r="AQ441" s="72" t="n">
        <v>-9.66</v>
      </c>
      <c r="AR441" s="72" t="n">
        <v>-15.14</v>
      </c>
      <c r="AS441" s="72" t="n">
        <v>9.09</v>
      </c>
      <c r="AT441" s="72" t="n">
        <v>-6.7</v>
      </c>
      <c r="AU441" s="72" t="n">
        <v>-4.36</v>
      </c>
      <c r="AV441" s="72" t="n">
        <v>-9.59</v>
      </c>
      <c r="AW441" s="72" t="n">
        <v>-0.78</v>
      </c>
      <c r="AX441" s="72" t="n">
        <v>-0.07000000000000001</v>
      </c>
      <c r="AY441" s="63" t="inlineStr">
        <is>
          <t>Hang Seng Commerce &amp; Industry sub-index</t>
        </is>
      </c>
      <c r="AZ441" s="72" t="n">
        <v>-42.82</v>
      </c>
      <c r="BA441" s="64" t="inlineStr">
        <is>
          <t>2026-08-28</t>
        </is>
      </c>
      <c r="BB441" s="65" t="n">
        <v>1677.1</v>
      </c>
      <c r="BC441" s="68" t="n">
        <v>248</v>
      </c>
      <c r="BD441" s="63" t="inlineStr">
        <is>
          <t>Y</t>
        </is>
      </c>
      <c r="BE441" s="74" t="n">
        <v>76.90000000000001</v>
      </c>
      <c r="BF441" s="74" t="n">
        <v>61</v>
      </c>
      <c r="BG441" s="74" t="n">
        <v>45</v>
      </c>
      <c r="BH441" s="74" t="n">
        <v>11.4</v>
      </c>
      <c r="BI441" s="75">
        <f>IF('BBG Verify'!S441="","not filed — run on terminal",'BBG Verify'!S441)</f>
        <v/>
      </c>
      <c r="BJ441" s="76" t="inlineStr">
        <is>
          <t>Y</t>
        </is>
      </c>
      <c r="BK441" s="63" t="inlineStr">
        <is>
          <t>003021.SZ</t>
        </is>
      </c>
      <c r="BL441" s="72" t="n">
        <v>87.19</v>
      </c>
      <c r="BM441" s="66" t="n">
        <v>133.4288</v>
      </c>
      <c r="BN441" s="80" t="n">
        <v>1.1195</v>
      </c>
      <c r="BO441" s="68" t="n">
        <v>23443</v>
      </c>
      <c r="BP441" s="75">
        <f>IF('BBG Verify'!Q441="","run on terminal",'BBG Verify'!Q441)</f>
        <v/>
      </c>
      <c r="BQ441" s="75">
        <f>IF('BBG Verify'!R441="","run on terminal",'BBG Verify'!R441)</f>
        <v/>
      </c>
      <c r="BR441" s="76" t="inlineStr">
        <is>
          <t>China Merchants Securities (HK) Co., Limited; Deutsche Securities Asia Limited</t>
        </is>
      </c>
      <c r="BS441" s="63" t="inlineStr">
        <is>
          <t>Deutsche Securities Asia Limited; China Merchants Securities (HK) Company Limited</t>
        </is>
      </c>
      <c r="BT441" s="63" t="inlineStr">
        <is>
          <t>China Merchants Securities (HK) Co., Limited; Deutsche Bank AG, Hong Kong Branch; CLSA Limited; ABCI Capital Limited; BOCOM International Securities Limited; Futu Securities International (Hong Kong) Limited; Y ellow River Securities Limited</t>
        </is>
      </c>
      <c r="BU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V441" s="78">
        <f>HYPERLINK("https://www1.hkexnews.hk/listedco/listconews/sehk/2026/0227/2026022700015.pdf","prospectus")</f>
        <v/>
      </c>
      <c r="BW441" s="78">
        <f>HYPERLINK("https://www1.hkexnews.hk/listedco/listconews/sehk/2026/0306/2026030601575.pdf","allotment")</f>
        <v/>
      </c>
      <c r="BX441" s="63" t="n"/>
      <c r="BY441" s="76" t="n"/>
      <c r="BZ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72" t="n">
        <v>1.9</v>
      </c>
      <c r="AC442" s="66" t="n">
        <v>29.4</v>
      </c>
      <c r="AD442" s="72" t="n">
        <v>-0.37</v>
      </c>
      <c r="AE442" s="63" t="inlineStr">
        <is>
          <t>Y</t>
        </is>
      </c>
      <c r="AF442" s="63" t="n"/>
      <c r="AG442" s="63" t="n"/>
      <c r="AH442" s="63" t="n"/>
      <c r="AI442" s="63" t="n"/>
      <c r="AJ442" s="73" t="n">
        <v>1.52</v>
      </c>
      <c r="AK442" s="72" t="n">
        <v>0.62</v>
      </c>
      <c r="AL442" s="72" t="n">
        <v>0.89</v>
      </c>
      <c r="AM442" s="72" t="n">
        <v>-10.05</v>
      </c>
      <c r="AN442" s="72" t="n">
        <v>-20.03</v>
      </c>
      <c r="AO442" s="72" t="n">
        <v>-29.11</v>
      </c>
      <c r="AP442" s="72" t="n">
        <v>-11.4</v>
      </c>
      <c r="AQ442" s="72" t="n">
        <v>-21.23</v>
      </c>
      <c r="AR442" s="72" t="n">
        <v>-30.17</v>
      </c>
      <c r="AS442" s="72" t="n">
        <v>-13.7</v>
      </c>
      <c r="AT442" s="72" t="n">
        <v>-18</v>
      </c>
      <c r="AU442" s="72" t="n">
        <v>-24.71</v>
      </c>
      <c r="AV442" s="72" t="n">
        <v>-16.75</v>
      </c>
      <c r="AW442" s="72" t="n">
        <v>-2.03</v>
      </c>
      <c r="AX442" s="72" t="n">
        <v>-4.48</v>
      </c>
      <c r="AY442" s="63" t="inlineStr">
        <is>
          <t>HSTECH (Hang Seng TECH ETF)</t>
        </is>
      </c>
      <c r="AZ442" s="72" t="n">
        <v>-33.58</v>
      </c>
      <c r="BA442" s="64" t="inlineStr">
        <is>
          <t>2026-08-28</t>
        </is>
      </c>
      <c r="BB442" s="65" t="n">
        <v>3235.5</v>
      </c>
      <c r="BC442" s="68" t="n">
        <v>147.8</v>
      </c>
      <c r="BD442" s="63" t="inlineStr">
        <is>
          <t>Y</t>
        </is>
      </c>
      <c r="BE442" s="74" t="n">
        <v>59</v>
      </c>
      <c r="BF442" s="74" t="n">
        <v>47.3</v>
      </c>
      <c r="BG442" s="74" t="n">
        <v>28.6</v>
      </c>
      <c r="BH442" s="74" t="n">
        <v>2.7</v>
      </c>
      <c r="BI442" s="75">
        <f>IF('BBG Verify'!S442="","not filed — run on terminal",'BBG Verify'!S442)</f>
        <v/>
      </c>
      <c r="BJ442" s="76" t="inlineStr">
        <is>
          <t>Y</t>
        </is>
      </c>
      <c r="BK442" s="63" t="inlineStr">
        <is>
          <t>002881.SZ</t>
        </is>
      </c>
      <c r="BL442" s="72" t="n">
        <v>92.41</v>
      </c>
      <c r="BM442" s="66" t="n">
        <v>55.5283</v>
      </c>
      <c r="BN442" s="80" t="n">
        <v>1.2774</v>
      </c>
      <c r="BO442" s="68" t="n">
        <v>15823.2</v>
      </c>
      <c r="BP442" s="75">
        <f>IF('BBG Verify'!Q442="","run on terminal",'BBG Verify'!Q442)</f>
        <v/>
      </c>
      <c r="BQ442" s="75">
        <f>IF('BBG Verify'!R442="","run on terminal",'BBG Verify'!R442)</f>
        <v/>
      </c>
      <c r="BR442" s="76" t="inlineStr">
        <is>
          <t>China International Capital Corporation Hong Kong Securities Limited</t>
        </is>
      </c>
      <c r="BS442" s="63" t="inlineStr">
        <is>
          <t>China International Capital Corporation Hong Kong Securities Limited</t>
        </is>
      </c>
      <c r="BT442" s="63" t="inlineStr">
        <is>
          <t>China International Capital Corporation Hong Kong Securities Limited; BNP Paribas Securities (Asia) Limited; Futu Securities International (Hong Kong) Limited; Tiger Brokers (HK) Global Limited; Open Securities Limited</t>
        </is>
      </c>
      <c r="BU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V442" s="78">
        <f>HYPERLINK("https://www1.hkexnews.hk/listedco/listconews/sehk/2026/0227/2026022700019.pdf","prospectus")</f>
        <v/>
      </c>
      <c r="BW442" s="78">
        <f>HYPERLINK("https://www1.hkexnews.hk/listedco/listconews/sehk/2026/0309/2026030901426.pdf","allotment")</f>
        <v/>
      </c>
      <c r="BX442" s="63" t="n"/>
      <c r="BY442" s="76" t="n"/>
      <c r="BZ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72" t="n"/>
      <c r="AC443" s="66" t="n"/>
      <c r="AD443" s="72" t="n"/>
      <c r="AE443" s="63" t="n"/>
      <c r="AF443" s="63" t="n"/>
      <c r="AG443" s="63" t="n"/>
      <c r="AH443" s="63" t="n"/>
      <c r="AI443" s="63" t="n"/>
      <c r="AJ443" s="73" t="n">
        <v>33.56</v>
      </c>
      <c r="AK443" s="72" t="n">
        <v>32.23</v>
      </c>
      <c r="AL443" s="72" t="n">
        <v>1.01</v>
      </c>
      <c r="AM443" s="72" t="n">
        <v>35.99</v>
      </c>
      <c r="AN443" s="72" t="n">
        <v>111.32</v>
      </c>
      <c r="AO443" s="72" t="n">
        <v>163.63</v>
      </c>
      <c r="AP443" s="72" t="n">
        <v>1.82</v>
      </c>
      <c r="AQ443" s="72" t="n">
        <v>58.22</v>
      </c>
      <c r="AR443" s="72" t="n">
        <v>97.39</v>
      </c>
      <c r="AS443" s="72" t="n">
        <v>40.09</v>
      </c>
      <c r="AT443" s="72" t="n">
        <v>113.82</v>
      </c>
      <c r="AU443" s="72" t="n">
        <v>174.9</v>
      </c>
      <c r="AV443" s="72" t="n">
        <v>58.48</v>
      </c>
      <c r="AW443" s="72" t="n">
        <v>-2.5</v>
      </c>
      <c r="AX443" s="72" t="n">
        <v>-0.26</v>
      </c>
      <c r="AY443" s="63" t="inlineStr">
        <is>
          <t>HSTECH (Hang Seng TECH ETF)</t>
        </is>
      </c>
      <c r="AZ443" s="72" t="n">
        <v>76.27</v>
      </c>
      <c r="BA443" s="64" t="inlineStr">
        <is>
          <t>2026-08-28</t>
        </is>
      </c>
      <c r="BB443" s="65" t="n">
        <v>6033.9</v>
      </c>
      <c r="BC443" s="68" t="n">
        <v>1117.4</v>
      </c>
      <c r="BD443" s="63" t="inlineStr">
        <is>
          <t>Y</t>
        </is>
      </c>
      <c r="BE443" s="74" t="n">
        <v>30.4</v>
      </c>
      <c r="BF443" s="74" t="n">
        <v>35.4</v>
      </c>
      <c r="BG443" s="74" t="n">
        <v>38.1</v>
      </c>
      <c r="BH443" s="74" t="n">
        <v>5.6</v>
      </c>
      <c r="BI443" s="75">
        <f>IF('BBG Verify'!S443="","not filed — run on terminal",'BBG Verify'!S443)</f>
        <v/>
      </c>
      <c r="BJ443" s="76" t="inlineStr">
        <is>
          <t>Y</t>
        </is>
      </c>
      <c r="BK443" s="63" t="inlineStr">
        <is>
          <t>001389.SZ</t>
        </is>
      </c>
      <c r="BL443" s="72" t="n">
        <v>83.56</v>
      </c>
      <c r="BM443" s="66" t="n">
        <v>131.9413</v>
      </c>
      <c r="BN443" s="80" t="n">
        <v>0.4545</v>
      </c>
      <c r="BO443" s="68" t="n">
        <v>89757.89999999999</v>
      </c>
      <c r="BP443" s="75">
        <f>IF('BBG Verify'!Q443="","run on terminal",'BBG Verify'!Q443)</f>
        <v/>
      </c>
      <c r="BQ443" s="75">
        <f>IF('BBG Verify'!R443="","run on terminal",'BBG Verify'!R443)</f>
        <v/>
      </c>
      <c r="BR443" s="76" t="n"/>
      <c r="BS443" s="63" t="inlineStr">
        <is>
          <t>CITIC Securities (Hong Kong) Limited</t>
        </is>
      </c>
      <c r="BT443" s="63" t="inlineStr">
        <is>
          <t>CLSA Limited; GF Securities (Hong Kong) Brokerage Limited; Guolian Securities International Capital Market Co., Limited; Huatai Financial Holdings (Hong Kong) Limited; The Hongkong and Shanghai Banking Corporation Limited</t>
        </is>
      </c>
      <c r="BU443" s="63" t="inlineStr">
        <is>
          <t>CLSA Limited; GF Securities (Hong Kong) Brokerage Limited; Guolian Securities International Capital Market Co., Limited; Huatai Financial Holdings (Hong Kong) Limited; The Hongkong and Shanghai Banking Corporation Limited</t>
        </is>
      </c>
      <c r="BV443" s="63" t="n"/>
      <c r="BW443" s="78">
        <f>HYPERLINK("https://www1.hkexnews.hk/listedco/listconews/sehk/2026/0319/2026031901556.pdf","allotment")</f>
        <v/>
      </c>
      <c r="BX443" s="63" t="n"/>
      <c r="BY443" s="76" t="n"/>
      <c r="BZ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72" t="n">
        <v>8.300000000000001</v>
      </c>
      <c r="AC444" s="66" t="n">
        <v>11.7</v>
      </c>
      <c r="AD444" s="72" t="n">
        <v>-3.81</v>
      </c>
      <c r="AE444" s="63" t="inlineStr">
        <is>
          <t>Y</t>
        </is>
      </c>
      <c r="AF444" s="63" t="n"/>
      <c r="AG444" s="63" t="n"/>
      <c r="AH444" s="63" t="n"/>
      <c r="AI444" s="63" t="n"/>
      <c r="AJ444" s="73" t="n">
        <v>4.17</v>
      </c>
      <c r="AK444" s="72" t="n">
        <v>32.41</v>
      </c>
      <c r="AL444" s="72" t="n">
        <v>-21.33</v>
      </c>
      <c r="AM444" s="72" t="n">
        <v>21.11</v>
      </c>
      <c r="AN444" s="72" t="n">
        <v>14.54</v>
      </c>
      <c r="AO444" s="72" t="n">
        <v>17.78</v>
      </c>
      <c r="AP444" s="72" t="n">
        <v>16.26</v>
      </c>
      <c r="AQ444" s="72" t="n">
        <v>9.949999999999999</v>
      </c>
      <c r="AR444" s="72" t="n">
        <v>13.07</v>
      </c>
      <c r="AS444" s="72" t="n">
        <v>24.88</v>
      </c>
      <c r="AT444" s="72" t="n">
        <v>13.91</v>
      </c>
      <c r="AU444" s="72" t="n">
        <v>30.15</v>
      </c>
      <c r="AV444" s="72" t="n">
        <v>5.74</v>
      </c>
      <c r="AW444" s="72" t="n">
        <v>0.63</v>
      </c>
      <c r="AX444" s="72" t="n">
        <v>4.21</v>
      </c>
      <c r="AY444" s="63" t="inlineStr">
        <is>
          <t>HSTECH (Hang Seng TECH ETF)</t>
        </is>
      </c>
      <c r="AZ444" s="72" t="n">
        <v>-15.23</v>
      </c>
      <c r="BA444" s="64" t="inlineStr">
        <is>
          <t>2026-08-28</t>
        </is>
      </c>
      <c r="BB444" s="65" t="n">
        <v>1284.3</v>
      </c>
      <c r="BC444" s="68" t="n">
        <v>-281.3</v>
      </c>
      <c r="BD444" s="63" t="inlineStr">
        <is>
          <t>N</t>
        </is>
      </c>
      <c r="BE444" s="63" t="inlineStr">
        <is>
          <t>n/m</t>
        </is>
      </c>
      <c r="BF444" s="74" t="n"/>
      <c r="BG444" s="74" t="n"/>
      <c r="BH444" s="74" t="n">
        <v>5.7</v>
      </c>
      <c r="BI444" s="75">
        <f>IF('BBG Verify'!S444="","not filed — run on terminal",'BBG Verify'!S444)</f>
        <v/>
      </c>
      <c r="BJ444" s="76" t="inlineStr">
        <is>
          <t>Y</t>
        </is>
      </c>
      <c r="BK444" s="63" t="inlineStr">
        <is>
          <t>300077.SZ</t>
        </is>
      </c>
      <c r="BL444" s="72" t="n">
        <v>128.98</v>
      </c>
      <c r="BM444" s="66" t="n">
        <v>24.7297</v>
      </c>
      <c r="BN444" s="80" t="n">
        <v>1.6302</v>
      </c>
      <c r="BO444" s="68" t="n">
        <v>16500</v>
      </c>
      <c r="BP444" s="75">
        <f>IF('BBG Verify'!Q444="","run on terminal",'BBG Verify'!Q444)</f>
        <v/>
      </c>
      <c r="BQ444" s="75">
        <f>IF('BBG Verify'!R444="","run on terminal",'BBG Verify'!R444)</f>
        <v/>
      </c>
      <c r="BR444" s="76" t="inlineStr">
        <is>
          <t>CITIC Securities (Hong Kong) Limited</t>
        </is>
      </c>
      <c r="BS444" s="63" t="inlineStr">
        <is>
          <t>CITIC Securities (Hong Kong) Limited</t>
        </is>
      </c>
      <c r="BT444" s="63" t="inlineStr">
        <is>
          <t>CLSA Limited; BOCOM International Securities Limited; SPDB International Capital Limited; Jinluo Securities Limited</t>
        </is>
      </c>
      <c r="BU444" s="63" t="inlineStr">
        <is>
          <t>BOCOM International Securities Limited; CLSA Limited; Futu Securities International (Hong Kong) Limited; Jinluo Securities Limited; SPDB International Capital Limited</t>
        </is>
      </c>
      <c r="BV444" s="78">
        <f>HYPERLINK("https://www1.hkexnews.hk/listedco/listconews/sehk/2026/0313/2026031300049.pdf","prospectus")</f>
        <v/>
      </c>
      <c r="BW444" s="78">
        <f>HYPERLINK("https://www1.hkexnews.hk/listedco/listconews/sehk/2026/0320/2026032001594.pdf","allotment")</f>
        <v/>
      </c>
      <c r="BX444" s="63" t="n"/>
      <c r="BY444" s="76" t="n"/>
      <c r="BZ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72" t="n">
        <v>46.4</v>
      </c>
      <c r="AC445" s="66" t="n">
        <v>60.9</v>
      </c>
      <c r="AD445" s="72" t="n">
        <v>-22.5</v>
      </c>
      <c r="AE445" s="63" t="inlineStr">
        <is>
          <t>Y</t>
        </is>
      </c>
      <c r="AF445" s="63" t="n"/>
      <c r="AG445" s="63" t="n"/>
      <c r="AH445" s="63" t="inlineStr">
        <is>
          <t>China International Capital Corporation Hong Kong Securities Limited</t>
        </is>
      </c>
      <c r="AI445" s="63" t="inlineStr">
        <is>
          <t>China International</t>
        </is>
      </c>
      <c r="AJ445" s="73" t="n">
        <v>13.46</v>
      </c>
      <c r="AK445" s="72" t="n">
        <v>34.62</v>
      </c>
      <c r="AL445" s="72" t="n">
        <v>-15.72</v>
      </c>
      <c r="AM445" s="72" t="n">
        <v>3.94</v>
      </c>
      <c r="AN445" s="72" t="n">
        <v>7.5</v>
      </c>
      <c r="AO445" s="72" t="n">
        <v>-13.99</v>
      </c>
      <c r="AP445" s="72" t="n">
        <v>-8.390000000000001</v>
      </c>
      <c r="AQ445" s="72" t="n">
        <v>-5.25</v>
      </c>
      <c r="AR445" s="72" t="n">
        <v>-24.19</v>
      </c>
      <c r="AS445" s="72" t="n">
        <v>7.71</v>
      </c>
      <c r="AT445" s="72" t="n">
        <v>6.87</v>
      </c>
      <c r="AU445" s="72" t="n">
        <v>-1.62</v>
      </c>
      <c r="AV445" s="72" t="n">
        <v>-9.460000000000001</v>
      </c>
      <c r="AW445" s="72" t="n">
        <v>0.63</v>
      </c>
      <c r="AX445" s="72" t="n">
        <v>4.21</v>
      </c>
      <c r="AY445" s="63" t="inlineStr">
        <is>
          <t>HSTECH (Hang Seng TECH ETF)</t>
        </is>
      </c>
      <c r="AZ445" s="72" t="n">
        <v>1.15</v>
      </c>
      <c r="BA445" s="64" t="inlineStr">
        <is>
          <t>2026-08-28</t>
        </is>
      </c>
      <c r="BB445" s="65" t="n">
        <v>3262.2</v>
      </c>
      <c r="BC445" s="68" t="n">
        <v>661.6</v>
      </c>
      <c r="BD445" s="63" t="inlineStr">
        <is>
          <t>Y</t>
        </is>
      </c>
      <c r="BE445" s="74" t="n">
        <v>25.2</v>
      </c>
      <c r="BF445" s="74" t="n"/>
      <c r="BG445" s="74" t="n"/>
      <c r="BH445" s="74" t="n">
        <v>5.1</v>
      </c>
      <c r="BI445" s="75">
        <f>IF('BBG Verify'!S445="","not filed — run on terminal",'BBG Verify'!S445)</f>
        <v/>
      </c>
      <c r="BJ445" s="76" t="inlineStr">
        <is>
          <t>N</t>
        </is>
      </c>
      <c r="BK445" s="77">
        <f>IF('BBG Verify'!K445="","not filed — run on terminal",'BBG Verify'!K445)</f>
        <v/>
      </c>
      <c r="BL445" s="63" t="inlineStr">
        <is>
          <t>N/A</t>
        </is>
      </c>
      <c r="BM445" s="63" t="inlineStr">
        <is>
          <t>N/A</t>
        </is>
      </c>
      <c r="BN445" s="63" t="inlineStr">
        <is>
          <t>N/A</t>
        </is>
      </c>
      <c r="BO445" s="63" t="inlineStr">
        <is>
          <t>N/A</t>
        </is>
      </c>
      <c r="BP445" s="63" t="inlineStr">
        <is>
          <t>N/A</t>
        </is>
      </c>
      <c r="BQ445" s="63" t="inlineStr">
        <is>
          <t>N/A</t>
        </is>
      </c>
      <c r="BR445" s="76" t="n"/>
      <c r="BS445" s="63" t="inlineStr">
        <is>
          <t>China International Capital Corporation Hong Kong Securities Limited; China Securities (International) Corporate Finance Company Limited; China Merchants Securities (HK) Company Limited</t>
        </is>
      </c>
      <c r="BT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n"/>
      <c r="BW445" s="78">
        <f>HYPERLINK("https://www1.hkexnews.hk/listedco/listconews/sehk/2026/0320/2026032001750.pdf","allotment")</f>
        <v/>
      </c>
      <c r="BX445" s="63" t="n"/>
      <c r="BY445" s="76" t="n"/>
      <c r="BZ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72" t="n">
        <v>83.2</v>
      </c>
      <c r="AC446" s="66" t="n">
        <v>30.52</v>
      </c>
      <c r="AD446" s="72" t="n">
        <v>0.58</v>
      </c>
      <c r="AE446" s="63" t="inlineStr">
        <is>
          <t>Y</t>
        </is>
      </c>
      <c r="AF446" s="63" t="inlineStr">
        <is>
          <t>lapsed (no over-allocation)</t>
        </is>
      </c>
      <c r="AG446" s="63" t="n"/>
      <c r="AH446" s="63" t="n"/>
      <c r="AI446" s="63" t="n"/>
      <c r="AJ446" s="73" t="n">
        <v>84.27</v>
      </c>
      <c r="AK446" s="72" t="n">
        <v>92.08</v>
      </c>
      <c r="AL446" s="72" t="n">
        <v>-4.07</v>
      </c>
      <c r="AM446" s="72" t="n">
        <v>80.19</v>
      </c>
      <c r="AN446" s="72" t="n">
        <v>126.29</v>
      </c>
      <c r="AO446" s="72" t="n">
        <v>79.34999999999999</v>
      </c>
      <c r="AP446" s="72" t="n">
        <v>-2.21</v>
      </c>
      <c r="AQ446" s="72" t="n">
        <v>22.8</v>
      </c>
      <c r="AR446" s="72" t="n">
        <v>-2.67</v>
      </c>
      <c r="AS446" s="72" t="n">
        <v>81.41</v>
      </c>
      <c r="AT446" s="72" t="n">
        <v>121.43</v>
      </c>
      <c r="AU446" s="72" t="n">
        <v>85.81999999999999</v>
      </c>
      <c r="AV446" s="72" t="n">
        <v>20.43</v>
      </c>
      <c r="AW446" s="72" t="n">
        <v>4.86</v>
      </c>
      <c r="AX446" s="72" t="n">
        <v>2.37</v>
      </c>
      <c r="AY446" s="63" t="inlineStr">
        <is>
          <t>HSTECH (Hang Seng TECH ETF)</t>
        </is>
      </c>
      <c r="AZ446" s="72" t="n">
        <v>99.16</v>
      </c>
      <c r="BA446" s="64" t="inlineStr">
        <is>
          <t>2026-08-28</t>
        </is>
      </c>
      <c r="BB446" s="65" t="n">
        <v>793.6</v>
      </c>
      <c r="BC446" s="68" t="n">
        <v>-195.9</v>
      </c>
      <c r="BD446" s="63" t="inlineStr">
        <is>
          <t>N</t>
        </is>
      </c>
      <c r="BE446" s="63" t="inlineStr">
        <is>
          <t>n/m</t>
        </is>
      </c>
      <c r="BF446" s="74" t="n"/>
      <c r="BG446" s="74" t="n"/>
      <c r="BH446" s="74" t="n">
        <v>9</v>
      </c>
      <c r="BI446" s="75">
        <f>IF('BBG Verify'!S446="","not filed — run on terminal",'BBG Verify'!S446)</f>
        <v/>
      </c>
      <c r="BJ446" s="76" t="inlineStr">
        <is>
          <t>N</t>
        </is>
      </c>
      <c r="BK446" s="77">
        <f>IF('BBG Verify'!K446="","not filed — run on terminal",'BBG Verify'!K446)</f>
        <v/>
      </c>
      <c r="BL446" s="63" t="inlineStr">
        <is>
          <t>N/A</t>
        </is>
      </c>
      <c r="BM446" s="63" t="inlineStr">
        <is>
          <t>N/A</t>
        </is>
      </c>
      <c r="BN446" s="63" t="inlineStr">
        <is>
          <t>N/A</t>
        </is>
      </c>
      <c r="BO446" s="63" t="inlineStr">
        <is>
          <t>N/A</t>
        </is>
      </c>
      <c r="BP446" s="63" t="inlineStr">
        <is>
          <t>N/A</t>
        </is>
      </c>
      <c r="BQ446" s="63" t="inlineStr">
        <is>
          <t>N/A</t>
        </is>
      </c>
      <c r="BR446" s="76" t="inlineStr">
        <is>
          <t>Guotai Junan Capital Limited; CITIC Securities (Hong Kong) Limited</t>
        </is>
      </c>
      <c r="BS446" s="63" t="inlineStr">
        <is>
          <t>CITIC Securities (Hong Kong) Limited; Guotai Junan Capital Limited</t>
        </is>
      </c>
      <c r="BT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U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V446" s="78">
        <f>HYPERLINK("https://www1.hkexnews.hk/listedco/listconews/sehk/2026/0316/2026031600013.pdf","prospectus")</f>
        <v/>
      </c>
      <c r="BW446" s="78">
        <f>HYPERLINK("https://www1.hkexnews.hk/listedco/listconews/sehk/2026/0323/2026032301408.pdf","allotment")</f>
        <v/>
      </c>
      <c r="BX446" s="78">
        <f>HYPERLINK("https://www1.hkexnews.hk/listedco/listconews/sehk/2026/0420/2026042000237.pdf","stabilisation")</f>
        <v/>
      </c>
      <c r="BY446" s="76" t="n"/>
      <c r="BZ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72" t="n">
        <v>1</v>
      </c>
      <c r="AC447" s="66" t="n">
        <v>44.66</v>
      </c>
      <c r="AD447" s="72" t="n">
        <v>-37.54</v>
      </c>
      <c r="AE447" s="63" t="inlineStr">
        <is>
          <t>N</t>
        </is>
      </c>
      <c r="AF447" s="63" t="n"/>
      <c r="AG447" s="63" t="n"/>
      <c r="AH447" s="63" t="n"/>
      <c r="AI447" s="63" t="n"/>
      <c r="AJ447" s="73" t="n">
        <v>-36.92</v>
      </c>
      <c r="AK447" s="72" t="n">
        <v>-0.68</v>
      </c>
      <c r="AL447" s="72" t="n">
        <v>-36.49</v>
      </c>
      <c r="AM447" s="72" t="n">
        <v>1.81</v>
      </c>
      <c r="AN447" s="72" t="n">
        <v>94.12</v>
      </c>
      <c r="AO447" s="72" t="n">
        <v>149.1</v>
      </c>
      <c r="AP447" s="72" t="n">
        <v>61.4</v>
      </c>
      <c r="AQ447" s="72" t="n">
        <v>207.74</v>
      </c>
      <c r="AR447" s="72" t="n">
        <v>294.9</v>
      </c>
      <c r="AS447" s="72" t="n">
        <v>2.11</v>
      </c>
      <c r="AT447" s="72" t="n">
        <v>90.3</v>
      </c>
      <c r="AU447" s="72" t="n">
        <v>160.17</v>
      </c>
      <c r="AV447" s="72" t="n">
        <v>206.4</v>
      </c>
      <c r="AW447" s="72" t="n">
        <v>3.82</v>
      </c>
      <c r="AX447" s="72" t="n">
        <v>1.34</v>
      </c>
      <c r="AY447" s="63" t="inlineStr">
        <is>
          <t>Hang Seng Commerce &amp; Industry sub-index</t>
        </is>
      </c>
      <c r="AZ447" s="72" t="n">
        <v>77.83</v>
      </c>
      <c r="BA447" s="64" t="inlineStr">
        <is>
          <t>2026-08-28</t>
        </is>
      </c>
      <c r="BB447" s="65" t="n">
        <v>635.4</v>
      </c>
      <c r="BC447" s="68" t="n">
        <v>-151.6</v>
      </c>
      <c r="BD447" s="63" t="inlineStr">
        <is>
          <t>N</t>
        </is>
      </c>
      <c r="BE447" s="63" t="inlineStr">
        <is>
          <t>n/m</t>
        </is>
      </c>
      <c r="BF447" s="74" t="n"/>
      <c r="BG447" s="74" t="n"/>
      <c r="BH447" s="74" t="n">
        <v>8.6</v>
      </c>
      <c r="BI447" s="75">
        <f>IF('BBG Verify'!S447="","not filed — run on terminal",'BBG Verify'!S447)</f>
        <v/>
      </c>
      <c r="BJ447" s="76" t="inlineStr">
        <is>
          <t>N</t>
        </is>
      </c>
      <c r="BK447" s="77">
        <f>IF('BBG Verify'!K447="","not filed — run on terminal",'BBG Verify'!K447)</f>
        <v/>
      </c>
      <c r="BL447" s="63" t="inlineStr">
        <is>
          <t>N/A</t>
        </is>
      </c>
      <c r="BM447" s="63" t="inlineStr">
        <is>
          <t>N/A</t>
        </is>
      </c>
      <c r="BN447" s="63" t="inlineStr">
        <is>
          <t>N/A</t>
        </is>
      </c>
      <c r="BO447" s="63" t="inlineStr">
        <is>
          <t>N/A</t>
        </is>
      </c>
      <c r="BP447" s="63" t="inlineStr">
        <is>
          <t>N/A</t>
        </is>
      </c>
      <c r="BQ447" s="63" t="inlineStr">
        <is>
          <t>N/A</t>
        </is>
      </c>
      <c r="BR447" s="76" t="inlineStr">
        <is>
          <t>Haitong International Capital Limited; CITIC Securities (Hong Kong) Limited</t>
        </is>
      </c>
      <c r="BS447" s="63" t="inlineStr">
        <is>
          <t>Haitong International Capital Limited; CITIC Securities (Hong Kong) Limited</t>
        </is>
      </c>
      <c r="BT447" s="63" t="inlineStr">
        <is>
          <t>BOCI Asia Limited; Patrons Securities Limited</t>
        </is>
      </c>
      <c r="BU447" s="63" t="inlineStr">
        <is>
          <t>BOCI Asia Limited; CLSA Limited; Futu Securities International (Hong Kong) Limited; Haitong International Securities Company Limited; Patrons Securities Limited</t>
        </is>
      </c>
      <c r="BV447" s="78">
        <f>HYPERLINK("https://www1.hkexnews.hk/listedco/listconews/sehk/2026/0316/2026031600011.pdf","prospectus")</f>
        <v/>
      </c>
      <c r="BW447" s="78">
        <f>HYPERLINK("https://www1.hkexnews.hk/listedco/listconews/sehk/2026/0323/2026032301630.pdf","allotment")</f>
        <v/>
      </c>
      <c r="BX447" s="63" t="n"/>
      <c r="BY447" s="76" t="n"/>
      <c r="BZ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72" t="n">
        <v>37.7</v>
      </c>
      <c r="AC448" s="66" t="n">
        <v>105</v>
      </c>
      <c r="AD448" s="72" t="n">
        <v>-1.92</v>
      </c>
      <c r="AE448" s="63" t="inlineStr">
        <is>
          <t>Y</t>
        </is>
      </c>
      <c r="AF448" s="63" t="n"/>
      <c r="AG448" s="63" t="n"/>
      <c r="AH448" s="63" t="n"/>
      <c r="AI448" s="63" t="n"/>
      <c r="AJ448" s="73" t="n">
        <v>35.06</v>
      </c>
      <c r="AK448" s="72" t="n">
        <v>44.24</v>
      </c>
      <c r="AL448" s="72" t="n">
        <v>-6.36</v>
      </c>
      <c r="AM448" s="72" t="n">
        <v>51.19</v>
      </c>
      <c r="AN448" s="72" t="n">
        <v>40.44</v>
      </c>
      <c r="AO448" s="72" t="n">
        <v>31.26</v>
      </c>
      <c r="AP448" s="72" t="n">
        <v>11.94</v>
      </c>
      <c r="AQ448" s="72" t="n">
        <v>3.98</v>
      </c>
      <c r="AR448" s="72" t="n">
        <v>-2.81</v>
      </c>
      <c r="AS448" s="72" t="n">
        <v>50.46</v>
      </c>
      <c r="AT448" s="72" t="n">
        <v>36.29</v>
      </c>
      <c r="AU448" s="72" t="n">
        <v>36.05</v>
      </c>
      <c r="AV448" s="72" t="n">
        <v>-2.21</v>
      </c>
      <c r="AW448" s="72" t="n">
        <v>4.15</v>
      </c>
      <c r="AX448" s="72" t="n">
        <v>6.19</v>
      </c>
      <c r="AY448" s="63" t="inlineStr">
        <is>
          <t>HSTECH (Hang Seng TECH ETF)</t>
        </is>
      </c>
      <c r="AZ448" s="72" t="n">
        <v>36.38</v>
      </c>
      <c r="BA448" s="64" t="inlineStr">
        <is>
          <t>2026-08-28</t>
        </is>
      </c>
      <c r="BB448" s="65" t="n">
        <v>1071.7</v>
      </c>
      <c r="BC448" s="68" t="n">
        <v>181.6</v>
      </c>
      <c r="BD448" s="63" t="inlineStr">
        <is>
          <t>Y</t>
        </is>
      </c>
      <c r="BE448" s="74" t="n">
        <v>178.7</v>
      </c>
      <c r="BF448" s="74" t="n"/>
      <c r="BG448" s="74" t="n"/>
      <c r="BH448" s="74" t="n">
        <v>30.3</v>
      </c>
      <c r="BI448" s="75">
        <f>IF('BBG Verify'!S448="","not filed — run on terminal",'BBG Verify'!S448)</f>
        <v/>
      </c>
      <c r="BJ448" s="76" t="inlineStr">
        <is>
          <t>N</t>
        </is>
      </c>
      <c r="BK448" s="77">
        <f>IF('BBG Verify'!K448="","not filed — run on terminal",'BBG Verify'!K448)</f>
        <v/>
      </c>
      <c r="BL448" s="63" t="inlineStr">
        <is>
          <t>N/A</t>
        </is>
      </c>
      <c r="BM448" s="63" t="inlineStr">
        <is>
          <t>N/A</t>
        </is>
      </c>
      <c r="BN448" s="63" t="inlineStr">
        <is>
          <t>N/A</t>
        </is>
      </c>
      <c r="BO448" s="63" t="inlineStr">
        <is>
          <t>N/A</t>
        </is>
      </c>
      <c r="BP448" s="63" t="inlineStr">
        <is>
          <t>N/A</t>
        </is>
      </c>
      <c r="BQ448" s="63" t="inlineStr">
        <is>
          <t>N/A</t>
        </is>
      </c>
      <c r="BR448" s="76" t="n"/>
      <c r="BS448" s="63" t="inlineStr">
        <is>
          <t>China International Capital Corporation Hong Kong Securities Limited</t>
        </is>
      </c>
      <c r="BT448" s="63" t="inlineStr">
        <is>
          <t>ABCI Capital Limited; Daokou Securities Limited; China Industrial Securities International Capital Limited; Fuze Securities (International) Limited; Kingston Securities Limited; Yuen Meta (International) Securities Limited</t>
        </is>
      </c>
      <c r="BU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V448" s="78">
        <f>HYPERLINK("https://www1.hkexnews.hk/listedco/listconews/sehk/2026/0320/2026032000029.pdf","prospectus")</f>
        <v/>
      </c>
      <c r="BW448" s="78">
        <f>HYPERLINK("https://www1.hkexnews.hk/listedco/listconews/sehk/2026/0327/2026032702128.pdf","allotment")</f>
        <v/>
      </c>
      <c r="BX448" s="63" t="n"/>
      <c r="BY448" s="76" t="n"/>
      <c r="BZ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72" t="n">
        <v>101.5</v>
      </c>
      <c r="AC449" s="66" t="n">
        <v>199.5</v>
      </c>
      <c r="AD449" s="72" t="n">
        <v>5.07</v>
      </c>
      <c r="AE449" s="63" t="inlineStr">
        <is>
          <t>Y</t>
        </is>
      </c>
      <c r="AF449" s="63" t="n"/>
      <c r="AG449" s="63" t="n"/>
      <c r="AH449" s="63" t="n"/>
      <c r="AI449" s="63" t="n"/>
      <c r="AJ449" s="73" t="n">
        <v>111.72</v>
      </c>
      <c r="AK449" s="72" t="n">
        <v>121.21</v>
      </c>
      <c r="AL449" s="72" t="n">
        <v>-4.29</v>
      </c>
      <c r="AM449" s="72" t="n">
        <v>202.02</v>
      </c>
      <c r="AN449" s="72" t="n">
        <v>234.34</v>
      </c>
      <c r="AO449" s="72" t="n">
        <v>303.03</v>
      </c>
      <c r="AP449" s="72" t="n">
        <v>42.65</v>
      </c>
      <c r="AQ449" s="72" t="n">
        <v>57.92</v>
      </c>
      <c r="AR449" s="72" t="n">
        <v>90.36</v>
      </c>
      <c r="AS449" s="72" t="n">
        <v>196.11</v>
      </c>
      <c r="AT449" s="72" t="n">
        <v>230.63</v>
      </c>
      <c r="AU449" s="72" t="n">
        <v>300.15</v>
      </c>
      <c r="AV449" s="72" t="n">
        <v>54.37</v>
      </c>
      <c r="AW449" s="72" t="n">
        <v>3.71</v>
      </c>
      <c r="AX449" s="72" t="n">
        <v>3.55</v>
      </c>
      <c r="AY449" s="63" t="inlineStr">
        <is>
          <t>China Biotech ETF (HS biotech proxy)</t>
        </is>
      </c>
      <c r="AZ449" s="72" t="n">
        <v>394.75</v>
      </c>
      <c r="BA449" s="64" t="inlineStr">
        <is>
          <t>2026-08-28</t>
        </is>
      </c>
      <c r="BB449" s="65" t="n">
        <v>21.5</v>
      </c>
      <c r="BC449" s="68" t="n">
        <v>-61.7</v>
      </c>
      <c r="BD449" s="63" t="inlineStr">
        <is>
          <t>N</t>
        </is>
      </c>
      <c r="BE449" s="63" t="inlineStr">
        <is>
          <t>n/m</t>
        </is>
      </c>
      <c r="BF449" s="74" t="n"/>
      <c r="BG449" s="74" t="n"/>
      <c r="BH449" s="74" t="n">
        <v>409.3</v>
      </c>
      <c r="BI449" s="75">
        <f>IF('BBG Verify'!S449="","not filed — run on terminal",'BBG Verify'!S449)</f>
        <v/>
      </c>
      <c r="BJ449" s="76" t="inlineStr">
        <is>
          <t>N</t>
        </is>
      </c>
      <c r="BK449" s="77">
        <f>IF('BBG Verify'!K449="","not filed — run on terminal",'BBG Verify'!K449)</f>
        <v/>
      </c>
      <c r="BL449" s="63" t="inlineStr">
        <is>
          <t>N/A</t>
        </is>
      </c>
      <c r="BM449" s="63" t="inlineStr">
        <is>
          <t>N/A</t>
        </is>
      </c>
      <c r="BN449" s="63" t="inlineStr">
        <is>
          <t>N/A</t>
        </is>
      </c>
      <c r="BO449" s="63" t="inlineStr">
        <is>
          <t>N/A</t>
        </is>
      </c>
      <c r="BP449" s="63" t="inlineStr">
        <is>
          <t>N/A</t>
        </is>
      </c>
      <c r="BQ449" s="63" t="inlineStr">
        <is>
          <t>N/A</t>
        </is>
      </c>
      <c r="BR449" s="76" t="inlineStr">
        <is>
          <t>and Sponsor-overall Coordinator Huatai Financial Holdings (Hong Kong) Limited</t>
        </is>
      </c>
      <c r="BS449" s="63" t="inlineStr">
        <is>
          <t>Huatai Financial Holdings (Hong Kong) Limited</t>
        </is>
      </c>
      <c r="BT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U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V449" s="78">
        <f>HYPERLINK("https://www1.hkexnews.hk/listedco/listconews/sehk/2026/0320/2026032000025.pdf","prospectus")</f>
        <v/>
      </c>
      <c r="BW449" s="78">
        <f>HYPERLINK("https://www1.hkexnews.hk/listedco/listconews/sehk/2026/0327/2026032702330.pdf","allotment")</f>
        <v/>
      </c>
      <c r="BX449" s="63" t="n"/>
      <c r="BY449" s="76" t="n"/>
      <c r="BZ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72" t="n">
        <v>54.5</v>
      </c>
      <c r="AC450" s="66" t="n">
        <v>61.8</v>
      </c>
      <c r="AD450" s="72" t="n">
        <v>61.81</v>
      </c>
      <c r="AE450" s="63" t="inlineStr">
        <is>
          <t>Y</t>
        </is>
      </c>
      <c r="AF450" s="63" t="n"/>
      <c r="AG450" s="63" t="n"/>
      <c r="AH450" s="63" t="n"/>
      <c r="AI450" s="63" t="n"/>
      <c r="AJ450" s="73" t="n">
        <v>150</v>
      </c>
      <c r="AK450" s="72" t="n">
        <v>49.88</v>
      </c>
      <c r="AL450" s="72" t="n">
        <v>66.8</v>
      </c>
      <c r="AM450" s="72" t="n">
        <v>164</v>
      </c>
      <c r="AN450" s="72" t="n">
        <v>151.25</v>
      </c>
      <c r="AO450" s="72" t="n">
        <v>112.5</v>
      </c>
      <c r="AP450" s="72" t="n">
        <v>5.6</v>
      </c>
      <c r="AQ450" s="72" t="n">
        <v>0.5</v>
      </c>
      <c r="AR450" s="72" t="n">
        <v>-15</v>
      </c>
      <c r="AS450" s="72" t="n">
        <v>163.27</v>
      </c>
      <c r="AT450" s="72" t="n">
        <v>147.1</v>
      </c>
      <c r="AU450" s="72" t="n">
        <v>117.29</v>
      </c>
      <c r="AV450" s="72" t="n">
        <v>-5.69</v>
      </c>
      <c r="AW450" s="72" t="n">
        <v>4.15</v>
      </c>
      <c r="AX450" s="72" t="n">
        <v>6.19</v>
      </c>
      <c r="AY450" s="63" t="inlineStr">
        <is>
          <t>HSTECH (Hang Seng TECH ETF)</t>
        </is>
      </c>
      <c r="AZ450" s="72" t="n">
        <v>119</v>
      </c>
      <c r="BA450" s="64" t="inlineStr">
        <is>
          <t>2026-08-28</t>
        </is>
      </c>
      <c r="BB450" s="65" t="n">
        <v>283</v>
      </c>
      <c r="BC450" s="68" t="n"/>
      <c r="BD450" s="63" t="inlineStr">
        <is>
          <t>Y</t>
        </is>
      </c>
      <c r="BE450" s="75">
        <f>IF('BBG Verify'!O450="","not filed — run on terminal",'BBG Verify'!O450)</f>
        <v/>
      </c>
      <c r="BF450" s="74" t="n"/>
      <c r="BG450" s="74" t="n"/>
      <c r="BH450" s="74" t="n">
        <v>16</v>
      </c>
      <c r="BI450" s="75">
        <f>IF('BBG Verify'!S450="","not filed — run on terminal",'BBG Verify'!S450)</f>
        <v/>
      </c>
      <c r="BJ450" s="76" t="inlineStr">
        <is>
          <t>N</t>
        </is>
      </c>
      <c r="BK450" s="77">
        <f>IF('BBG Verify'!K450="","not filed — run on terminal",'BBG Verify'!K450)</f>
        <v/>
      </c>
      <c r="BL450" s="63" t="inlineStr">
        <is>
          <t>N/A</t>
        </is>
      </c>
      <c r="BM450" s="63" t="inlineStr">
        <is>
          <t>N/A</t>
        </is>
      </c>
      <c r="BN450" s="63" t="inlineStr">
        <is>
          <t>N/A</t>
        </is>
      </c>
      <c r="BO450" s="63" t="inlineStr">
        <is>
          <t>N/A</t>
        </is>
      </c>
      <c r="BP450" s="63" t="inlineStr">
        <is>
          <t>N/A</t>
        </is>
      </c>
      <c r="BQ450" s="63" t="inlineStr">
        <is>
          <t>N/A</t>
        </is>
      </c>
      <c r="BR450" s="76" t="inlineStr">
        <is>
          <t>CITIC Securities (Hong Kong) Limited</t>
        </is>
      </c>
      <c r="BS450" s="63" t="inlineStr">
        <is>
          <t>CITIC Securities (Hong Kong) Limited</t>
        </is>
      </c>
      <c r="BT450" s="63" t="inlineStr">
        <is>
          <t>CLSA Limited; CMB International Capital Limited; ABCI Capital Limited; SDIC Securities (Hong Kong) Limited; Guosen Securities (HK) Brokerage Company, Limited; Livermore Holdings Limited; China Sunrise Securities (International) Limited</t>
        </is>
      </c>
      <c r="BU450" s="63" t="inlineStr">
        <is>
          <t>ABCI Securities Company Limited; CLSA Limited; CMB International Capital Limited; China Sunrise Securities (International) Limited; Guosen Securities (HK) Brokerage Company, Limited; Livermore Holdings Limited; SDIC Securities (Hong Kong) Limited</t>
        </is>
      </c>
      <c r="BV450" s="78">
        <f>HYPERLINK("https://www1.hkexnews.hk/listedco/listconews/sehk/2026/0320/2026032000097.pdf","prospectus")</f>
        <v/>
      </c>
      <c r="BW450" s="78">
        <f>HYPERLINK("https://www1.hkexnews.hk/listedco/listconews/sehk/2026/0327/2026032703232.pdf","allotment")</f>
        <v/>
      </c>
      <c r="BX450" s="63" t="n"/>
      <c r="BY450" s="76" t="n"/>
      <c r="BZ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72" t="n">
        <v>10.4</v>
      </c>
      <c r="AC451" s="66" t="n">
        <v>18.77</v>
      </c>
      <c r="AD451" s="72" t="n">
        <v>-1.96</v>
      </c>
      <c r="AE451" s="63" t="inlineStr">
        <is>
          <t>Y</t>
        </is>
      </c>
      <c r="AF451" s="63" t="n"/>
      <c r="AG451" s="63" t="n"/>
      <c r="AH451" s="63" t="inlineStr">
        <is>
          <t>China International Capital Corporation Hong Kong Securities Limited</t>
        </is>
      </c>
      <c r="AI451" s="63" t="inlineStr">
        <is>
          <t>China International</t>
        </is>
      </c>
      <c r="AJ451" s="73" t="n">
        <v>8.24</v>
      </c>
      <c r="AK451" s="72" t="n">
        <v>-1.18</v>
      </c>
      <c r="AL451" s="72" t="n">
        <v>9.529999999999999</v>
      </c>
      <c r="AM451" s="72" t="n">
        <v>5.41</v>
      </c>
      <c r="AN451" s="72" t="n">
        <v>16.24</v>
      </c>
      <c r="AO451" s="72" t="n">
        <v>-9.119999999999999</v>
      </c>
      <c r="AP451" s="72" t="n">
        <v>-2.61</v>
      </c>
      <c r="AQ451" s="72" t="n">
        <v>7.39</v>
      </c>
      <c r="AR451" s="72" t="n">
        <v>-16.04</v>
      </c>
      <c r="AS451" s="72" t="n">
        <v>4.68</v>
      </c>
      <c r="AT451" s="72" t="n">
        <v>12.09</v>
      </c>
      <c r="AU451" s="72" t="n">
        <v>-4.33</v>
      </c>
      <c r="AV451" s="72" t="n">
        <v>1.2</v>
      </c>
      <c r="AW451" s="72" t="n">
        <v>4.15</v>
      </c>
      <c r="AX451" s="72" t="n">
        <v>6.19</v>
      </c>
      <c r="AY451" s="63" t="inlineStr">
        <is>
          <t>HSTECH (Hang Seng TECH ETF)</t>
        </is>
      </c>
      <c r="AZ451" s="72" t="n">
        <v>-46.65</v>
      </c>
      <c r="BA451" s="64" t="inlineStr">
        <is>
          <t>2026-08-28</t>
        </is>
      </c>
      <c r="BB451" s="65" t="n">
        <v>425.6</v>
      </c>
      <c r="BC451" s="68" t="n">
        <v>-32.9</v>
      </c>
      <c r="BD451" s="63" t="inlineStr">
        <is>
          <t>N</t>
        </is>
      </c>
      <c r="BE451" s="63" t="inlineStr">
        <is>
          <t>n/m</t>
        </is>
      </c>
      <c r="BF451" s="74" t="n"/>
      <c r="BG451" s="74" t="n"/>
      <c r="BH451" s="74" t="n">
        <v>21.1</v>
      </c>
      <c r="BI451" s="75">
        <f>IF('BBG Verify'!S451="","not filed — run on terminal",'BBG Verify'!S451)</f>
        <v/>
      </c>
      <c r="BJ451" s="76" t="inlineStr">
        <is>
          <t>N</t>
        </is>
      </c>
      <c r="BK451" s="77">
        <f>IF('BBG Verify'!K451="","not filed — run on terminal",'BBG Verify'!K451)</f>
        <v/>
      </c>
      <c r="BL451" s="63" t="inlineStr">
        <is>
          <t>N/A</t>
        </is>
      </c>
      <c r="BM451" s="63" t="inlineStr">
        <is>
          <t>N/A</t>
        </is>
      </c>
      <c r="BN451" s="63" t="inlineStr">
        <is>
          <t>N/A</t>
        </is>
      </c>
      <c r="BO451" s="63" t="inlineStr">
        <is>
          <t>N/A</t>
        </is>
      </c>
      <c r="BP451" s="63" t="inlineStr">
        <is>
          <t>N/A</t>
        </is>
      </c>
      <c r="BQ451" s="63" t="inlineStr">
        <is>
          <t>N/A</t>
        </is>
      </c>
      <c r="BR451" s="76" t="n"/>
      <c r="BS451" s="63" t="inlineStr">
        <is>
          <t>China International Capital Corporation Hong Kong Securities Limited; Deutsche Securities Asia Limited</t>
        </is>
      </c>
      <c r="BT451" s="63" t="inlineStr">
        <is>
          <t>China International Capital Corporation Hong Kong Securities Limited; Deutsche Bank AG, Hong Kong Branch; Futu Securities International (Hong Kong) Limited; Zheshang International Financial Holdings Co., Limited</t>
        </is>
      </c>
      <c r="BU451" s="63" t="inlineStr">
        <is>
          <t>China International Capital Corporation Hong Kong Securities Limited; Deutsche Bank AG, Hong Kong Branch; Futu Securities International (Hong Kong) Limited; Zheshang International Financial Holdings Co., Limited</t>
        </is>
      </c>
      <c r="BV451" s="63" t="n"/>
      <c r="BW451" s="78">
        <f>HYPERLINK("https://www1.hkexnews.hk/listedco/listconews/sehk/2026/0327/2026032703804.pdf","allotment")</f>
        <v/>
      </c>
      <c r="BX451" s="63" t="n"/>
      <c r="BY451" s="76" t="n"/>
      <c r="BZ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72" t="n">
        <v>-30.1</v>
      </c>
      <c r="AC452" s="66" t="n">
        <v>41.96</v>
      </c>
      <c r="AD452" s="72" t="n">
        <v>-27.28</v>
      </c>
      <c r="AE452" s="63" t="inlineStr">
        <is>
          <t>Y</t>
        </is>
      </c>
      <c r="AF452" s="63" t="inlineStr">
        <is>
          <t>lapsed</t>
        </is>
      </c>
      <c r="AG452" s="63" t="inlineStr">
        <is>
          <t>2026-04-25</t>
        </is>
      </c>
      <c r="AH452" s="63" t="inlineStr">
        <is>
          <t>CMB International Capital Limited</t>
        </is>
      </c>
      <c r="AI452" s="63" t="inlineStr">
        <is>
          <t>CMB</t>
        </is>
      </c>
      <c r="AJ452" s="73" t="n">
        <v>-49.17</v>
      </c>
      <c r="AK452" s="72" t="n">
        <v>-40.97</v>
      </c>
      <c r="AL452" s="72" t="n">
        <v>-13.89</v>
      </c>
      <c r="AM452" s="72" t="n">
        <v>-53.17</v>
      </c>
      <c r="AN452" s="72" t="n">
        <v>-62.27</v>
      </c>
      <c r="AO452" s="72" t="n">
        <v>-74.81999999999999</v>
      </c>
      <c r="AP452" s="72" t="n">
        <v>-7.87</v>
      </c>
      <c r="AQ452" s="72" t="n">
        <v>-25.77</v>
      </c>
      <c r="AR452" s="72" t="n">
        <v>-50.46</v>
      </c>
      <c r="AS452" s="72" t="n">
        <v>-56.61</v>
      </c>
      <c r="AT452" s="72" t="n">
        <v>-65.63</v>
      </c>
      <c r="AU452" s="72" t="n">
        <v>-66.55</v>
      </c>
      <c r="AV452" s="72" t="n">
        <v>-29.71</v>
      </c>
      <c r="AW452" s="72" t="n">
        <v>3.36</v>
      </c>
      <c r="AX452" s="72" t="n">
        <v>3.94</v>
      </c>
      <c r="AY452" s="63" t="inlineStr">
        <is>
          <t>Hang Seng Commerce &amp; Industry sub-index</t>
        </is>
      </c>
      <c r="AZ452" s="72" t="n">
        <v>-77.34999999999999</v>
      </c>
      <c r="BA452" s="64" t="inlineStr">
        <is>
          <t>2026-08-28</t>
        </is>
      </c>
      <c r="BB452" s="65" t="n">
        <v>679.1</v>
      </c>
      <c r="BC452" s="68" t="n">
        <v>86.90000000000001</v>
      </c>
      <c r="BD452" s="63" t="inlineStr">
        <is>
          <t>Y</t>
        </is>
      </c>
      <c r="BE452" s="74" t="n">
        <v>44.5</v>
      </c>
      <c r="BF452" s="74" t="n"/>
      <c r="BG452" s="74" t="n"/>
      <c r="BH452" s="74" t="n">
        <v>5.7</v>
      </c>
      <c r="BI452" s="75">
        <f>IF('BBG Verify'!S452="","not filed — run on terminal",'BBG Verify'!S452)</f>
        <v/>
      </c>
      <c r="BJ452" s="76" t="inlineStr">
        <is>
          <t>N</t>
        </is>
      </c>
      <c r="BK452" s="77">
        <f>IF('BBG Verify'!K452="","not filed — run on terminal",'BBG Verify'!K452)</f>
        <v/>
      </c>
      <c r="BL452" s="63" t="inlineStr">
        <is>
          <t>N/A</t>
        </is>
      </c>
      <c r="BM452" s="63" t="inlineStr">
        <is>
          <t>N/A</t>
        </is>
      </c>
      <c r="BN452" s="63" t="inlineStr">
        <is>
          <t>N/A</t>
        </is>
      </c>
      <c r="BO452" s="63" t="inlineStr">
        <is>
          <t>N/A</t>
        </is>
      </c>
      <c r="BP452" s="63" t="inlineStr">
        <is>
          <t>N/A</t>
        </is>
      </c>
      <c r="BQ452" s="63" t="inlineStr">
        <is>
          <t>N/A</t>
        </is>
      </c>
      <c r="BR452" s="76" t="inlineStr">
        <is>
          <t>CMB International Capital Limited</t>
        </is>
      </c>
      <c r="BS452" s="63" t="inlineStr">
        <is>
          <t>CMB International Capital Limited</t>
        </is>
      </c>
      <c r="BT452" s="63" t="inlineStr">
        <is>
          <t>CMB International Capital Limited; CLSA Limited; ABCI Capital Limited; China Everbright Securities (HK) Limited; Futu Securities International (Hong Kong) Limited; Patrons Securities Limited</t>
        </is>
      </c>
      <c r="BU452" s="63" t="inlineStr">
        <is>
          <t>ABCI Securities Company Limited; China Everbright Securities (HK) Limited; CLSA Limited; CMB International Capital Limited; Futu Securities International (Hong Kong) Limited; Livermore Holdings Limited; Patrons Securities Limited</t>
        </is>
      </c>
      <c r="BV452" s="78">
        <f>HYPERLINK("https://www1.hkexnews.hk/listedco/listconews/sehk/2026/0323/2026032300037.pdf","prospectus")</f>
        <v/>
      </c>
      <c r="BW452" s="78">
        <f>HYPERLINK("https://www1.hkexnews.hk/listedco/listconews/sehk/2026/0330/2026033003120.pdf","allotment")</f>
        <v/>
      </c>
      <c r="BX452" s="78">
        <f>HYPERLINK("https://www1.hkexnews.hk/listedco/listconews/sehk/2026/0430/2026043004704.pdf","stabilisation")</f>
        <v/>
      </c>
      <c r="BY452" s="76" t="n"/>
      <c r="BZ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72" t="n">
        <v>108.8</v>
      </c>
      <c r="AC453" s="66" t="n">
        <v>83.5</v>
      </c>
      <c r="AD453" s="72" t="n">
        <v>-4.21</v>
      </c>
      <c r="AE453" s="63" t="inlineStr">
        <is>
          <t>Y</t>
        </is>
      </c>
      <c r="AF453" s="63" t="n"/>
      <c r="AG453" s="63" t="n"/>
      <c r="AH453" s="63" t="n"/>
      <c r="AI453" s="63" t="n"/>
      <c r="AJ453" s="73" t="n">
        <v>100</v>
      </c>
      <c r="AK453" s="72" t="n">
        <v>112.62</v>
      </c>
      <c r="AL453" s="72" t="n">
        <v>-5.94</v>
      </c>
      <c r="AM453" s="72" t="n">
        <v>226.25</v>
      </c>
      <c r="AN453" s="72" t="n">
        <v>244.75</v>
      </c>
      <c r="AO453" s="72" t="n">
        <v>125</v>
      </c>
      <c r="AP453" s="72" t="n">
        <v>63.13</v>
      </c>
      <c r="AQ453" s="72" t="n">
        <v>72.37</v>
      </c>
      <c r="AR453" s="72" t="n">
        <v>12.5</v>
      </c>
      <c r="AS453" s="72" t="n">
        <v>222.59</v>
      </c>
      <c r="AT453" s="72" t="n">
        <v>239.78</v>
      </c>
      <c r="AU453" s="72" t="n">
        <v>128.75</v>
      </c>
      <c r="AV453" s="72" t="n">
        <v>66.48</v>
      </c>
      <c r="AW453" s="72" t="n">
        <v>4.97</v>
      </c>
      <c r="AX453" s="72" t="n">
        <v>5.89</v>
      </c>
      <c r="AY453" s="63" t="inlineStr">
        <is>
          <t>HSTECH (Hang Seng TECH ETF)</t>
        </is>
      </c>
      <c r="AZ453" s="72" t="n">
        <v>139.5</v>
      </c>
      <c r="BA453" s="64" t="inlineStr">
        <is>
          <t>2026-08-28</t>
        </is>
      </c>
      <c r="BB453" s="65" t="n">
        <v>390.7</v>
      </c>
      <c r="BC453" s="68" t="n">
        <v>-62.5</v>
      </c>
      <c r="BD453" s="63" t="inlineStr">
        <is>
          <t>N</t>
        </is>
      </c>
      <c r="BE453" s="63" t="inlineStr">
        <is>
          <t>n/m</t>
        </is>
      </c>
      <c r="BF453" s="74" t="n"/>
      <c r="BG453" s="74" t="n"/>
      <c r="BH453" s="74" t="n">
        <v>11.5</v>
      </c>
      <c r="BI453" s="75">
        <f>IF('BBG Verify'!S453="","not filed — run on terminal",'BBG Verify'!S453)</f>
        <v/>
      </c>
      <c r="BJ453" s="76" t="inlineStr">
        <is>
          <t>N</t>
        </is>
      </c>
      <c r="BK453" s="77">
        <f>IF('BBG Verify'!K453="","not filed — run on terminal",'BBG Verify'!K453)</f>
        <v/>
      </c>
      <c r="BL453" s="63" t="inlineStr">
        <is>
          <t>N/A</t>
        </is>
      </c>
      <c r="BM453" s="63" t="inlineStr">
        <is>
          <t>N/A</t>
        </is>
      </c>
      <c r="BN453" s="63" t="inlineStr">
        <is>
          <t>N/A</t>
        </is>
      </c>
      <c r="BO453" s="63" t="inlineStr">
        <is>
          <t>N/A</t>
        </is>
      </c>
      <c r="BP453" s="63" t="inlineStr">
        <is>
          <t>N/A</t>
        </is>
      </c>
      <c r="BQ453" s="63" t="inlineStr">
        <is>
          <t>N/A</t>
        </is>
      </c>
      <c r="BR453" s="76" t="inlineStr">
        <is>
          <t>Guotai Junan Capital Limited; Orient Capital (Hong Kong) Limited</t>
        </is>
      </c>
      <c r="BS453" s="63" t="inlineStr">
        <is>
          <t>Guotai Junan Capital Limited; Orient Capital (Hong Kong) Limited</t>
        </is>
      </c>
      <c r="BT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U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V453" s="78">
        <f>HYPERLINK("https://www1.hkexnews.hk/listedco/listconews/sehk/2026/0323/2026032300023.pdf","prospectus")</f>
        <v/>
      </c>
      <c r="BW453" s="78">
        <f>HYPERLINK("https://www1.hkexnews.hk/listedco/listconews/sehk/2026/0330/2026033003564.pdf","allotment")</f>
        <v/>
      </c>
      <c r="BX453" s="63" t="n"/>
      <c r="BY453" s="76" t="n"/>
      <c r="BZ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72" t="n"/>
      <c r="AC454" s="66" t="n"/>
      <c r="AD454" s="72" t="n"/>
      <c r="AE454" s="63" t="n"/>
      <c r="AF454" s="63" t="inlineStr">
        <is>
          <t>full</t>
        </is>
      </c>
      <c r="AG454" s="63" t="n"/>
      <c r="AH454" s="63" t="inlineStr">
        <is>
          <t>CLSA Limited</t>
        </is>
      </c>
      <c r="AI454" s="63" t="inlineStr">
        <is>
          <t>CLSA</t>
        </is>
      </c>
      <c r="AJ454" s="73" t="n">
        <v>103.42</v>
      </c>
      <c r="AK454" s="72" t="n">
        <v>79.20999999999999</v>
      </c>
      <c r="AL454" s="72" t="n">
        <v>13.51</v>
      </c>
      <c r="AM454" s="72" t="n">
        <v>73.66</v>
      </c>
      <c r="AN454" s="72" t="n">
        <v>64.40000000000001</v>
      </c>
      <c r="AO454" s="72" t="n">
        <v>-14.68</v>
      </c>
      <c r="AP454" s="72" t="n">
        <v>-14.63</v>
      </c>
      <c r="AQ454" s="72" t="n">
        <v>-19.18</v>
      </c>
      <c r="AR454" s="72" t="n">
        <v>-58.06</v>
      </c>
      <c r="AS454" s="72" t="n">
        <v>74.03</v>
      </c>
      <c r="AT454" s="72" t="n">
        <v>66.81</v>
      </c>
      <c r="AU454" s="72" t="n">
        <v>-9.630000000000001</v>
      </c>
      <c r="AV454" s="72" t="n">
        <v>-14.28</v>
      </c>
      <c r="AW454" s="72" t="n">
        <v>-2.41</v>
      </c>
      <c r="AX454" s="72" t="n">
        <v>-4.9</v>
      </c>
      <c r="AY454" s="63" t="inlineStr">
        <is>
          <t>Hang Seng Commerce &amp; Industry sub-index</t>
        </is>
      </c>
      <c r="AZ454" s="72" t="n">
        <v>4.87</v>
      </c>
      <c r="BA454" s="64" t="inlineStr">
        <is>
          <t>2026-08-31</t>
        </is>
      </c>
      <c r="BB454" s="65" t="n">
        <v>9900.6</v>
      </c>
      <c r="BC454" s="68" t="n">
        <v>3210.7</v>
      </c>
      <c r="BD454" s="63" t="inlineStr">
        <is>
          <t>Y</t>
        </is>
      </c>
      <c r="BE454" s="74" t="n">
        <v>24.9</v>
      </c>
      <c r="BF454" s="74" t="n"/>
      <c r="BG454" s="74" t="n"/>
      <c r="BH454" s="74" t="n">
        <v>8.1</v>
      </c>
      <c r="BI454" s="75">
        <f>IF('BBG Verify'!S454="","not filed — run on terminal",'BBG Verify'!S454)</f>
        <v/>
      </c>
      <c r="BJ454" s="76" t="inlineStr">
        <is>
          <t>N</t>
        </is>
      </c>
      <c r="BK454" s="77">
        <f>IF('BBG Verify'!K454="","not filed — run on terminal",'BBG Verify'!K454)</f>
        <v/>
      </c>
      <c r="BL454" s="63" t="inlineStr">
        <is>
          <t>N/A</t>
        </is>
      </c>
      <c r="BM454" s="63" t="inlineStr">
        <is>
          <t>N/A</t>
        </is>
      </c>
      <c r="BN454" s="63" t="inlineStr">
        <is>
          <t>N/A</t>
        </is>
      </c>
      <c r="BO454" s="63" t="inlineStr">
        <is>
          <t>N/A</t>
        </is>
      </c>
      <c r="BP454" s="63" t="inlineStr">
        <is>
          <t>N/A</t>
        </is>
      </c>
      <c r="BQ454" s="63" t="inlineStr">
        <is>
          <t>N/A</t>
        </is>
      </c>
      <c r="BR454" s="76" t="inlineStr">
        <is>
          <t>CITIC Securities (Hong Kong) Limited; BNP Paribas Securities (Asia) Limited</t>
        </is>
      </c>
      <c r="BS454" s="63" t="inlineStr">
        <is>
          <t>CITIC Securities (Hong Kong) Limited; BNP Paribas Securities (Asia) Limited</t>
        </is>
      </c>
      <c r="BT454" s="63" t="inlineStr">
        <is>
          <t>CLSA Limited; BNP Paribas Securities (Asia) Limited; China International Capital Corporation Hong Kong Securities Limited</t>
        </is>
      </c>
      <c r="BU454" s="63" t="inlineStr">
        <is>
          <t>BNP Paribas Securities (Asia) Limited; China International Capital Corporation Hong Kong Securities Limited; CLSA Limited</t>
        </is>
      </c>
      <c r="BV454" s="78">
        <f>HYPERLINK("https://www1.hkexnews.hk/listedco/listconews/sehk/2026/0408/2026040800017.pdf","prospectus")</f>
        <v/>
      </c>
      <c r="BW454" s="78">
        <f>HYPERLINK("https://www1.hkexnews.hk/listedco/listconews/sehk/2026/0415/2026041501574.pdf","allotment")</f>
        <v/>
      </c>
      <c r="BX454" s="78">
        <f>HYPERLINK("https://www1.hkexnews.hk/listedco/listconews/sehk/2026/0513/2026051301292.pdf","stabilisation")</f>
        <v/>
      </c>
      <c r="BY454" s="76" t="n"/>
      <c r="BZ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72" t="n"/>
      <c r="AC455" s="66" t="n"/>
      <c r="AD455" s="72" t="n"/>
      <c r="AE455" s="63" t="n"/>
      <c r="AF455" s="63" t="n"/>
      <c r="AG455" s="63" t="n"/>
      <c r="AH455" s="63" t="inlineStr">
        <is>
          <t>J.P. Morgan Securities</t>
        </is>
      </c>
      <c r="AI455" s="63" t="inlineStr">
        <is>
          <t>JP Morgan</t>
        </is>
      </c>
      <c r="AJ455" s="73" t="n">
        <v>144.09</v>
      </c>
      <c r="AK455" s="72" t="n">
        <v>171.65</v>
      </c>
      <c r="AL455" s="72" t="n">
        <v>-10.15</v>
      </c>
      <c r="AM455" s="72" t="n">
        <v>273.75</v>
      </c>
      <c r="AN455" s="72" t="n">
        <v>142.91</v>
      </c>
      <c r="AO455" s="72" t="n">
        <v>16.54</v>
      </c>
      <c r="AP455" s="72" t="n">
        <v>53.12</v>
      </c>
      <c r="AQ455" s="72" t="n">
        <v>-0.48</v>
      </c>
      <c r="AR455" s="72" t="n">
        <v>-52.26</v>
      </c>
      <c r="AS455" s="72" t="n">
        <v>277.63</v>
      </c>
      <c r="AT455" s="72" t="n">
        <v>147.6</v>
      </c>
      <c r="AU455" s="72" t="n">
        <v>21.99</v>
      </c>
      <c r="AV455" s="72" t="n">
        <v>3.09</v>
      </c>
      <c r="AW455" s="72" t="n">
        <v>-4.69</v>
      </c>
      <c r="AX455" s="72" t="n">
        <v>-3.57</v>
      </c>
      <c r="AY455" s="63" t="inlineStr">
        <is>
          <t>HSTECH (Hang Seng TECH ETF)</t>
        </is>
      </c>
      <c r="AZ455" s="72" t="n">
        <v>13.91</v>
      </c>
      <c r="BA455" s="64" t="inlineStr">
        <is>
          <t>2026-08-28</t>
        </is>
      </c>
      <c r="BB455" s="65" t="n">
        <v>902</v>
      </c>
      <c r="BC455" s="68" t="n">
        <v>-470.7</v>
      </c>
      <c r="BD455" s="63" t="inlineStr">
        <is>
          <t>N</t>
        </is>
      </c>
      <c r="BE455" s="63" t="inlineStr">
        <is>
          <t>n/m</t>
        </is>
      </c>
      <c r="BF455" s="74" t="n"/>
      <c r="BG455" s="74" t="n"/>
      <c r="BH455" s="74" t="n">
        <v>13.7</v>
      </c>
      <c r="BI455" s="75">
        <f>IF('BBG Verify'!S455="","not filed — run on terminal",'BBG Verify'!S455)</f>
        <v/>
      </c>
      <c r="BJ455" s="76" t="inlineStr">
        <is>
          <t>N</t>
        </is>
      </c>
      <c r="BK455" s="77">
        <f>IF('BBG Verify'!K455="","not filed — run on terminal",'BBG Verify'!K455)</f>
        <v/>
      </c>
      <c r="BL455" s="63" t="inlineStr">
        <is>
          <t>N/A</t>
        </is>
      </c>
      <c r="BM455" s="63" t="inlineStr">
        <is>
          <t>N/A</t>
        </is>
      </c>
      <c r="BN455" s="63" t="inlineStr">
        <is>
          <t>N/A</t>
        </is>
      </c>
      <c r="BO455" s="63" t="inlineStr">
        <is>
          <t>N/A</t>
        </is>
      </c>
      <c r="BP455" s="63" t="inlineStr">
        <is>
          <t>N/A</t>
        </is>
      </c>
      <c r="BQ455" s="63" t="inlineStr">
        <is>
          <t>N/A</t>
        </is>
      </c>
      <c r="BR455" s="76" t="n"/>
      <c r="BS455" s="63" t="inlineStr">
        <is>
          <t>CCB International Capital Limited; J.P. Morgan Securities (Far East) Limited</t>
        </is>
      </c>
      <c r="BT455" s="63" t="inlineStr">
        <is>
          <t>ABCI Securities Company Limited; BOCI Asia Limited; CCB International Capital Limited; Futu Securities International (Hong Kong) Limited; J.P. Morgan Securities (Asia Pacific) Limited; Tiger Brokers (HK) Global Limited</t>
        </is>
      </c>
      <c r="BU455" s="63" t="inlineStr">
        <is>
          <t>ABCI Securities Company Limited; BOCI Asia Limited; CCB International Capital Limited; Futu Securities International (Hong Kong) Limited; J.P. Morgan Securities (Asia Pacific) Limited; Tiger Brokers (HK) Global Limited</t>
        </is>
      </c>
      <c r="BV455" s="63" t="n"/>
      <c r="BW455" s="78">
        <f>HYPERLINK("https://www1.hkexnews.hk/listedco/listconews/sehk/2026/0416/2026041601684.pdf","allotment")</f>
        <v/>
      </c>
      <c r="BX455" s="63" t="n"/>
      <c r="BY455" s="76" t="n"/>
      <c r="BZ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72" t="n">
        <v>71.3</v>
      </c>
      <c r="AC456" s="66" t="n">
        <v>68.3</v>
      </c>
      <c r="AD456" s="72" t="n">
        <v>2.47</v>
      </c>
      <c r="AE456" s="63" t="inlineStr">
        <is>
          <t>Y</t>
        </is>
      </c>
      <c r="AF456" s="63" t="inlineStr">
        <is>
          <t>full</t>
        </is>
      </c>
      <c r="AG456" s="63" t="inlineStr">
        <is>
          <t>2026-05-14</t>
        </is>
      </c>
      <c r="AH456" s="63" t="inlineStr">
        <is>
          <t>CLSA Limited</t>
        </is>
      </c>
      <c r="AI456" s="63" t="inlineStr">
        <is>
          <t>CLSA</t>
        </is>
      </c>
      <c r="AJ456" s="73" t="n">
        <v>75.53</v>
      </c>
      <c r="AK456" s="72" t="n">
        <v>80.54000000000001</v>
      </c>
      <c r="AL456" s="72" t="n">
        <v>-2.78</v>
      </c>
      <c r="AM456" s="72" t="n">
        <v>112.39</v>
      </c>
      <c r="AN456" s="72" t="n">
        <v>107.62</v>
      </c>
      <c r="AO456" s="72" t="n">
        <v>81.42</v>
      </c>
      <c r="AP456" s="72" t="n">
        <v>21</v>
      </c>
      <c r="AQ456" s="72" t="n">
        <v>18.28</v>
      </c>
      <c r="AR456" s="72" t="n">
        <v>3.36</v>
      </c>
      <c r="AS456" s="72" t="n">
        <v>116.27</v>
      </c>
      <c r="AT456" s="72" t="n">
        <v>112.31</v>
      </c>
      <c r="AU456" s="72" t="n">
        <v>86.87</v>
      </c>
      <c r="AV456" s="72" t="n">
        <v>21.85</v>
      </c>
      <c r="AW456" s="72" t="n">
        <v>-4.69</v>
      </c>
      <c r="AX456" s="72" t="n">
        <v>-3.57</v>
      </c>
      <c r="AY456" s="63" t="inlineStr">
        <is>
          <t>HSTECH (Hang Seng TECH ETF)</t>
        </is>
      </c>
      <c r="AZ456" s="72" t="n">
        <v>104.99</v>
      </c>
      <c r="BA456" s="64" t="inlineStr">
        <is>
          <t>2026-08-28</t>
        </is>
      </c>
      <c r="BB456" s="65" t="n">
        <v>942.2</v>
      </c>
      <c r="BC456" s="68" t="n">
        <v>322.5</v>
      </c>
      <c r="BD456" s="63" t="inlineStr">
        <is>
          <t>Y</t>
        </is>
      </c>
      <c r="BE456" s="74" t="n">
        <v>36</v>
      </c>
      <c r="BF456" s="74" t="n"/>
      <c r="BG456" s="74" t="n"/>
      <c r="BH456" s="74" t="n">
        <v>12.3</v>
      </c>
      <c r="BI456" s="75">
        <f>IF('BBG Verify'!S456="","not filed — run on terminal",'BBG Verify'!S456)</f>
        <v/>
      </c>
      <c r="BJ456" s="76" t="inlineStr">
        <is>
          <t>N</t>
        </is>
      </c>
      <c r="BK456" s="77">
        <f>IF('BBG Verify'!K456="","not filed — run on terminal",'BBG Verify'!K456)</f>
        <v/>
      </c>
      <c r="BL456" s="63" t="inlineStr">
        <is>
          <t>N/A</t>
        </is>
      </c>
      <c r="BM456" s="63" t="inlineStr">
        <is>
          <t>N/A</t>
        </is>
      </c>
      <c r="BN456" s="63" t="inlineStr">
        <is>
          <t>N/A</t>
        </is>
      </c>
      <c r="BO456" s="63" t="inlineStr">
        <is>
          <t>N/A</t>
        </is>
      </c>
      <c r="BP456" s="63" t="inlineStr">
        <is>
          <t>N/A</t>
        </is>
      </c>
      <c r="BQ456" s="63" t="inlineStr">
        <is>
          <t>N/A</t>
        </is>
      </c>
      <c r="BR456" s="76" t="inlineStr">
        <is>
          <t>CITIC Securities (Hong Kong) Limited; Guotai Junan Capital Limited</t>
        </is>
      </c>
      <c r="BS456" s="63" t="inlineStr">
        <is>
          <t>CITIC Securities (Hong Kong) Limited; Guotai Junan Capital Limited</t>
        </is>
      </c>
      <c r="BT456" s="63" t="inlineStr">
        <is>
          <t>CLSA Limited; Guotai Junan Securities (Hong Kong) Limited</t>
        </is>
      </c>
      <c r="BU456" s="63" t="inlineStr">
        <is>
          <t>CLSA Limited; Guotai Junan Securities (Hong Kong) Limited</t>
        </is>
      </c>
      <c r="BV456" s="78">
        <f>HYPERLINK("https://www1.hkexnews.hk/listedco/listconews/sehk/2026/0409/2026040900047.pdf","prospectus")</f>
        <v/>
      </c>
      <c r="BW456" s="78">
        <f>HYPERLINK("https://www1.hkexnews.hk/listedco/listconews/sehk/2026/0416/2026041602158.pdf","allotment")</f>
        <v/>
      </c>
      <c r="BX456" s="78">
        <f>HYPERLINK("https://www1.hkexnews.hk/listedco/listconews/sehk/2026/0514/2026051400392.pdf","stabilisation")</f>
        <v/>
      </c>
      <c r="BY456" s="76" t="n"/>
      <c r="BZ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72" t="n"/>
      <c r="AC457" s="66" t="n"/>
      <c r="AD457" s="72" t="n"/>
      <c r="AE457" s="63" t="n"/>
      <c r="AF457" s="63" t="inlineStr">
        <is>
          <t>full</t>
        </is>
      </c>
      <c r="AG457" s="63" t="inlineStr">
        <is>
          <t>2026-05-16</t>
        </is>
      </c>
      <c r="AH457" s="63" t="inlineStr">
        <is>
          <t>J.P. Morgan Securities</t>
        </is>
      </c>
      <c r="AI457" s="63" t="inlineStr">
        <is>
          <t>JP Morgan</t>
        </is>
      </c>
      <c r="AJ457" s="73" t="n">
        <v>50.09</v>
      </c>
      <c r="AK457" s="72" t="n">
        <v>57.23</v>
      </c>
      <c r="AL457" s="72" t="n">
        <v>-4.54</v>
      </c>
      <c r="AM457" s="72" t="n">
        <v>42.94</v>
      </c>
      <c r="AN457" s="72" t="n">
        <v>64.95</v>
      </c>
      <c r="AO457" s="72" t="n">
        <v>9.59</v>
      </c>
      <c r="AP457" s="72" t="n">
        <v>-4.76</v>
      </c>
      <c r="AQ457" s="72" t="n">
        <v>9.9</v>
      </c>
      <c r="AR457" s="72" t="n">
        <v>-26.98</v>
      </c>
      <c r="AS457" s="72" t="n">
        <v>47.47</v>
      </c>
      <c r="AT457" s="72" t="n">
        <v>70.65000000000001</v>
      </c>
      <c r="AU457" s="72" t="n">
        <v>16.46</v>
      </c>
      <c r="AV457" s="72" t="n">
        <v>15.71</v>
      </c>
      <c r="AW457" s="72" t="n">
        <v>-5.7</v>
      </c>
      <c r="AX457" s="72" t="n">
        <v>-5.81</v>
      </c>
      <c r="AY457" s="63" t="inlineStr">
        <is>
          <t>HSTECH (Hang Seng TECH ETF)</t>
        </is>
      </c>
      <c r="AZ457" s="72" t="n">
        <v>4.92</v>
      </c>
      <c r="BA457" s="64" t="inlineStr">
        <is>
          <t>2026-08-28</t>
        </is>
      </c>
      <c r="BB457" s="65" t="n">
        <v>21221.5</v>
      </c>
      <c r="BC457" s="68" t="n">
        <v>1269.9</v>
      </c>
      <c r="BD457" s="63" t="inlineStr">
        <is>
          <t>Y</t>
        </is>
      </c>
      <c r="BE457" s="74" t="n">
        <v>160</v>
      </c>
      <c r="BF457" s="74" t="n"/>
      <c r="BG457" s="74" t="n"/>
      <c r="BH457" s="74" t="n">
        <v>9.6</v>
      </c>
      <c r="BI457" s="75">
        <f>IF('BBG Verify'!S457="","not filed — run on terminal",'BBG Verify'!S457)</f>
        <v/>
      </c>
      <c r="BJ457" s="76" t="inlineStr">
        <is>
          <t>Y</t>
        </is>
      </c>
      <c r="BK457" s="63" t="inlineStr">
        <is>
          <t>300476.SZ</t>
        </is>
      </c>
      <c r="BL457" s="72" t="n">
        <v>87.67</v>
      </c>
      <c r="BM457" s="66" t="n">
        <v>393.8878</v>
      </c>
      <c r="BN457" s="80" t="n">
        <v>0.287</v>
      </c>
      <c r="BO457" s="68" t="n">
        <v>278830.8</v>
      </c>
      <c r="BP457" s="75">
        <f>IF('BBG Verify'!Q457="","run on terminal",'BBG Verify'!Q457)</f>
        <v/>
      </c>
      <c r="BQ457" s="75">
        <f>IF('BBG Verify'!R457="","run on terminal",'BBG Verify'!R457)</f>
        <v/>
      </c>
      <c r="BR457" s="76" t="inlineStr">
        <is>
          <t>J.P. Morgan Securities (Far East) Limited; China Securities (International) Corporate Finance Company Limited; GF Capital (Hong Kong) Limited</t>
        </is>
      </c>
      <c r="BS457" s="63" t="inlineStr">
        <is>
          <t>J.P. Morgan Securities (Far East) Limited; GF Capital (Hong Kong) Limited; China Securities (International) Corporate Finance Company Limited</t>
        </is>
      </c>
      <c r="BT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78">
        <f>HYPERLINK("https://www1.hkexnews.hk/listedco/listconews/sehk/2026/0413/2026041300005.pdf","prospectus")</f>
        <v/>
      </c>
      <c r="BW457" s="78">
        <f>HYPERLINK("https://www1.hkexnews.hk/listedco/listconews/sehk/2026/0420/2026042001650.pdf","allotment")</f>
        <v/>
      </c>
      <c r="BX457" s="78">
        <f>HYPERLINK("https://www1.hkexnews.hk/listedco/listconews/sehk/2026/0518/2026051800452.pdf","stabilisation")</f>
        <v/>
      </c>
      <c r="BY457" s="76" t="n"/>
      <c r="BZ457" s="63" t="inlineStr">
        <is>
          <t>range low: cap-only pricing — the filing publishes a Maximum Offer Price and no indicative floor · A/H: Apr 2026, HK$20.1bn (~US$2.57bn); +60% debut — Nvidia AI-PCB supplier · grey market: no grey-market headline on file for this deal — AAStocks publishes one per listing but keeps only recent items on the stock's news page, and no public archive of past evening sessions exists; captured from this run onward</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72" t="n"/>
      <c r="AC458" s="66" t="n"/>
      <c r="AD458" s="72" t="n"/>
      <c r="AE458" s="63" t="n"/>
      <c r="AF458" s="63" t="inlineStr">
        <is>
          <t>full</t>
        </is>
      </c>
      <c r="AG458" s="63" t="inlineStr">
        <is>
          <t>2026-05-20</t>
        </is>
      </c>
      <c r="AH458" s="63" t="inlineStr">
        <is>
          <t>China International Capital Corporation Hong Kong Securities Limited</t>
        </is>
      </c>
      <c r="AI458" s="63" t="inlineStr">
        <is>
          <t>China International</t>
        </is>
      </c>
      <c r="AJ458" s="73" t="n">
        <v>13.26</v>
      </c>
      <c r="AK458" s="72" t="n">
        <v>12.68</v>
      </c>
      <c r="AL458" s="72" t="n">
        <v>0.51</v>
      </c>
      <c r="AM458" s="72" t="n">
        <v>17.12</v>
      </c>
      <c r="AN458" s="72" t="n">
        <v>52.16</v>
      </c>
      <c r="AO458" s="72" t="n">
        <v>21.17</v>
      </c>
      <c r="AP458" s="72" t="n">
        <v>3.41</v>
      </c>
      <c r="AQ458" s="72" t="n">
        <v>34.35</v>
      </c>
      <c r="AR458" s="72" t="n">
        <v>6.98</v>
      </c>
      <c r="AS458" s="72" t="n">
        <v>18.81</v>
      </c>
      <c r="AT458" s="72" t="n">
        <v>52.53</v>
      </c>
      <c r="AU458" s="72" t="n">
        <v>26.15</v>
      </c>
      <c r="AV458" s="72" t="n">
        <v>32.62</v>
      </c>
      <c r="AW458" s="72" t="n">
        <v>-0.37</v>
      </c>
      <c r="AX458" s="72" t="n">
        <v>1.73</v>
      </c>
      <c r="AY458" s="63" t="inlineStr">
        <is>
          <t>HSTECH (Hang Seng TECH ETF)</t>
        </is>
      </c>
      <c r="AZ458" s="72" t="n">
        <v>41.62</v>
      </c>
      <c r="BA458" s="64" t="inlineStr">
        <is>
          <t>2026-08-31</t>
        </is>
      </c>
      <c r="BB458" s="65" t="n">
        <v>188580.6</v>
      </c>
      <c r="BC458" s="68" t="n">
        <v>4544.7</v>
      </c>
      <c r="BD458" s="63" t="inlineStr">
        <is>
          <t>Y</t>
        </is>
      </c>
      <c r="BE458" s="74" t="n">
        <v>18.4</v>
      </c>
      <c r="BF458" s="74" t="n">
        <v>19.2</v>
      </c>
      <c r="BG458" s="74" t="n">
        <v>23.6</v>
      </c>
      <c r="BH458" s="74" t="n">
        <v>0.4</v>
      </c>
      <c r="BI458" s="75">
        <f>IF('BBG Verify'!S458="","not filed — run on terminal",'BBG Verify'!S458)</f>
        <v/>
      </c>
      <c r="BJ458" s="76" t="inlineStr">
        <is>
          <t>Y</t>
        </is>
      </c>
      <c r="BK458" s="63" t="inlineStr">
        <is>
          <t>603296.SS</t>
        </is>
      </c>
      <c r="BL458" s="72" t="n">
        <v>55.23</v>
      </c>
      <c r="BM458" s="66" t="n">
        <v>120.6149</v>
      </c>
      <c r="BN458" s="80" t="n">
        <v>0.2101</v>
      </c>
      <c r="BO458" s="68" t="n">
        <v>144333.9</v>
      </c>
      <c r="BP458" s="75">
        <f>IF('BBG Verify'!Q458="","run on terminal",'BBG Verify'!Q458)</f>
        <v/>
      </c>
      <c r="BQ458" s="75">
        <f>IF('BBG Verify'!R458="","run on terminal",'BBG Verify'!R458)</f>
        <v/>
      </c>
      <c r="BR458" s="76" t="inlineStr">
        <is>
          <t>CICC; BofA Securities</t>
        </is>
      </c>
      <c r="BS458" s="63" t="inlineStr">
        <is>
          <t>China International Capital Corporation Hong Kong Securities Limited; Merrill Lynch (Asia Pacific) Limited</t>
        </is>
      </c>
      <c r="BT458" s="63" t="inlineStr">
        <is>
          <t>ABCI Capital Limited; Tiger Brokers (HK) Global Limited</t>
        </is>
      </c>
      <c r="BU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V458" s="78">
        <f>HYPERLINK("https://www1.hkexnews.hk/listedco/listconews/sehk/2026/0415/2026041500011.pdf","prospectus")</f>
        <v/>
      </c>
      <c r="BW458" s="78">
        <f>HYPERLINK("https://www1.hkexnews.hk/listedco/listconews/sehk/2026/0422/2026042202072.pdf","allotment")</f>
        <v/>
      </c>
      <c r="BX458" s="78">
        <f>HYPERLINK("https://www1.hkexnews.hk/listedco/listconews/sehk/2026/0520/2026052001304.pdf","stabilisation")</f>
        <v/>
      </c>
      <c r="BY458" s="76" t="n"/>
      <c r="BZ458" s="63" t="inlineStr">
        <is>
          <t>range low: cap-only pricing — the filing publishes a Maximum Offer Price and no indicative floor · A/H: Apr 2026 H listing (smart-hardware ODM) · grey market: no grey-market headline on file for this deal — AAStocks publishes one per listing but keeps only recent items on the stock's news page, and no public archive of past evening sessions exists; captured from this run onward</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72" t="n">
        <v>3.1</v>
      </c>
      <c r="AC459" s="66" t="n">
        <v>28.5</v>
      </c>
      <c r="AD459" s="72" t="n">
        <v>-2.44</v>
      </c>
      <c r="AE459" s="63" t="inlineStr">
        <is>
          <t>Y</t>
        </is>
      </c>
      <c r="AF459" s="63" t="n"/>
      <c r="AG459" s="63" t="n"/>
      <c r="AH459" s="63" t="n"/>
      <c r="AI459" s="63" t="n"/>
      <c r="AJ459" s="73" t="n">
        <v>0.58</v>
      </c>
      <c r="AK459" s="72" t="n">
        <v>2.39</v>
      </c>
      <c r="AL459" s="72" t="n">
        <v>-1.77</v>
      </c>
      <c r="AM459" s="72" t="n">
        <v>-2.03</v>
      </c>
      <c r="AN459" s="72" t="n">
        <v>-17.58</v>
      </c>
      <c r="AO459" s="72" t="n">
        <v>-24.17</v>
      </c>
      <c r="AP459" s="72" t="n">
        <v>-2.59</v>
      </c>
      <c r="AQ459" s="72" t="n">
        <v>-18.06</v>
      </c>
      <c r="AR459" s="72" t="n">
        <v>-24.61</v>
      </c>
      <c r="AS459" s="72" t="n">
        <v>-2.78</v>
      </c>
      <c r="AT459" s="72" t="n">
        <v>-11.23</v>
      </c>
      <c r="AU459" s="72" t="n">
        <v>-23.18</v>
      </c>
      <c r="AV459" s="72" t="n">
        <v>-10.99</v>
      </c>
      <c r="AW459" s="72" t="n">
        <v>-6.35</v>
      </c>
      <c r="AX459" s="72" t="n">
        <v>-7.07</v>
      </c>
      <c r="AY459" s="63" t="inlineStr">
        <is>
          <t>China Biotech ETF (HS biotech proxy)</t>
        </is>
      </c>
      <c r="AZ459" s="72" t="n">
        <v>-21.49</v>
      </c>
      <c r="BA459" s="64" t="inlineStr">
        <is>
          <t>2026-08-28</t>
        </is>
      </c>
      <c r="BB459" s="65" t="n">
        <v>724.6</v>
      </c>
      <c r="BC459" s="68" t="n">
        <v>-1069.5</v>
      </c>
      <c r="BD459" s="63" t="inlineStr">
        <is>
          <t>N</t>
        </is>
      </c>
      <c r="BE459" s="63" t="inlineStr">
        <is>
          <t>n/m</t>
        </is>
      </c>
      <c r="BF459" s="74" t="n"/>
      <c r="BG459" s="74" t="n"/>
      <c r="BH459" s="74" t="n">
        <v>17</v>
      </c>
      <c r="BI459" s="75">
        <f>IF('BBG Verify'!S459="","not filed — run on terminal",'BBG Verify'!S459)</f>
        <v/>
      </c>
      <c r="BJ459" s="76" t="inlineStr">
        <is>
          <t>Y</t>
        </is>
      </c>
      <c r="BK459" s="63" t="inlineStr">
        <is>
          <t>688062.SS</t>
        </is>
      </c>
      <c r="BL459" s="72" t="n">
        <v>53.53</v>
      </c>
      <c r="BM459" s="66" t="n">
        <v>42.4365</v>
      </c>
      <c r="BN459" s="80" t="n">
        <v>0.5952</v>
      </c>
      <c r="BO459" s="68" t="n">
        <v>14773</v>
      </c>
      <c r="BP459" s="75">
        <f>IF('BBG Verify'!Q459="","run on terminal",'BBG Verify'!Q459)</f>
        <v/>
      </c>
      <c r="BQ459" s="75">
        <f>IF('BBG Verify'!R459="","run on terminal",'BBG Verify'!R459)</f>
        <v/>
      </c>
      <c r="BR459" s="76" t="inlineStr">
        <is>
          <t>CITIC Securities (Hong Kong) Limited; Haitong International Capital Limited</t>
        </is>
      </c>
      <c r="BS459" s="63" t="inlineStr">
        <is>
          <t>Haitong International Capital Limited; CITIC Securities (Hong Kong) Limited</t>
        </is>
      </c>
      <c r="BT459" s="63" t="inlineStr">
        <is>
          <t>CLSA Limited; Haitong International Securities Company Limited; CMB International Capital Limited; ABCI Capital Limited</t>
        </is>
      </c>
      <c r="BU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V459" s="78">
        <f>HYPERLINK("https://www1.hkexnews.hk/listedco/listconews/sehk/2026/0420/2026042000011.pdf","prospectus")</f>
        <v/>
      </c>
      <c r="BW459" s="78">
        <f>HYPERLINK("https://www1.hkexnews.hk/listedco/listconews/sehk/2026/0427/2026042703128.pdf","allotment")</f>
        <v/>
      </c>
      <c r="BX459" s="63" t="n"/>
      <c r="BY459" s="76" t="n"/>
      <c r="BZ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72" t="n"/>
      <c r="AC460" s="66" t="n"/>
      <c r="AD460" s="72" t="n"/>
      <c r="AE460" s="63" t="n"/>
      <c r="AF460" s="63" t="n"/>
      <c r="AG460" s="63" t="inlineStr">
        <is>
          <t>2026-05-23</t>
        </is>
      </c>
      <c r="AH460" s="63" t="inlineStr">
        <is>
          <t>China International Capital Corporation Hong Kong Securities Limited</t>
        </is>
      </c>
      <c r="AI460" s="63" t="inlineStr">
        <is>
          <t>China International</t>
        </is>
      </c>
      <c r="AJ460" s="73" t="n">
        <v>383.62</v>
      </c>
      <c r="AK460" s="72" t="n">
        <v>380.35</v>
      </c>
      <c r="AL460" s="72" t="n">
        <v>0.68</v>
      </c>
      <c r="AM460" s="72" t="n">
        <v>384.99</v>
      </c>
      <c r="AN460" s="72" t="n">
        <v>236.24</v>
      </c>
      <c r="AO460" s="72" t="n">
        <v>27.29</v>
      </c>
      <c r="AP460" s="72" t="n">
        <v>0.28</v>
      </c>
      <c r="AQ460" s="72" t="n">
        <v>-30.47</v>
      </c>
      <c r="AR460" s="72" t="n">
        <v>-73.68000000000001</v>
      </c>
      <c r="AS460" s="72" t="n">
        <v>384.16</v>
      </c>
      <c r="AT460" s="72" t="n">
        <v>237.19</v>
      </c>
      <c r="AU460" s="72" t="n">
        <v>29.61</v>
      </c>
      <c r="AV460" s="72" t="n">
        <v>-31.7</v>
      </c>
      <c r="AW460" s="72" t="n">
        <v>-0.95</v>
      </c>
      <c r="AX460" s="72" t="n">
        <v>1.23</v>
      </c>
      <c r="AY460" s="63" t="inlineStr">
        <is>
          <t>HSTECH (Hang Seng TECH ETF)</t>
        </is>
      </c>
      <c r="AZ460" s="72" t="n">
        <v>70.63</v>
      </c>
      <c r="BA460" s="64" t="inlineStr">
        <is>
          <t>2026-08-28</t>
        </is>
      </c>
      <c r="BB460" s="65" t="n">
        <v>117</v>
      </c>
      <c r="BC460" s="68" t="n">
        <v>-1476.6</v>
      </c>
      <c r="BD460" s="63" t="inlineStr">
        <is>
          <t>N</t>
        </is>
      </c>
      <c r="BE460" s="63" t="inlineStr">
        <is>
          <t>n/m</t>
        </is>
      </c>
      <c r="BF460" s="74" t="n"/>
      <c r="BG460" s="74" t="n"/>
      <c r="BH460" s="74" t="n">
        <v>140.6</v>
      </c>
      <c r="BI460" s="75">
        <f>IF('BBG Verify'!S460="","not filed — run on terminal",'BBG Verify'!S460)</f>
        <v/>
      </c>
      <c r="BJ460" s="76" t="inlineStr">
        <is>
          <t>N</t>
        </is>
      </c>
      <c r="BK460" s="77">
        <f>IF('BBG Verify'!K460="","not filed — run on terminal",'BBG Verify'!K460)</f>
        <v/>
      </c>
      <c r="BL460" s="63" t="inlineStr">
        <is>
          <t>N/A</t>
        </is>
      </c>
      <c r="BM460" s="63" t="inlineStr">
        <is>
          <t>N/A</t>
        </is>
      </c>
      <c r="BN460" s="63" t="inlineStr">
        <is>
          <t>N/A</t>
        </is>
      </c>
      <c r="BO460" s="63" t="inlineStr">
        <is>
          <t>N/A</t>
        </is>
      </c>
      <c r="BP460" s="63" t="inlineStr">
        <is>
          <t>N/A</t>
        </is>
      </c>
      <c r="BQ460" s="63" t="inlineStr">
        <is>
          <t>N/A</t>
        </is>
      </c>
      <c r="BR460" s="76" t="n"/>
      <c r="BS460" s="63" t="inlineStr">
        <is>
          <t>China International Capital Corporation Hong Kong Securities Limited; Haitong International Capital Limited</t>
        </is>
      </c>
      <c r="BT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n"/>
      <c r="BW460" s="78">
        <f>HYPERLINK("https://www1.hkexnews.hk/listedco/listconews/sehk/2026/0427/2026042703526.pdf","allotment")</f>
        <v/>
      </c>
      <c r="BX460" s="63" t="n"/>
      <c r="BY460" s="76" t="n"/>
      <c r="BZ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72" t="n">
        <v>282.1</v>
      </c>
      <c r="AC461" s="66" t="n">
        <v>95</v>
      </c>
      <c r="AD461" s="72" t="n">
        <v>-10.73</v>
      </c>
      <c r="AE461" s="63" t="inlineStr">
        <is>
          <t>Y</t>
        </is>
      </c>
      <c r="AF461" s="63" t="n"/>
      <c r="AG461" s="63" t="n"/>
      <c r="AH461" s="63" t="n"/>
      <c r="AI461" s="63" t="n"/>
      <c r="AJ461" s="73" t="n">
        <v>241.11</v>
      </c>
      <c r="AK461" s="72" t="n">
        <v>292.2</v>
      </c>
      <c r="AL461" s="72" t="n">
        <v>-13.03</v>
      </c>
      <c r="AM461" s="72" t="n">
        <v>216.57</v>
      </c>
      <c r="AN461" s="72" t="n">
        <v>201.49</v>
      </c>
      <c r="AO461" s="72" t="n">
        <v>136.73</v>
      </c>
      <c r="AP461" s="72" t="n">
        <v>-7.19</v>
      </c>
      <c r="AQ461" s="72" t="n">
        <v>-11.62</v>
      </c>
      <c r="AR461" s="72" t="n">
        <v>-30.6</v>
      </c>
      <c r="AS461" s="72" t="n">
        <v>210.56</v>
      </c>
      <c r="AT461" s="72" t="n">
        <v>198.53</v>
      </c>
      <c r="AU461" s="72" t="n">
        <v>136.65</v>
      </c>
      <c r="AV461" s="72" t="n">
        <v>-12.78</v>
      </c>
      <c r="AW461" s="72" t="n">
        <v>2.96</v>
      </c>
      <c r="AX461" s="72" t="n">
        <v>1.16</v>
      </c>
      <c r="AY461" s="63" t="inlineStr">
        <is>
          <t>HSTECH (Hang Seng TECH ETF)</t>
        </is>
      </c>
      <c r="AZ461" s="72" t="n">
        <v>154.83</v>
      </c>
      <c r="BA461" s="64" t="inlineStr">
        <is>
          <t>2026-08-28</t>
        </is>
      </c>
      <c r="BB461" s="65" t="n">
        <v>4193</v>
      </c>
      <c r="BC461" s="68" t="n">
        <v>244.9</v>
      </c>
      <c r="BD461" s="63" t="inlineStr">
        <is>
          <t>Y</t>
        </is>
      </c>
      <c r="BE461" s="74" t="n">
        <v>40.9</v>
      </c>
      <c r="BF461" s="74" t="n"/>
      <c r="BG461" s="74" t="n"/>
      <c r="BH461" s="74" t="n">
        <v>2.4</v>
      </c>
      <c r="BI461" s="75">
        <f>IF('BBG Verify'!S461="","not filed — run on terminal",'BBG Verify'!S461)</f>
        <v/>
      </c>
      <c r="BJ461" s="76" t="inlineStr">
        <is>
          <t>N</t>
        </is>
      </c>
      <c r="BK461" s="77">
        <f>IF('BBG Verify'!K461="","not filed — run on terminal",'BBG Verify'!K461)</f>
        <v/>
      </c>
      <c r="BL461" s="63" t="inlineStr">
        <is>
          <t>N/A</t>
        </is>
      </c>
      <c r="BM461" s="63" t="inlineStr">
        <is>
          <t>N/A</t>
        </is>
      </c>
      <c r="BN461" s="63" t="inlineStr">
        <is>
          <t>N/A</t>
        </is>
      </c>
      <c r="BO461" s="63" t="inlineStr">
        <is>
          <t>N/A</t>
        </is>
      </c>
      <c r="BP461" s="63" t="inlineStr">
        <is>
          <t>N/A</t>
        </is>
      </c>
      <c r="BQ461" s="63" t="inlineStr">
        <is>
          <t>N/A</t>
        </is>
      </c>
      <c r="BR461" s="76" t="inlineStr">
        <is>
          <t>Deutsche Securities Asia Limited; CITIC Securities (Hong Kong) Limited; ABCI Capital Limited</t>
        </is>
      </c>
      <c r="BS461" s="63" t="inlineStr">
        <is>
          <t>CITIC Securities (Hong Kong) Limited; Deutsche Securities Asia Limited; ABCI Capital Limited</t>
        </is>
      </c>
      <c r="BT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U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V461" s="78">
        <f>HYPERLINK("https://www1.hkexnews.hk/listedco/listconews/sehk/2026/0421/2026042100017.pdf","prospectus")</f>
        <v/>
      </c>
      <c r="BW461" s="78">
        <f>HYPERLINK("https://www1.hkexnews.hk/listedco/listconews/sehk/2026/0428/2026042804737.pdf","allotment")</f>
        <v/>
      </c>
      <c r="BX461" s="63" t="n"/>
      <c r="BY461" s="76" t="n"/>
      <c r="BZ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72" t="n">
        <v>213.9</v>
      </c>
      <c r="AC462" s="66" t="n">
        <v>309.2</v>
      </c>
      <c r="AD462" s="72" t="n">
        <v>-30.47</v>
      </c>
      <c r="AE462" s="63" t="inlineStr">
        <is>
          <t>Y</t>
        </is>
      </c>
      <c r="AF462" s="63" t="n"/>
      <c r="AG462" s="63" t="n"/>
      <c r="AH462" s="63" t="n"/>
      <c r="AI462" s="63" t="n"/>
      <c r="AJ462" s="73" t="n">
        <v>118.27</v>
      </c>
      <c r="AK462" s="72" t="n">
        <v>192.39</v>
      </c>
      <c r="AL462" s="72" t="n">
        <v>-25.35</v>
      </c>
      <c r="AM462" s="72" t="n">
        <v>102.44</v>
      </c>
      <c r="AN462" s="72" t="n">
        <v>94.31</v>
      </c>
      <c r="AO462" s="72" t="n">
        <v>26.4</v>
      </c>
      <c r="AP462" s="72" t="n">
        <v>-7.25</v>
      </c>
      <c r="AQ462" s="72" t="n">
        <v>-10.98</v>
      </c>
      <c r="AR462" s="72" t="n">
        <v>-42.09</v>
      </c>
      <c r="AS462" s="72" t="n">
        <v>102.24</v>
      </c>
      <c r="AT462" s="72" t="n">
        <v>108.17</v>
      </c>
      <c r="AU462" s="72" t="n">
        <v>25.77</v>
      </c>
      <c r="AV462" s="72" t="n">
        <v>2.43</v>
      </c>
      <c r="AW462" s="72" t="n">
        <v>-13.86</v>
      </c>
      <c r="AX462" s="72" t="n">
        <v>-13.41</v>
      </c>
      <c r="AY462" s="63" t="inlineStr">
        <is>
          <t>China Biotech ETF (HS biotech proxy)</t>
        </is>
      </c>
      <c r="AZ462" s="72" t="n">
        <v>51.27</v>
      </c>
      <c r="BA462" s="64" t="inlineStr">
        <is>
          <t>2026-08-28</t>
        </is>
      </c>
      <c r="BB462" s="65" t="n">
        <v>443</v>
      </c>
      <c r="BC462" s="68" t="n">
        <v>150.7</v>
      </c>
      <c r="BD462" s="63" t="inlineStr">
        <is>
          <t>Y</t>
        </is>
      </c>
      <c r="BE462" s="74" t="n">
        <v>35.8</v>
      </c>
      <c r="BF462" s="74" t="n"/>
      <c r="BG462" s="74" t="n"/>
      <c r="BH462" s="74" t="n">
        <v>12.2</v>
      </c>
      <c r="BI462" s="75">
        <f>IF('BBG Verify'!S462="","not filed — run on terminal",'BBG Verify'!S462)</f>
        <v/>
      </c>
      <c r="BJ462" s="76" t="inlineStr">
        <is>
          <t>N</t>
        </is>
      </c>
      <c r="BK462" s="77">
        <f>IF('BBG Verify'!K462="","not filed — run on terminal",'BBG Verify'!K462)</f>
        <v/>
      </c>
      <c r="BL462" s="63" t="inlineStr">
        <is>
          <t>N/A</t>
        </is>
      </c>
      <c r="BM462" s="63" t="inlineStr">
        <is>
          <t>N/A</t>
        </is>
      </c>
      <c r="BN462" s="63" t="inlineStr">
        <is>
          <t>N/A</t>
        </is>
      </c>
      <c r="BO462" s="63" t="inlineStr">
        <is>
          <t>N/A</t>
        </is>
      </c>
      <c r="BP462" s="63" t="inlineStr">
        <is>
          <t>N/A</t>
        </is>
      </c>
      <c r="BQ462" s="63" t="inlineStr">
        <is>
          <t>N/A</t>
        </is>
      </c>
      <c r="BR462" s="76" t="n"/>
      <c r="BS462" s="63" t="inlineStr">
        <is>
          <t>CCB International Capital Limited; CITIC Securities (Hong Kong) Limited</t>
        </is>
      </c>
      <c r="BT462" s="63" t="inlineStr">
        <is>
          <t>CCB International Capital Limited; China Galaxy International Securities (Hong Kong) Company Limited; CLSA Limited; CMBC Securities Company Limited; Futu Securities International (Hong Kong) Limited; Open Securities Limited</t>
        </is>
      </c>
      <c r="BU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V462" s="63" t="n"/>
      <c r="BW462" s="78">
        <f>HYPERLINK("https://www1.hkexnews.hk/listedco/listconews/sehk/2026/0504/2026050403728.pdf","allotment")</f>
        <v/>
      </c>
      <c r="BX462" s="63" t="n"/>
      <c r="BY462" s="76" t="n"/>
      <c r="BZ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72" t="n">
        <v>2.2</v>
      </c>
      <c r="AC463" s="66" t="n">
        <v>40.2</v>
      </c>
      <c r="AD463" s="72" t="n">
        <v>-3.22</v>
      </c>
      <c r="AE463" s="63" t="inlineStr">
        <is>
          <t>N</t>
        </is>
      </c>
      <c r="AF463" s="63" t="n"/>
      <c r="AG463" s="63" t="n"/>
      <c r="AH463" s="63" t="n"/>
      <c r="AI463" s="63" t="n"/>
      <c r="AJ463" s="73" t="n">
        <v>-1.09</v>
      </c>
      <c r="AK463" s="72" t="n">
        <v>1.3</v>
      </c>
      <c r="AL463" s="72" t="n">
        <v>-2.36</v>
      </c>
      <c r="AM463" s="72" t="n">
        <v>-6.69</v>
      </c>
      <c r="AN463" s="72" t="n">
        <v>-16.09</v>
      </c>
      <c r="AO463" s="72" t="n">
        <v>-17.72</v>
      </c>
      <c r="AP463" s="72" t="n">
        <v>-5.66</v>
      </c>
      <c r="AQ463" s="72" t="n">
        <v>-15.17</v>
      </c>
      <c r="AR463" s="72" t="n">
        <v>-16.81</v>
      </c>
      <c r="AS463" s="72" t="n">
        <v>-6.32</v>
      </c>
      <c r="AT463" s="72" t="n">
        <v>-2.1</v>
      </c>
      <c r="AU463" s="72" t="n">
        <v>-18.53</v>
      </c>
      <c r="AV463" s="72" t="n">
        <v>-1.23</v>
      </c>
      <c r="AW463" s="72" t="n">
        <v>-13.99</v>
      </c>
      <c r="AX463" s="72" t="n">
        <v>-13.94</v>
      </c>
      <c r="AY463" s="63" t="inlineStr">
        <is>
          <t>China Biotech ETF (HS biotech proxy)</t>
        </is>
      </c>
      <c r="AZ463" s="72" t="n">
        <v>-13.6</v>
      </c>
      <c r="BA463" s="64" t="inlineStr">
        <is>
          <t>2026-08-28</t>
        </is>
      </c>
      <c r="BB463" s="65" t="n">
        <v>3726.2</v>
      </c>
      <c r="BC463" s="68" t="n">
        <v>408.8</v>
      </c>
      <c r="BD463" s="63" t="inlineStr">
        <is>
          <t>Y</t>
        </is>
      </c>
      <c r="BE463" s="74" t="n">
        <v>22.7</v>
      </c>
      <c r="BF463" s="74" t="n">
        <v>18.8</v>
      </c>
      <c r="BG463" s="74" t="n">
        <v>15.1</v>
      </c>
      <c r="BH463" s="74" t="n">
        <v>2.5</v>
      </c>
      <c r="BI463" s="75">
        <f>IF('BBG Verify'!S463="","not filed — run on terminal",'BBG Verify'!S463)</f>
        <v/>
      </c>
      <c r="BJ463" s="76" t="inlineStr">
        <is>
          <t>Y</t>
        </is>
      </c>
      <c r="BK463" s="63" t="inlineStr">
        <is>
          <t>301087.SZ</t>
        </is>
      </c>
      <c r="BL463" s="72" t="n">
        <v>54.6</v>
      </c>
      <c r="BM463" s="66" t="n">
        <v>60.8041</v>
      </c>
      <c r="BN463" s="80" t="n">
        <v>0.7816</v>
      </c>
      <c r="BO463" s="68" t="n">
        <v>13816.1</v>
      </c>
      <c r="BP463" s="75">
        <f>IF('BBG Verify'!Q463="","run on terminal",'BBG Verify'!Q463)</f>
        <v/>
      </c>
      <c r="BQ463" s="75">
        <f>IF('BBG Verify'!R463="","run on terminal",'BBG Verify'!R463)</f>
        <v/>
      </c>
      <c r="BR463" s="76" t="n"/>
      <c r="BS463" s="63" t="inlineStr">
        <is>
          <t>Huatai Financial Holdings (Hong Kong) Limited; BNP Paribas Securities (Asia) Limited</t>
        </is>
      </c>
      <c r="BT463" s="63" t="inlineStr">
        <is>
          <t>BNP Paribas Securities (Asia) Limited; Futu Securities International (Hong Kong) Limited; Huatai Financial Holdings (Hong Kong) Limited</t>
        </is>
      </c>
      <c r="BU463" s="63" t="inlineStr">
        <is>
          <t>BNP Paribas Securities (Asia) Limited; Futu Securities International (Hong Kong) Limited; Huatai Financial Holdings (Hong Kong) Limited</t>
        </is>
      </c>
      <c r="BV463" s="63" t="n"/>
      <c r="BW463" s="78">
        <f>HYPERLINK("https://www1.hkexnews.hk/listedco/listconews/sehk/2026/0505/2026050501942.pdf","allotment")</f>
        <v/>
      </c>
      <c r="BX463" s="63" t="n"/>
      <c r="BY463" s="76" t="n"/>
      <c r="BZ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72" t="n">
        <v>88.90000000000001</v>
      </c>
      <c r="AC464" s="66" t="n">
        <v>49.8</v>
      </c>
      <c r="AD464" s="72" t="n">
        <v>20.5</v>
      </c>
      <c r="AE464" s="63" t="inlineStr">
        <is>
          <t>Y</t>
        </is>
      </c>
      <c r="AF464" s="63" t="n"/>
      <c r="AG464" s="63" t="n"/>
      <c r="AH464" s="63" t="inlineStr">
        <is>
          <t>Haitong International Securities Company Limited</t>
        </is>
      </c>
      <c r="AI464" s="63" t="inlineStr">
        <is>
          <t>Haitong</t>
        </is>
      </c>
      <c r="AJ464" s="73" t="n">
        <v>127.62</v>
      </c>
      <c r="AK464" s="72" t="n">
        <v>102.96</v>
      </c>
      <c r="AL464" s="72" t="n">
        <v>12.15</v>
      </c>
      <c r="AM464" s="72" t="n">
        <v>56.68</v>
      </c>
      <c r="AN464" s="72" t="n">
        <v>54.86</v>
      </c>
      <c r="AO464" s="72" t="n">
        <v>48.71</v>
      </c>
      <c r="AP464" s="72" t="n">
        <v>-31.17</v>
      </c>
      <c r="AQ464" s="72" t="n">
        <v>-31.97</v>
      </c>
      <c r="AR464" s="72" t="n">
        <v>-34.67</v>
      </c>
      <c r="AS464" s="72" t="n">
        <v>61.92</v>
      </c>
      <c r="AT464" s="72" t="n">
        <v>62.14</v>
      </c>
      <c r="AU464" s="72" t="n">
        <v>53.95</v>
      </c>
      <c r="AV464" s="72" t="n">
        <v>-24.69</v>
      </c>
      <c r="AW464" s="72" t="n">
        <v>-7.28</v>
      </c>
      <c r="AX464" s="72" t="n">
        <v>-7.28</v>
      </c>
      <c r="AY464" s="63" t="inlineStr">
        <is>
          <t>HSTECH (Hang Seng TECH ETF)</t>
        </is>
      </c>
      <c r="AZ464" s="72" t="n">
        <v>40.9</v>
      </c>
      <c r="BA464" s="64" t="inlineStr">
        <is>
          <t>2026-08-28</t>
        </is>
      </c>
      <c r="BB464" s="65" t="n">
        <v>822.6</v>
      </c>
      <c r="BC464" s="68" t="n">
        <v>-68.8</v>
      </c>
      <c r="BD464" s="63" t="inlineStr">
        <is>
          <t>N</t>
        </is>
      </c>
      <c r="BE464" s="63" t="inlineStr">
        <is>
          <t>n/m</t>
        </is>
      </c>
      <c r="BF464" s="74" t="n"/>
      <c r="BG464" s="74" t="n"/>
      <c r="BH464" s="74" t="n">
        <v>10.9</v>
      </c>
      <c r="BI464" s="75">
        <f>IF('BBG Verify'!S464="","not filed — run on terminal",'BBG Verify'!S464)</f>
        <v/>
      </c>
      <c r="BJ464" s="76" t="inlineStr">
        <is>
          <t>N</t>
        </is>
      </c>
      <c r="BK464" s="77">
        <f>IF('BBG Verify'!K464="","not filed — run on terminal",'BBG Verify'!K464)</f>
        <v/>
      </c>
      <c r="BL464" s="63" t="inlineStr">
        <is>
          <t>N/A</t>
        </is>
      </c>
      <c r="BM464" s="63" t="inlineStr">
        <is>
          <t>N/A</t>
        </is>
      </c>
      <c r="BN464" s="63" t="inlineStr">
        <is>
          <t>N/A</t>
        </is>
      </c>
      <c r="BO464" s="63" t="inlineStr">
        <is>
          <t>N/A</t>
        </is>
      </c>
      <c r="BP464" s="63" t="inlineStr">
        <is>
          <t>N/A</t>
        </is>
      </c>
      <c r="BQ464" s="63" t="inlineStr">
        <is>
          <t>N/A</t>
        </is>
      </c>
      <c r="BR464" s="76" t="n"/>
      <c r="BS464" s="63" t="inlineStr">
        <is>
          <t>Haitong International Capital Limited; Guotai Junan Capital Limited</t>
        </is>
      </c>
      <c r="BT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V464" s="63" t="n"/>
      <c r="BW464" s="78">
        <f>HYPERLINK("https://www1.hkexnews.hk/listedco/listconews/sehk/2026/0508/2026050801854.pdf","allotment")</f>
        <v/>
      </c>
      <c r="BX464" s="63" t="n"/>
      <c r="BY464" s="76" t="n"/>
      <c r="BZ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72" t="n">
        <v>60</v>
      </c>
      <c r="AC465" s="66" t="n">
        <v>32.16</v>
      </c>
      <c r="AD465" s="72" t="n">
        <v>30.16</v>
      </c>
      <c r="AE465" s="63" t="inlineStr">
        <is>
          <t>Y</t>
        </is>
      </c>
      <c r="AF465" s="63" t="inlineStr">
        <is>
          <t>full</t>
        </is>
      </c>
      <c r="AG465" s="63" t="inlineStr">
        <is>
          <t>2026-06-07</t>
        </is>
      </c>
      <c r="AH465" s="63" t="inlineStr">
        <is>
          <t>Goldman Sachs</t>
        </is>
      </c>
      <c r="AI465" s="63" t="inlineStr">
        <is>
          <t>Goldman Sachs</t>
        </is>
      </c>
      <c r="AJ465" s="73" t="n">
        <v>108.26</v>
      </c>
      <c r="AK465" s="72" t="n">
        <v>76.62</v>
      </c>
      <c r="AL465" s="72" t="n">
        <v>17.91</v>
      </c>
      <c r="AM465" s="72" t="n">
        <v>86.27</v>
      </c>
      <c r="AN465" s="72" t="n">
        <v>81.09</v>
      </c>
      <c r="AO465" s="72" t="n">
        <v>-39.75</v>
      </c>
      <c r="AP465" s="72" t="n">
        <v>-10.56</v>
      </c>
      <c r="AQ465" s="72" t="n">
        <v>-13.05</v>
      </c>
      <c r="AR465" s="72" t="n">
        <v>-71.06999999999999</v>
      </c>
      <c r="AS465" s="72" t="n">
        <v>93.78</v>
      </c>
      <c r="AT465" s="72" t="n">
        <v>95.55</v>
      </c>
      <c r="AU465" s="72" t="n">
        <v>-48.04</v>
      </c>
      <c r="AV465" s="72" t="n">
        <v>0.47</v>
      </c>
      <c r="AW465" s="72" t="n">
        <v>-14.46</v>
      </c>
      <c r="AX465" s="72" t="n">
        <v>-13.52</v>
      </c>
      <c r="AY465" s="63" t="inlineStr">
        <is>
          <t>China Biotech ETF (HS biotech proxy)</t>
        </is>
      </c>
      <c r="AZ465" s="72" t="n">
        <v>-22.34</v>
      </c>
      <c r="BA465" s="64" t="inlineStr">
        <is>
          <t>2026-08-28</t>
        </is>
      </c>
      <c r="BB465" s="65" t="n">
        <v>42.1</v>
      </c>
      <c r="BC465" s="68" t="n">
        <v>-325.5</v>
      </c>
      <c r="BD465" s="63" t="inlineStr">
        <is>
          <t>N</t>
        </is>
      </c>
      <c r="BE465" s="63" t="inlineStr">
        <is>
          <t>n/m</t>
        </is>
      </c>
      <c r="BF465" s="74" t="n"/>
      <c r="BG465" s="74" t="n"/>
      <c r="BH465" s="74" t="n">
        <v>117.2</v>
      </c>
      <c r="BI465" s="75">
        <f>IF('BBG Verify'!S465="","not filed — run on terminal",'BBG Verify'!S465)</f>
        <v/>
      </c>
      <c r="BJ465" s="76" t="inlineStr">
        <is>
          <t>N</t>
        </is>
      </c>
      <c r="BK465" s="77">
        <f>IF('BBG Verify'!K465="","not filed — run on terminal",'BBG Verify'!K465)</f>
        <v/>
      </c>
      <c r="BL465" s="63" t="inlineStr">
        <is>
          <t>N/A</t>
        </is>
      </c>
      <c r="BM465" s="63" t="inlineStr">
        <is>
          <t>N/A</t>
        </is>
      </c>
      <c r="BN465" s="63" t="inlineStr">
        <is>
          <t>N/A</t>
        </is>
      </c>
      <c r="BO465" s="63" t="inlineStr">
        <is>
          <t>N/A</t>
        </is>
      </c>
      <c r="BP465" s="63" t="inlineStr">
        <is>
          <t>N/A</t>
        </is>
      </c>
      <c r="BQ465" s="63" t="inlineStr">
        <is>
          <t>N/A</t>
        </is>
      </c>
      <c r="BR465" s="76" t="n"/>
      <c r="BS465" s="63" t="inlineStr">
        <is>
          <t>China International Capital Corporation Hong Kong Securities Limited; Goldman Sachs (Asia) L.L.C.</t>
        </is>
      </c>
      <c r="BT465" s="63" t="inlineStr">
        <is>
          <t>China International Capital Corporation Hong Kong Securities Limited; CMB International Capital Limited; Goldman Sachs (Asia) L.L.C.; Tiger Brokers (HK) Global Limited</t>
        </is>
      </c>
      <c r="BU465" s="63" t="inlineStr">
        <is>
          <t>China International Capital Corporation Hong Kong Securities Limited; CMB International Capital Limited; Goldman Sachs (Asia) L.L.C.; Tiger Brokers (HK) Global Limited</t>
        </is>
      </c>
      <c r="BV465" s="78">
        <f>HYPERLINK("https://www1.hkexnews.hk/listedco/listconews/sehk/2026/0505/2026050500023.pdf","prospectus")</f>
        <v/>
      </c>
      <c r="BW465" s="78">
        <f>HYPERLINK("https://www1.hkexnews.hk/listedco/listconews/sehk/2026/0512/2026051201406.pdf","allotment")</f>
        <v/>
      </c>
      <c r="BX465" s="78">
        <f>HYPERLINK("https://www1.hkexnews.hk/listedco/listconews/sehk/2026/0608/2026060800490.pdf","stabilisation")</f>
        <v/>
      </c>
      <c r="BY465" s="76" t="n"/>
      <c r="BZ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72" t="n"/>
      <c r="AC466" s="66" t="n"/>
      <c r="AD466" s="72" t="n"/>
      <c r="AE466" s="63" t="n"/>
      <c r="AF466" s="63" t="inlineStr">
        <is>
          <t>full</t>
        </is>
      </c>
      <c r="AG466" s="63" t="inlineStr">
        <is>
          <t>2026-06-07</t>
        </is>
      </c>
      <c r="AH466" s="63" t="inlineStr">
        <is>
          <t>CLSA Limited</t>
        </is>
      </c>
      <c r="AI466" s="63" t="inlineStr">
        <is>
          <t>CLSA</t>
        </is>
      </c>
      <c r="AJ466" s="73" t="n">
        <v>126.67</v>
      </c>
      <c r="AK466" s="72" t="n">
        <v>173.14</v>
      </c>
      <c r="AL466" s="72" t="n">
        <v>-17.01</v>
      </c>
      <c r="AM466" s="72" t="n">
        <v>71.43000000000001</v>
      </c>
      <c r="AN466" s="72" t="n">
        <v>25.62</v>
      </c>
      <c r="AO466" s="72" t="n">
        <v>25.62</v>
      </c>
      <c r="AP466" s="72" t="n">
        <v>-24.37</v>
      </c>
      <c r="AQ466" s="72" t="n">
        <v>-44.58</v>
      </c>
      <c r="AR466" s="72" t="n">
        <v>-44.58</v>
      </c>
      <c r="AS466" s="72" t="n">
        <v>78.94</v>
      </c>
      <c r="AT466" s="72" t="n">
        <v>40.08</v>
      </c>
      <c r="AU466" s="72" t="n">
        <v>17.33</v>
      </c>
      <c r="AV466" s="72" t="n">
        <v>-31.06</v>
      </c>
      <c r="AW466" s="72" t="n">
        <v>-14.46</v>
      </c>
      <c r="AX466" s="72" t="n">
        <v>-13.52</v>
      </c>
      <c r="AY466" s="63" t="inlineStr">
        <is>
          <t>China Biotech ETF (HS biotech proxy)</t>
        </is>
      </c>
      <c r="AZ466" s="72" t="n">
        <v>32.19</v>
      </c>
      <c r="BA466" s="64" t="inlineStr">
        <is>
          <t>2026-08-28</t>
        </is>
      </c>
      <c r="BB466" s="65" t="n">
        <v>115.5</v>
      </c>
      <c r="BC466" s="68" t="n">
        <v>-431</v>
      </c>
      <c r="BD466" s="63" t="inlineStr">
        <is>
          <t>N</t>
        </is>
      </c>
      <c r="BE466" s="63" t="inlineStr">
        <is>
          <t>n/m</t>
        </is>
      </c>
      <c r="BF466" s="74" t="n"/>
      <c r="BG466" s="74" t="n"/>
      <c r="BH466" s="74" t="n">
        <v>104.8</v>
      </c>
      <c r="BI466" s="75">
        <f>IF('BBG Verify'!S466="","not filed — run on terminal",'BBG Verify'!S466)</f>
        <v/>
      </c>
      <c r="BJ466" s="76" t="inlineStr">
        <is>
          <t>N</t>
        </is>
      </c>
      <c r="BK466" s="77">
        <f>IF('BBG Verify'!K466="","not filed — run on terminal",'BBG Verify'!K466)</f>
        <v/>
      </c>
      <c r="BL466" s="63" t="inlineStr">
        <is>
          <t>N/A</t>
        </is>
      </c>
      <c r="BM466" s="63" t="inlineStr">
        <is>
          <t>N/A</t>
        </is>
      </c>
      <c r="BN466" s="63" t="inlineStr">
        <is>
          <t>N/A</t>
        </is>
      </c>
      <c r="BO466" s="63" t="inlineStr">
        <is>
          <t>N/A</t>
        </is>
      </c>
      <c r="BP466" s="63" t="inlineStr">
        <is>
          <t>N/A</t>
        </is>
      </c>
      <c r="BQ466" s="63" t="inlineStr">
        <is>
          <t>N/A</t>
        </is>
      </c>
      <c r="BR466" s="76" t="inlineStr">
        <is>
          <t>Jefferies Hong Kong Limited; Deutsche Securities Asia Limited; CITIC Securities (Hong Kong) Limited</t>
        </is>
      </c>
      <c r="BS466" s="63" t="inlineStr">
        <is>
          <t>Jefferies Hong Kong Limited; CITIC Securities (Hong Kong) Limited; Deutsche Securities Asia Limited</t>
        </is>
      </c>
      <c r="BT466" s="63" t="inlineStr">
        <is>
          <t>Futu Securities International (Hong Kong) Limited</t>
        </is>
      </c>
      <c r="BU466" s="63" t="inlineStr">
        <is>
          <t>CLSA Limited; CMB International Capital Limited; Deutsche Bank AG, Hong Kong Branch; Futu Securities International (Hong Kong) Limited; Jefferies Hong Kong Limited</t>
        </is>
      </c>
      <c r="BV466" s="78">
        <f>HYPERLINK("https://www1.hkexnews.hk/listedco/listconews/sehk/2026/0505/2026050500019.pdf","prospectus")</f>
        <v/>
      </c>
      <c r="BW466" s="78">
        <f>HYPERLINK("https://www1.hkexnews.hk/listedco/listconews/sehk/2026/0512/2026051201482.pdf","allotment")</f>
        <v/>
      </c>
      <c r="BX466" s="78">
        <f>HYPERLINK("https://www1.hkexnews.hk/listedco/listconews/sehk/2026/0605/2026060501450.pdf","stabilisation")</f>
        <v/>
      </c>
      <c r="BY466" s="76" t="n"/>
      <c r="BZ466" s="63" t="inlineStr">
        <is>
          <t>P/E: n/m — loss-making at IPO (use P/S) · range low: cap-only pricing — the filing publishes a Maximum Offer Price and no indicative floor · A/H: no A-share listing · grey market: no grey-market headline on file for this deal — AAStocks publishes one per listing but keeps only recent items on the stock's news page, and no public archive of past evening sessions exists; captured from this run onward</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72" t="n">
        <v>79.2</v>
      </c>
      <c r="AC467" s="66" t="n">
        <v>54.65</v>
      </c>
      <c r="AD467" s="72" t="n">
        <v>-1.66</v>
      </c>
      <c r="AE467" s="63" t="inlineStr">
        <is>
          <t>Y</t>
        </is>
      </c>
      <c r="AF467" s="63" t="n"/>
      <c r="AG467" s="63" t="n"/>
      <c r="AH467" s="63" t="n"/>
      <c r="AI467" s="63" t="n"/>
      <c r="AJ467" s="73" t="n">
        <v>76.23</v>
      </c>
      <c r="AK467" s="72" t="n">
        <v>79.18000000000001</v>
      </c>
      <c r="AL467" s="72" t="n">
        <v>-1.65</v>
      </c>
      <c r="AM467" s="72" t="n">
        <v>12.72</v>
      </c>
      <c r="AN467" s="72" t="n">
        <v>23.28</v>
      </c>
      <c r="AO467" s="72" t="n">
        <v>7.54</v>
      </c>
      <c r="AP467" s="72" t="n">
        <v>-36.04</v>
      </c>
      <c r="AQ467" s="72" t="n">
        <v>-30.05</v>
      </c>
      <c r="AR467" s="72" t="n">
        <v>-38.98</v>
      </c>
      <c r="AS467" s="72" t="n">
        <v>12.51</v>
      </c>
      <c r="AT467" s="72" t="n">
        <v>28.75</v>
      </c>
      <c r="AU467" s="72" t="n">
        <v>11.23</v>
      </c>
      <c r="AV467" s="72" t="n">
        <v>-26.46</v>
      </c>
      <c r="AW467" s="72" t="n">
        <v>-5.47</v>
      </c>
      <c r="AX467" s="72" t="n">
        <v>-3.59</v>
      </c>
      <c r="AY467" s="63" t="inlineStr">
        <is>
          <t>HSTECH (Hang Seng TECH ETF)</t>
        </is>
      </c>
      <c r="AZ467" s="72" t="n">
        <v>-10.75</v>
      </c>
      <c r="BA467" s="64" t="inlineStr">
        <is>
          <t>2026-08-28</t>
        </is>
      </c>
      <c r="BB467" s="65" t="n">
        <v>426.1</v>
      </c>
      <c r="BC467" s="68" t="n">
        <v>-168.2</v>
      </c>
      <c r="BD467" s="63" t="inlineStr">
        <is>
          <t>N</t>
        </is>
      </c>
      <c r="BE467" s="63" t="inlineStr">
        <is>
          <t>n/m</t>
        </is>
      </c>
      <c r="BF467" s="74" t="n"/>
      <c r="BG467" s="74" t="n"/>
      <c r="BH467" s="74" t="n">
        <v>17.5</v>
      </c>
      <c r="BI467" s="75">
        <f>IF('BBG Verify'!S467="","not filed — run on terminal",'BBG Verify'!S467)</f>
        <v/>
      </c>
      <c r="BJ467" s="76" t="inlineStr">
        <is>
          <t>N</t>
        </is>
      </c>
      <c r="BK467" s="77">
        <f>IF('BBG Verify'!K467="","not filed — run on terminal",'BBG Verify'!K467)</f>
        <v/>
      </c>
      <c r="BL467" s="63" t="inlineStr">
        <is>
          <t>N/A</t>
        </is>
      </c>
      <c r="BM467" s="63" t="inlineStr">
        <is>
          <t>N/A</t>
        </is>
      </c>
      <c r="BN467" s="63" t="inlineStr">
        <is>
          <t>N/A</t>
        </is>
      </c>
      <c r="BO467" s="63" t="inlineStr">
        <is>
          <t>N/A</t>
        </is>
      </c>
      <c r="BP467" s="63" t="inlineStr">
        <is>
          <t>N/A</t>
        </is>
      </c>
      <c r="BQ467" s="63" t="inlineStr">
        <is>
          <t>N/A</t>
        </is>
      </c>
      <c r="BR467" s="76" t="inlineStr">
        <is>
          <t>ABCI Capital Limited; Sponsor-OC ABCI Capital Limited</t>
        </is>
      </c>
      <c r="BS467" s="63" t="inlineStr">
        <is>
          <t>ABCI Capital Limited</t>
        </is>
      </c>
      <c r="BT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U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V467" s="78">
        <f>HYPERLINK("https://www1.hkexnews.hk/listedco/listconews/sehk/2026/0508/2026050800015.pdf","prospectus")</f>
        <v/>
      </c>
      <c r="BW467" s="78">
        <f>HYPERLINK("https://www1.hkexnews.hk/listedco/listconews/sehk/2026/0515/2026051502141.pdf","allotment")</f>
        <v/>
      </c>
      <c r="BX467" s="63" t="n"/>
      <c r="BY467" s="76" t="n"/>
      <c r="BZ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72" t="n">
        <v>-1.2</v>
      </c>
      <c r="AC468" s="66" t="n">
        <v>59.55</v>
      </c>
      <c r="AD468" s="72" t="n">
        <v>-3.48</v>
      </c>
      <c r="AE468" s="63" t="inlineStr">
        <is>
          <t>Y</t>
        </is>
      </c>
      <c r="AF468" s="63" t="n"/>
      <c r="AG468" s="63" t="n"/>
      <c r="AH468" s="63" t="n"/>
      <c r="AI468" s="63" t="n"/>
      <c r="AJ468" s="73" t="n">
        <v>-4.64</v>
      </c>
      <c r="AK468" s="72" t="n">
        <v>-7.13</v>
      </c>
      <c r="AL468" s="72" t="n">
        <v>2.68</v>
      </c>
      <c r="AM468" s="72" t="n">
        <v>22.31</v>
      </c>
      <c r="AN468" s="72" t="n">
        <v>68.66</v>
      </c>
      <c r="AO468" s="72" t="n">
        <v>-0.83</v>
      </c>
      <c r="AP468" s="72" t="n">
        <v>28.26</v>
      </c>
      <c r="AQ468" s="72" t="n">
        <v>76.87</v>
      </c>
      <c r="AR468" s="72" t="n">
        <v>4</v>
      </c>
      <c r="AS468" s="72" t="n">
        <v>21.85</v>
      </c>
      <c r="AT468" s="72" t="n">
        <v>74.88</v>
      </c>
      <c r="AU468" s="72" t="n">
        <v>2.41</v>
      </c>
      <c r="AV468" s="72" t="n">
        <v>83.29000000000001</v>
      </c>
      <c r="AW468" s="72" t="n">
        <v>-6.22</v>
      </c>
      <c r="AX468" s="72" t="n">
        <v>-6.42</v>
      </c>
      <c r="AY468" s="63" t="inlineStr">
        <is>
          <t>HSTECH (Hang Seng TECH ETF)</t>
        </is>
      </c>
      <c r="AZ468" s="72" t="n">
        <v>0.08</v>
      </c>
      <c r="BA468" s="64" t="inlineStr">
        <is>
          <t>2026-08-28</t>
        </is>
      </c>
      <c r="BB468" s="65" t="n">
        <v>161.3</v>
      </c>
      <c r="BC468" s="68" t="n">
        <v>-253.2</v>
      </c>
      <c r="BD468" s="63" t="inlineStr">
        <is>
          <t>N</t>
        </is>
      </c>
      <c r="BE468" s="63" t="inlineStr">
        <is>
          <t>n/m</t>
        </is>
      </c>
      <c r="BF468" s="74" t="n"/>
      <c r="BG468" s="74" t="n"/>
      <c r="BH468" s="74" t="n">
        <v>60.7</v>
      </c>
      <c r="BI468" s="75">
        <f>IF('BBG Verify'!S468="","not filed — run on terminal",'BBG Verify'!S468)</f>
        <v/>
      </c>
      <c r="BJ468" s="76" t="inlineStr">
        <is>
          <t>N</t>
        </is>
      </c>
      <c r="BK468" s="77">
        <f>IF('BBG Verify'!K468="","not filed — run on terminal",'BBG Verify'!K468)</f>
        <v/>
      </c>
      <c r="BL468" s="63" t="inlineStr">
        <is>
          <t>N/A</t>
        </is>
      </c>
      <c r="BM468" s="63" t="inlineStr">
        <is>
          <t>N/A</t>
        </is>
      </c>
      <c r="BN468" s="63" t="inlineStr">
        <is>
          <t>N/A</t>
        </is>
      </c>
      <c r="BO468" s="63" t="inlineStr">
        <is>
          <t>N/A</t>
        </is>
      </c>
      <c r="BP468" s="63" t="inlineStr">
        <is>
          <t>N/A</t>
        </is>
      </c>
      <c r="BQ468" s="63" t="inlineStr">
        <is>
          <t>N/A</t>
        </is>
      </c>
      <c r="BR468" s="76" t="inlineStr">
        <is>
          <t>CITIC Securities (Hong Kong) Limited</t>
        </is>
      </c>
      <c r="BS468" s="63" t="inlineStr">
        <is>
          <t>CITIC Securities (Hong Kong) Limited</t>
        </is>
      </c>
      <c r="BT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U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V468" s="78">
        <f>HYPERLINK("https://www1.hkexnews.hk/listedco/listconews/sehk/2026/0512/2026051200147.pdf","prospectus")</f>
        <v/>
      </c>
      <c r="BW468" s="78">
        <f>HYPERLINK("https://www1.hkexnews.hk/listedco/listconews/sehk/2026/0519/2026051901257.pdf","allotment")</f>
        <v/>
      </c>
      <c r="BX468" s="63" t="n"/>
      <c r="BY468" s="76" t="n"/>
      <c r="BZ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72" t="n"/>
      <c r="AC469" s="66" t="n"/>
      <c r="AD469" s="72" t="n"/>
      <c r="AE469" s="63" t="n"/>
      <c r="AF469" s="63" t="inlineStr">
        <is>
          <t>full</t>
        </is>
      </c>
      <c r="AG469" s="63" t="n"/>
      <c r="AH469" s="63" t="inlineStr">
        <is>
          <t>Guotai Junan Securities</t>
        </is>
      </c>
      <c r="AI469" s="63" t="inlineStr">
        <is>
          <t>Guotai Junan</t>
        </is>
      </c>
      <c r="AJ469" s="73" t="n">
        <v>79.98999999999999</v>
      </c>
      <c r="AK469" s="72" t="n">
        <v>40.2</v>
      </c>
      <c r="AL469" s="72" t="n">
        <v>28.38</v>
      </c>
      <c r="AM469" s="72" t="n">
        <v>35.66</v>
      </c>
      <c r="AN469" s="72" t="n">
        <v>11.25</v>
      </c>
      <c r="AO469" s="72" t="n">
        <v>-38.8</v>
      </c>
      <c r="AP469" s="72" t="n">
        <v>-24.63</v>
      </c>
      <c r="AQ469" s="72" t="n">
        <v>-38.19</v>
      </c>
      <c r="AR469" s="72" t="n">
        <v>-66</v>
      </c>
      <c r="AS469" s="72" t="n">
        <v>39.23</v>
      </c>
      <c r="AT469" s="72" t="n">
        <v>21.16</v>
      </c>
      <c r="AU469" s="72" t="n">
        <v>-37.74</v>
      </c>
      <c r="AV469" s="72" t="n">
        <v>-28.59</v>
      </c>
      <c r="AW469" s="72" t="n">
        <v>-9.91</v>
      </c>
      <c r="AX469" s="72" t="n">
        <v>-9.6</v>
      </c>
      <c r="AY469" s="63" t="inlineStr">
        <is>
          <t>Hang Seng Commerce &amp; Industry sub-index</t>
        </is>
      </c>
      <c r="AZ469" s="72" t="n">
        <v>-40.62</v>
      </c>
      <c r="BA469" s="64" t="inlineStr">
        <is>
          <t>2026-08-28</t>
        </is>
      </c>
      <c r="BB469" s="65" t="n">
        <v>635.8</v>
      </c>
      <c r="BC469" s="68" t="n"/>
      <c r="BD469" s="63" t="inlineStr">
        <is>
          <t>Y</t>
        </is>
      </c>
      <c r="BE469" s="75">
        <f>IF('BBG Verify'!O469="","not filed — run on terminal",'BBG Verify'!O469)</f>
        <v/>
      </c>
      <c r="BF469" s="74" t="n"/>
      <c r="BG469" s="74" t="n"/>
      <c r="BH469" s="74" t="n">
        <v>15.1</v>
      </c>
      <c r="BI469" s="75">
        <f>IF('BBG Verify'!S469="","not filed — run on terminal",'BBG Verify'!S469)</f>
        <v/>
      </c>
      <c r="BJ469" s="76" t="inlineStr">
        <is>
          <t>N</t>
        </is>
      </c>
      <c r="BK469" s="77">
        <f>IF('BBG Verify'!K469="","not filed — run on terminal",'BBG Verify'!K469)</f>
        <v/>
      </c>
      <c r="BL469" s="63" t="inlineStr">
        <is>
          <t>N/A</t>
        </is>
      </c>
      <c r="BM469" s="63" t="inlineStr">
        <is>
          <t>N/A</t>
        </is>
      </c>
      <c r="BN469" s="63" t="inlineStr">
        <is>
          <t>N/A</t>
        </is>
      </c>
      <c r="BO469" s="63" t="inlineStr">
        <is>
          <t>N/A</t>
        </is>
      </c>
      <c r="BP469" s="63" t="inlineStr">
        <is>
          <t>N/A</t>
        </is>
      </c>
      <c r="BQ469" s="63" t="inlineStr">
        <is>
          <t>N/A</t>
        </is>
      </c>
      <c r="BR469" s="76" t="inlineStr">
        <is>
          <t>Guotai Junan Capital Limited; CCB International Capital Limited</t>
        </is>
      </c>
      <c r="BS469" s="63" t="inlineStr">
        <is>
          <t>CCB International Capital Limited; Guotai Junan Capital Limited</t>
        </is>
      </c>
      <c r="BT469" s="63" t="inlineStr">
        <is>
          <t>Guotai Junan Securities (Hong Kong) Limited; CCB International Capital Limited; SBI China Capital Financial Services Limited; BOCI Asia Limited; CMB International Capital Limited</t>
        </is>
      </c>
      <c r="BU469" s="63" t="inlineStr">
        <is>
          <t>BOCI Asia Limited; CCB International Capital Limited; CMB International Capital Limited; Guotai Junan Securities (Hong Kong) Limited; SBI China Capital Financial Services Limited</t>
        </is>
      </c>
      <c r="BV469" s="78">
        <f>HYPERLINK("https://www1.hkexnews.hk/listedco/listconews/sehk/2026/0512/2026051200017.pdf","prospectus")</f>
        <v/>
      </c>
      <c r="BW469" s="78">
        <f>HYPERLINK("https://www1.hkexnews.hk/listedco/listconews/sehk/2026/0519/2026051901261.pdf","allotment")</f>
        <v/>
      </c>
      <c r="BX469" s="78">
        <f>HYPERLINK("https://www1.hkexnews.hk/listedco/listconews/sehk/2026/0614/2026061400165.pdf","stabilisation")</f>
        <v/>
      </c>
      <c r="BY469" s="76" t="n"/>
      <c r="BZ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no grey-market headline on file for this deal — AAStocks publishes one per listing but keeps only recent items on the stock's news page, and no public archive of past evening sessions exists; captured from this run onward</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72" t="n">
        <v>94.8</v>
      </c>
      <c r="AC470" s="66" t="n">
        <v>147.5</v>
      </c>
      <c r="AD470" s="72" t="n">
        <v>43.09</v>
      </c>
      <c r="AE470" s="63" t="inlineStr">
        <is>
          <t>Y</t>
        </is>
      </c>
      <c r="AF470" s="63" t="n"/>
      <c r="AG470" s="63" t="n"/>
      <c r="AH470" s="63" t="inlineStr">
        <is>
          <t>CLSA Limited</t>
        </is>
      </c>
      <c r="AI470" s="63" t="inlineStr">
        <is>
          <t>CLSA</t>
        </is>
      </c>
      <c r="AJ470" s="73" t="n">
        <v>178.73</v>
      </c>
      <c r="AK470" s="72" t="n">
        <v>98.15000000000001</v>
      </c>
      <c r="AL470" s="72" t="n">
        <v>40.67</v>
      </c>
      <c r="AM470" s="72" t="n">
        <v>166.84</v>
      </c>
      <c r="AN470" s="72" t="n">
        <v>248.22</v>
      </c>
      <c r="AO470" s="72" t="n">
        <v>164.99</v>
      </c>
      <c r="AP470" s="72" t="n">
        <v>-4.27</v>
      </c>
      <c r="AQ470" s="72" t="n">
        <v>24.93</v>
      </c>
      <c r="AR470" s="72" t="n">
        <v>-4.93</v>
      </c>
      <c r="AS470" s="72" t="n">
        <v>169.52</v>
      </c>
      <c r="AT470" s="72" t="n">
        <v>256.1</v>
      </c>
      <c r="AU470" s="72" t="n">
        <v>153.42</v>
      </c>
      <c r="AV470" s="72" t="n">
        <v>31.94</v>
      </c>
      <c r="AW470" s="72" t="n">
        <v>-7.88</v>
      </c>
      <c r="AX470" s="72" t="n">
        <v>-7.01</v>
      </c>
      <c r="AY470" s="63" t="inlineStr">
        <is>
          <t>China Biotech ETF (HS biotech proxy)</t>
        </is>
      </c>
      <c r="AZ470" s="72" t="n">
        <v>148.61</v>
      </c>
      <c r="BA470" s="64" t="inlineStr">
        <is>
          <t>2026-08-28</t>
        </is>
      </c>
      <c r="BB470" s="65" t="n">
        <v>0</v>
      </c>
      <c r="BC470" s="68" t="n">
        <v>-168.5</v>
      </c>
      <c r="BD470" s="63" t="inlineStr">
        <is>
          <t>N</t>
        </is>
      </c>
      <c r="BE470" s="63" t="inlineStr">
        <is>
          <t>n/m</t>
        </is>
      </c>
      <c r="BF470" s="74" t="n"/>
      <c r="BG470" s="74" t="n"/>
      <c r="BH470" s="63" t="inlineStr">
        <is>
          <t>pre-rev</t>
        </is>
      </c>
      <c r="BI470" s="75">
        <f>IF('BBG Verify'!S470="","not filed — run on terminal",'BBG Verify'!S470)</f>
        <v/>
      </c>
      <c r="BJ470" s="76" t="inlineStr">
        <is>
          <t>N</t>
        </is>
      </c>
      <c r="BK470" s="77">
        <f>IF('BBG Verify'!K470="","not filed — run on terminal",'BBG Verify'!K470)</f>
        <v/>
      </c>
      <c r="BL470" s="63" t="inlineStr">
        <is>
          <t>N/A</t>
        </is>
      </c>
      <c r="BM470" s="63" t="inlineStr">
        <is>
          <t>N/A</t>
        </is>
      </c>
      <c r="BN470" s="63" t="inlineStr">
        <is>
          <t>N/A</t>
        </is>
      </c>
      <c r="BO470" s="63" t="inlineStr">
        <is>
          <t>N/A</t>
        </is>
      </c>
      <c r="BP470" s="63" t="inlineStr">
        <is>
          <t>N/A</t>
        </is>
      </c>
      <c r="BQ470" s="63" t="inlineStr">
        <is>
          <t>N/A</t>
        </is>
      </c>
      <c r="BR470" s="76" t="inlineStr">
        <is>
          <t>CITIC Securities (Hong Kong) Limited; ABCI Capital Limited</t>
        </is>
      </c>
      <c r="BS470" s="63" t="inlineStr">
        <is>
          <t>CITIC Securities (Hong Kong) Limited; ABCI Capital Limited</t>
        </is>
      </c>
      <c r="BT470" s="63" t="inlineStr">
        <is>
          <t>CLSA Limited; ABCI Capital Limited; China Renaissance Securities (Hong Kong) Limited</t>
        </is>
      </c>
      <c r="BU470" s="63" t="inlineStr">
        <is>
          <t>ABCI Securities Company Limited; CLSA Limited; China Renaissance Securities (Hong Kong) Limited; Futu Securities International (Hong Kong) Limited; Tiger Brokers (HK) Global Limited</t>
        </is>
      </c>
      <c r="BV470" s="78">
        <f>HYPERLINK("https://www1.hkexnews.hk/listedco/listconews/sehk/2026/0514/2026051400013.pdf","prospectus")</f>
        <v/>
      </c>
      <c r="BW470" s="78">
        <f>HYPERLINK("https://www1.hkexnews.hk/listedco/listconews/sehk/2026/0521/2026052101298.pdf","allotment")</f>
        <v/>
      </c>
      <c r="BX470" s="63" t="n"/>
      <c r="BY470" s="76" t="n"/>
      <c r="BZ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72" t="n">
        <v>20.8</v>
      </c>
      <c r="AC471" s="66" t="n">
        <v>25.14</v>
      </c>
      <c r="AD471" s="72" t="n">
        <v>58.72</v>
      </c>
      <c r="AE471" s="63" t="inlineStr">
        <is>
          <t>Y</t>
        </is>
      </c>
      <c r="AF471" s="63" t="inlineStr">
        <is>
          <t>full</t>
        </is>
      </c>
      <c r="AG471" s="63" t="inlineStr">
        <is>
          <t>2026-06-20</t>
        </is>
      </c>
      <c r="AH471" s="63" t="inlineStr">
        <is>
          <t>China International Capital Corporation Hong Kong Securities Limited</t>
        </is>
      </c>
      <c r="AI471" s="63" t="inlineStr">
        <is>
          <t>China International</t>
        </is>
      </c>
      <c r="AJ471" s="73" t="n">
        <v>91.73</v>
      </c>
      <c r="AK471" s="72" t="n">
        <v>22.44</v>
      </c>
      <c r="AL471" s="72" t="n">
        <v>56.59</v>
      </c>
      <c r="AM471" s="72" t="n">
        <v>66.94</v>
      </c>
      <c r="AN471" s="72" t="n">
        <v>60.98</v>
      </c>
      <c r="AO471" s="72" t="n">
        <v>34.45</v>
      </c>
      <c r="AP471" s="72" t="n">
        <v>-12.93</v>
      </c>
      <c r="AQ471" s="72" t="n">
        <v>-16.04</v>
      </c>
      <c r="AR471" s="72" t="n">
        <v>-29.88</v>
      </c>
      <c r="AS471" s="72" t="n">
        <v>64.67</v>
      </c>
      <c r="AT471" s="72" t="n">
        <v>74.62</v>
      </c>
      <c r="AU471" s="72" t="n">
        <v>40.81</v>
      </c>
      <c r="AV471" s="72" t="n">
        <v>-3.09</v>
      </c>
      <c r="AW471" s="72" t="n">
        <v>-13.64</v>
      </c>
      <c r="AX471" s="72" t="n">
        <v>-12.95</v>
      </c>
      <c r="AY471" s="63" t="inlineStr">
        <is>
          <t>HSTECH (Hang Seng TECH ETF)</t>
        </is>
      </c>
      <c r="AZ471" s="72" t="n">
        <v>31.09</v>
      </c>
      <c r="BA471" s="64" t="inlineStr">
        <is>
          <t>2026-08-28</t>
        </is>
      </c>
      <c r="BB471" s="65" t="n">
        <v>980.4</v>
      </c>
      <c r="BC471" s="68" t="n">
        <v>-253.4</v>
      </c>
      <c r="BD471" s="63" t="inlineStr">
        <is>
          <t>N</t>
        </is>
      </c>
      <c r="BE471" s="63" t="inlineStr">
        <is>
          <t>n/m</t>
        </is>
      </c>
      <c r="BF471" s="74" t="n"/>
      <c r="BG471" s="74" t="n"/>
      <c r="BH471" s="74" t="n">
        <v>8</v>
      </c>
      <c r="BI471" s="75">
        <f>IF('BBG Verify'!S471="","not filed — run on terminal",'BBG Verify'!S471)</f>
        <v/>
      </c>
      <c r="BJ471" s="76" t="inlineStr">
        <is>
          <t>N</t>
        </is>
      </c>
      <c r="BK471" s="77">
        <f>IF('BBG Verify'!K471="","not filed — run on terminal",'BBG Verify'!K471)</f>
        <v/>
      </c>
      <c r="BL471" s="63" t="inlineStr">
        <is>
          <t>N/A</t>
        </is>
      </c>
      <c r="BM471" s="63" t="inlineStr">
        <is>
          <t>N/A</t>
        </is>
      </c>
      <c r="BN471" s="63" t="inlineStr">
        <is>
          <t>N/A</t>
        </is>
      </c>
      <c r="BO471" s="63" t="inlineStr">
        <is>
          <t>N/A</t>
        </is>
      </c>
      <c r="BP471" s="63" t="inlineStr">
        <is>
          <t>N/A</t>
        </is>
      </c>
      <c r="BQ471" s="63" t="inlineStr">
        <is>
          <t>N/A</t>
        </is>
      </c>
      <c r="BR471" s="76" t="inlineStr">
        <is>
          <t>China International Capital Corporation Hong Kong Securities Limited; CITIC Securities (Hong Kong) Limited</t>
        </is>
      </c>
      <c r="BS471" s="63" t="inlineStr">
        <is>
          <t>China International Capital Corporation Hong Kong Securities Limited; CITIC Securities (Hong Kong) Limited</t>
        </is>
      </c>
      <c r="BT471" s="63" t="inlineStr">
        <is>
          <t>CLSA Limited; GF Securities (Hong Kong) Brokerage Limited; A VICT Global Asset Management Limited; Webull Securities Limited</t>
        </is>
      </c>
      <c r="BU471" s="63" t="inlineStr">
        <is>
          <t>AVICT Global Asset Management Limited; China International Capital Corporation Hong Kong Securities Limited; CLSA Limited; GF Securities (Hong Kong) Brokerage Limited; Webull Securities Limited</t>
        </is>
      </c>
      <c r="BV471" s="78">
        <f>HYPERLINK("https://www1.hkexnews.hk/listedco/listconews/sehk/2026/0518/2026051800021.pdf","prospectus")</f>
        <v/>
      </c>
      <c r="BW471" s="78">
        <f>HYPERLINK("https://www1.hkexnews.hk/listedco/listconews/sehk/2026/0526/2026052601908.pdf","allotment")</f>
        <v/>
      </c>
      <c r="BX471" s="78">
        <f>HYPERLINK("https://www1.hkexnews.hk/listedco/listconews/sehk/2026/0621/2026062100023.pdf","stabilisation")</f>
        <v/>
      </c>
      <c r="BY471" s="76" t="n"/>
      <c r="BZ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72" t="n">
        <v>168.5</v>
      </c>
      <c r="AC472" s="66" t="n">
        <v>149</v>
      </c>
      <c r="AD472" s="72" t="n">
        <v>36.23</v>
      </c>
      <c r="AE472" s="63" t="inlineStr">
        <is>
          <t>Y</t>
        </is>
      </c>
      <c r="AF472" s="63" t="n"/>
      <c r="AG472" s="63" t="n"/>
      <c r="AH472" s="63" t="n"/>
      <c r="AI472" s="63" t="n"/>
      <c r="AJ472" s="73" t="n">
        <v>265.77</v>
      </c>
      <c r="AK472" s="72" t="n">
        <v>179.28</v>
      </c>
      <c r="AL472" s="72" t="n">
        <v>30.97</v>
      </c>
      <c r="AM472" s="72" t="n">
        <v>543.24</v>
      </c>
      <c r="AN472" s="72" t="n">
        <v>484.14</v>
      </c>
      <c r="AO472" s="72" t="n">
        <v>1085.59</v>
      </c>
      <c r="AP472" s="72" t="n">
        <v>75.86</v>
      </c>
      <c r="AQ472" s="72" t="n">
        <v>59.7</v>
      </c>
      <c r="AR472" s="72" t="n">
        <v>224.14</v>
      </c>
      <c r="AS472" s="72" t="n">
        <v>540.97</v>
      </c>
      <c r="AT472" s="72" t="n">
        <v>497.78</v>
      </c>
      <c r="AU472" s="72" t="n">
        <v>1091.95</v>
      </c>
      <c r="AV472" s="72" t="n">
        <v>72.65000000000001</v>
      </c>
      <c r="AW472" s="72" t="n">
        <v>-13.64</v>
      </c>
      <c r="AX472" s="72" t="n">
        <v>-12.95</v>
      </c>
      <c r="AY472" s="63" t="inlineStr">
        <is>
          <t>HSTECH (Hang Seng TECH ETF)</t>
        </is>
      </c>
      <c r="AZ472" s="72" t="n">
        <v>1320.72</v>
      </c>
      <c r="BA472" s="64" t="inlineStr">
        <is>
          <t>2026-08-28</t>
        </is>
      </c>
      <c r="BB472" s="65" t="n">
        <v>634.2</v>
      </c>
      <c r="BC472" s="68" t="n"/>
      <c r="BD472" s="63" t="inlineStr">
        <is>
          <t>Y</t>
        </is>
      </c>
      <c r="BE472" s="75">
        <f>IF('BBG Verify'!O472="","not filed — run on terminal",'BBG Verify'!O472)</f>
        <v/>
      </c>
      <c r="BF472" s="74" t="n"/>
      <c r="BG472" s="74" t="n">
        <v>4730.6</v>
      </c>
      <c r="BH472" s="74" t="n">
        <v>7.9</v>
      </c>
      <c r="BI472" s="75">
        <f>IF('BBG Verify'!S472="","not filed — run on terminal",'BBG Verify'!S472)</f>
        <v/>
      </c>
      <c r="BJ472" s="76" t="inlineStr">
        <is>
          <t>N</t>
        </is>
      </c>
      <c r="BK472" s="77">
        <f>IF('BBG Verify'!K472="","not filed — run on terminal",'BBG Verify'!K472)</f>
        <v/>
      </c>
      <c r="BL472" s="63" t="inlineStr">
        <is>
          <t>N/A</t>
        </is>
      </c>
      <c r="BM472" s="63" t="inlineStr">
        <is>
          <t>N/A</t>
        </is>
      </c>
      <c r="BN472" s="63" t="inlineStr">
        <is>
          <t>N/A</t>
        </is>
      </c>
      <c r="BO472" s="63" t="inlineStr">
        <is>
          <t>N/A</t>
        </is>
      </c>
      <c r="BP472" s="63" t="inlineStr">
        <is>
          <t>N/A</t>
        </is>
      </c>
      <c r="BQ472" s="63" t="inlineStr">
        <is>
          <t>N/A</t>
        </is>
      </c>
      <c r="BR472" s="76" t="inlineStr">
        <is>
          <t>ICBC International Capital Limited</t>
        </is>
      </c>
      <c r="BS472" s="63" t="inlineStr">
        <is>
          <t>ICBC International Capital Limited</t>
        </is>
      </c>
      <c r="BT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U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V472" s="78">
        <f>HYPERLINK("https://www1.hkexnews.hk/listedco/listconews/sehk/2026/0518/2026051800023.pdf","prospectus")</f>
        <v/>
      </c>
      <c r="BW472" s="78">
        <f>HYPERLINK("https://www1.hkexnews.hk/listedco/listconews/sehk/2026/0526/2026052602298.pdf","allotment")</f>
        <v/>
      </c>
      <c r="BX472" s="63" t="n"/>
      <c r="BY472" s="76" t="n"/>
      <c r="BZ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72" t="n">
        <v>93.59999999999999</v>
      </c>
      <c r="AC473" s="66" t="n">
        <v>63.5</v>
      </c>
      <c r="AD473" s="72" t="n">
        <v>-3.62</v>
      </c>
      <c r="AE473" s="63" t="inlineStr">
        <is>
          <t>Y</t>
        </is>
      </c>
      <c r="AF473" s="63" t="n"/>
      <c r="AG473" s="63" t="n"/>
      <c r="AH473" s="63" t="n"/>
      <c r="AI473" s="63" t="n"/>
      <c r="AJ473" s="73" t="n">
        <v>86.59</v>
      </c>
      <c r="AK473" s="72" t="n">
        <v>100.61</v>
      </c>
      <c r="AL473" s="72" t="n">
        <v>-6.99</v>
      </c>
      <c r="AM473" s="72" t="n">
        <v>104.57</v>
      </c>
      <c r="AN473" s="72" t="n">
        <v>96.19</v>
      </c>
      <c r="AO473" s="72" t="n">
        <v>115.55</v>
      </c>
      <c r="AP473" s="72" t="n">
        <v>9.640000000000001</v>
      </c>
      <c r="AQ473" s="72" t="n">
        <v>5.14</v>
      </c>
      <c r="AR473" s="72" t="n">
        <v>15.52</v>
      </c>
      <c r="AS473" s="72" t="n">
        <v>102.3</v>
      </c>
      <c r="AT473" s="72" t="n">
        <v>109.83</v>
      </c>
      <c r="AU473" s="72" t="n">
        <v>121.91</v>
      </c>
      <c r="AV473" s="72" t="n">
        <v>18.09</v>
      </c>
      <c r="AW473" s="72" t="n">
        <v>-13.64</v>
      </c>
      <c r="AX473" s="72" t="n">
        <v>-12.95</v>
      </c>
      <c r="AY473" s="63" t="inlineStr">
        <is>
          <t>HSTECH (Hang Seng TECH ETF)</t>
        </is>
      </c>
      <c r="AZ473" s="72" t="n">
        <v>128.05</v>
      </c>
      <c r="BA473" s="64" t="inlineStr">
        <is>
          <t>2026-08-28</t>
        </is>
      </c>
      <c r="BB473" s="65" t="n">
        <v>3704.4</v>
      </c>
      <c r="BC473" s="68" t="n">
        <v>263</v>
      </c>
      <c r="BD473" s="63" t="inlineStr">
        <is>
          <t>Y</t>
        </is>
      </c>
      <c r="BE473" s="74" t="n">
        <v>26.1</v>
      </c>
      <c r="BF473" s="74" t="n"/>
      <c r="BG473" s="74" t="n"/>
      <c r="BH473" s="74" t="n">
        <v>1.9</v>
      </c>
      <c r="BI473" s="75">
        <f>IF('BBG Verify'!S473="","not filed — run on terminal",'BBG Verify'!S473)</f>
        <v/>
      </c>
      <c r="BJ473" s="76" t="inlineStr">
        <is>
          <t>N</t>
        </is>
      </c>
      <c r="BK473" s="77">
        <f>IF('BBG Verify'!K473="","not filed — run on terminal",'BBG Verify'!K473)</f>
        <v/>
      </c>
      <c r="BL473" s="63" t="inlineStr">
        <is>
          <t>N/A</t>
        </is>
      </c>
      <c r="BM473" s="63" t="inlineStr">
        <is>
          <t>N/A</t>
        </is>
      </c>
      <c r="BN473" s="63" t="inlineStr">
        <is>
          <t>N/A</t>
        </is>
      </c>
      <c r="BO473" s="63" t="inlineStr">
        <is>
          <t>N/A</t>
        </is>
      </c>
      <c r="BP473" s="63" t="inlineStr">
        <is>
          <t>N/A</t>
        </is>
      </c>
      <c r="BQ473" s="63" t="inlineStr">
        <is>
          <t>N/A</t>
        </is>
      </c>
      <c r="BR473" s="76" t="n"/>
      <c r="BS473" s="63" t="inlineStr">
        <is>
          <t>China Securities (International) Corporate Finance Company Limited</t>
        </is>
      </c>
      <c r="BT473" s="63" t="inlineStr">
        <is>
          <t>ABCI Securities Company Limited; CCB International Capital Limited; CMB International Capital Limited; CNCB (Hong Kong) Capital Limited; China Securities (International) Corporate Finance Company Limited; Forthright Securities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V473" s="63" t="n"/>
      <c r="BW473" s="78">
        <f>HYPERLINK("https://www1.hkexnews.hk/listedco/listconews/sehk/2026/0526/2026052602392.pdf","allotment")</f>
        <v/>
      </c>
      <c r="BX473" s="63" t="n"/>
      <c r="BY473" s="76" t="n"/>
      <c r="BZ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72" t="n">
        <v>70.59999999999999</v>
      </c>
      <c r="AC474" s="66" t="n">
        <v>32.08</v>
      </c>
      <c r="AD474" s="72" t="n">
        <v>-28.91</v>
      </c>
      <c r="AE474" s="63" t="inlineStr">
        <is>
          <t>Y</t>
        </is>
      </c>
      <c r="AF474" s="63" t="inlineStr">
        <is>
          <t>full</t>
        </is>
      </c>
      <c r="AG474" s="63" t="inlineStr">
        <is>
          <t>2026-06-25</t>
        </is>
      </c>
      <c r="AH474" s="63" t="inlineStr">
        <is>
          <t>China International Capital Corporation Hong Kong Securities Limited</t>
        </is>
      </c>
      <c r="AI474" s="63" t="inlineStr">
        <is>
          <t>China International</t>
        </is>
      </c>
      <c r="AJ474" s="73" t="n">
        <v>21.28</v>
      </c>
      <c r="AK474" s="72" t="n">
        <v>80.20999999999999</v>
      </c>
      <c r="AL474" s="72" t="n">
        <v>-32.7</v>
      </c>
      <c r="AM474" s="72" t="n">
        <v>11.17</v>
      </c>
      <c r="AN474" s="72" t="n">
        <v>38.72</v>
      </c>
      <c r="AO474" s="72" t="n">
        <v>25.43</v>
      </c>
      <c r="AP474" s="72" t="n">
        <v>-8.34</v>
      </c>
      <c r="AQ474" s="72" t="n">
        <v>14.38</v>
      </c>
      <c r="AR474" s="72" t="n">
        <v>3.42</v>
      </c>
      <c r="AS474" s="72" t="n">
        <v>11.09</v>
      </c>
      <c r="AT474" s="72" t="n">
        <v>46.92</v>
      </c>
      <c r="AU474" s="72" t="n"/>
      <c r="AV474" s="72" t="n">
        <v>22.62</v>
      </c>
      <c r="AW474" s="72" t="n">
        <v>-8.199999999999999</v>
      </c>
      <c r="AX474" s="72" t="n">
        <v>-8.24</v>
      </c>
      <c r="AY474" s="63" t="inlineStr">
        <is>
          <t>HSTECH (Hang Seng TECH ETF)</t>
        </is>
      </c>
      <c r="AZ474" s="72" t="n">
        <v>25.43</v>
      </c>
      <c r="BA474" s="64" t="inlineStr">
        <is>
          <t>2026-08-28</t>
        </is>
      </c>
      <c r="BB474" s="65" t="n">
        <v>3439.7</v>
      </c>
      <c r="BC474" s="68" t="n">
        <v>-226.9</v>
      </c>
      <c r="BD474" s="63" t="inlineStr">
        <is>
          <t>N</t>
        </is>
      </c>
      <c r="BE474" s="63" t="inlineStr">
        <is>
          <t>n/m</t>
        </is>
      </c>
      <c r="BF474" s="74" t="n"/>
      <c r="BG474" s="74" t="n"/>
      <c r="BH474" s="74" t="n">
        <v>2.6</v>
      </c>
      <c r="BI474" s="75">
        <f>IF('BBG Verify'!S474="","not filed — run on terminal",'BBG Verify'!S474)</f>
        <v/>
      </c>
      <c r="BJ474" s="76" t="inlineStr">
        <is>
          <t>N</t>
        </is>
      </c>
      <c r="BK474" s="77">
        <f>IF('BBG Verify'!K474="","not filed — run on terminal",'BBG Verify'!K474)</f>
        <v/>
      </c>
      <c r="BL474" s="63" t="inlineStr">
        <is>
          <t>N/A</t>
        </is>
      </c>
      <c r="BM474" s="63" t="inlineStr">
        <is>
          <t>N/A</t>
        </is>
      </c>
      <c r="BN474" s="63" t="inlineStr">
        <is>
          <t>N/A</t>
        </is>
      </c>
      <c r="BO474" s="63" t="inlineStr">
        <is>
          <t>N/A</t>
        </is>
      </c>
      <c r="BP474" s="63" t="inlineStr">
        <is>
          <t>N/A</t>
        </is>
      </c>
      <c r="BQ474" s="63" t="inlineStr">
        <is>
          <t>N/A</t>
        </is>
      </c>
      <c r="BR474" s="76" t="n"/>
      <c r="BS474" s="63" t="inlineStr">
        <is>
          <t>China International Capital Corporation Hong Kong Securities Limited</t>
        </is>
      </c>
      <c r="BT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U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V474" s="78">
        <f>HYPERLINK("https://www1.hkexnews.hk/listedco/listconews/sehk/2026/0520/2026052000023.pdf","prospectus")</f>
        <v/>
      </c>
      <c r="BW474" s="78">
        <f>HYPERLINK("https://www1.hkexnews.hk/listedco/listconews/sehk/2026/0528/2026052802543.pdf","allotment")</f>
        <v/>
      </c>
      <c r="BX474" s="78">
        <f>HYPERLINK("https://www1.hkexnews.hk/listedco/listconews/sehk/2026/0625/2026062502150.pdf","stabilisation")</f>
        <v/>
      </c>
      <c r="BY474" s="76" t="n"/>
      <c r="BZ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72" t="n">
        <v>146.6</v>
      </c>
      <c r="AC475" s="66" t="n">
        <v>36</v>
      </c>
      <c r="AD475" s="72" t="n">
        <v>-41.5</v>
      </c>
      <c r="AE475" s="63" t="inlineStr">
        <is>
          <t>Y</t>
        </is>
      </c>
      <c r="AF475" s="63" t="inlineStr">
        <is>
          <t>lapsed (no over-allocation)</t>
        </is>
      </c>
      <c r="AG475" s="63" t="inlineStr">
        <is>
          <t>2026-06-28</t>
        </is>
      </c>
      <c r="AH475" s="63" t="inlineStr">
        <is>
          <t>Yue Xiu Securities Company Limited</t>
        </is>
      </c>
      <c r="AI475" s="63" t="inlineStr">
        <is>
          <t>Yue Xiu</t>
        </is>
      </c>
      <c r="AJ475" s="73" t="n">
        <v>44.25</v>
      </c>
      <c r="AK475" s="72" t="n">
        <v>91.78</v>
      </c>
      <c r="AL475" s="72" t="n">
        <v>-24.78</v>
      </c>
      <c r="AM475" s="72" t="n">
        <v>115.75</v>
      </c>
      <c r="AN475" s="72" t="n">
        <v>193.84</v>
      </c>
      <c r="AO475" s="72" t="n">
        <v>67.81</v>
      </c>
      <c r="AP475" s="72" t="n">
        <v>49.57</v>
      </c>
      <c r="AQ475" s="72" t="n">
        <v>103.7</v>
      </c>
      <c r="AR475" s="72" t="n">
        <v>16.33</v>
      </c>
      <c r="AS475" s="72" t="n">
        <v>123.08</v>
      </c>
      <c r="AT475" s="72" t="n">
        <v>205.32</v>
      </c>
      <c r="AU475" s="72" t="n"/>
      <c r="AV475" s="72" t="n">
        <v>113.29</v>
      </c>
      <c r="AW475" s="72" t="n">
        <v>-11.48</v>
      </c>
      <c r="AX475" s="72" t="n">
        <v>-9.59</v>
      </c>
      <c r="AY475" s="63" t="inlineStr">
        <is>
          <t>Hang Seng Commerce &amp; Industry sub-index</t>
        </is>
      </c>
      <c r="AZ475" s="72" t="n">
        <v>64.38</v>
      </c>
      <c r="BA475" s="64" t="inlineStr">
        <is>
          <t>2026-08-31</t>
        </is>
      </c>
      <c r="BB475" s="65" t="n">
        <v>573.9</v>
      </c>
      <c r="BC475" s="68" t="n">
        <v>-357.4</v>
      </c>
      <c r="BD475" s="63" t="inlineStr">
        <is>
          <t>N</t>
        </is>
      </c>
      <c r="BE475" s="63" t="inlineStr">
        <is>
          <t>n/m</t>
        </is>
      </c>
      <c r="BF475" s="74" t="n"/>
      <c r="BG475" s="74" t="n"/>
      <c r="BH475" s="74" t="n">
        <v>10.2</v>
      </c>
      <c r="BI475" s="75">
        <f>IF('BBG Verify'!S475="","not filed — run on terminal",'BBG Verify'!S475)</f>
        <v/>
      </c>
      <c r="BJ475" s="76" t="inlineStr">
        <is>
          <t>N</t>
        </is>
      </c>
      <c r="BK475" s="77">
        <f>IF('BBG Verify'!K475="","not filed — run on terminal",'BBG Verify'!K475)</f>
        <v/>
      </c>
      <c r="BL475" s="63" t="inlineStr">
        <is>
          <t>N/A</t>
        </is>
      </c>
      <c r="BM475" s="63" t="inlineStr">
        <is>
          <t>N/A</t>
        </is>
      </c>
      <c r="BN475" s="63" t="inlineStr">
        <is>
          <t>N/A</t>
        </is>
      </c>
      <c r="BO475" s="63" t="inlineStr">
        <is>
          <t>N/A</t>
        </is>
      </c>
      <c r="BP475" s="63" t="inlineStr">
        <is>
          <t>N/A</t>
        </is>
      </c>
      <c r="BQ475" s="63" t="inlineStr">
        <is>
          <t>N/A</t>
        </is>
      </c>
      <c r="BR475" s="76" t="inlineStr">
        <is>
          <t>Yue Xiu Capital Limited</t>
        </is>
      </c>
      <c r="BS475" s="63" t="inlineStr">
        <is>
          <t>Yue Xiu Capital Limited</t>
        </is>
      </c>
      <c r="BT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U475" s="63" t="inlineStr">
        <is>
          <t>CCB International Capital Limited; CMBC Securities Company Limited; Futu Securities International (Hong Kong) Limited; GEO Securities Limited; Livermore Holdings Limited; Maxa Asset Management Limited; Mango Financial Limited; Skyvast Securities Limited</t>
        </is>
      </c>
      <c r="BV475" s="78">
        <f>HYPERLINK("https://www1.hkexnews.hk/listedco/listconews/sehk/2026/0526/2026052600047.pdf","prospectus")</f>
        <v/>
      </c>
      <c r="BW475" s="78">
        <f>HYPERLINK("https://www1.hkexnews.hk/listedco/listconews/sehk/2026/0602/2026060202644.pdf","allotment")</f>
        <v/>
      </c>
      <c r="BX475" s="78">
        <f>HYPERLINK("https://www1.hkexnews.hk/listedco/listconews/sehk/2026/0630/2026063000051.pdf","stabilisation")</f>
        <v/>
      </c>
      <c r="BY475" s="76" t="n"/>
      <c r="BZ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72" t="n">
        <v>-1.5</v>
      </c>
      <c r="AC476" s="66" t="n">
        <v>5.1</v>
      </c>
      <c r="AD476" s="72" t="n">
        <v>-44.92</v>
      </c>
      <c r="AE476" s="63" t="inlineStr">
        <is>
          <t>Y</t>
        </is>
      </c>
      <c r="AF476" s="63" t="n"/>
      <c r="AG476" s="63" t="n"/>
      <c r="AH476" s="63" t="n"/>
      <c r="AI476" s="63" t="n"/>
      <c r="AJ476" s="73" t="n">
        <v>-45.75</v>
      </c>
      <c r="AK476" s="72" t="n">
        <v>-16.6</v>
      </c>
      <c r="AL476" s="72" t="n">
        <v>-34.95</v>
      </c>
      <c r="AM476" s="72" t="n">
        <v>-47.49</v>
      </c>
      <c r="AN476" s="72" t="n">
        <v>-28.57</v>
      </c>
      <c r="AO476" s="72" t="n"/>
      <c r="AP476" s="72" t="n">
        <v>-3.21</v>
      </c>
      <c r="AQ476" s="72" t="n">
        <v>31.67</v>
      </c>
      <c r="AR476" s="72" t="n"/>
      <c r="AS476" s="72" t="n">
        <v>-43.71</v>
      </c>
      <c r="AT476" s="72" t="n">
        <v>-23.07</v>
      </c>
      <c r="AU476" s="72" t="n"/>
      <c r="AV476" s="72" t="n">
        <v>35.88</v>
      </c>
      <c r="AW476" s="72" t="n">
        <v>-5.5</v>
      </c>
      <c r="AX476" s="72" t="n">
        <v>-4.21</v>
      </c>
      <c r="AY476" s="63" t="inlineStr">
        <is>
          <t>Hang Seng Commerce &amp; Industry sub-index</t>
        </is>
      </c>
      <c r="AZ476" s="72" t="n">
        <v>-27.61</v>
      </c>
      <c r="BA476" s="64" t="inlineStr">
        <is>
          <t>2026-08-31</t>
        </is>
      </c>
      <c r="BB476" s="65" t="n">
        <v>2460.5</v>
      </c>
      <c r="BC476" s="68" t="n">
        <v>-27.1</v>
      </c>
      <c r="BD476" s="63" t="inlineStr">
        <is>
          <t>N</t>
        </is>
      </c>
      <c r="BE476" s="63" t="inlineStr">
        <is>
          <t>n/m</t>
        </is>
      </c>
      <c r="BF476" s="74" t="n"/>
      <c r="BG476" s="74" t="n"/>
      <c r="BH476" s="74" t="n">
        <v>1.1</v>
      </c>
      <c r="BI476" s="75">
        <f>IF('BBG Verify'!S476="","not filed — run on terminal",'BBG Verify'!S476)</f>
        <v/>
      </c>
      <c r="BJ476" s="76" t="inlineStr">
        <is>
          <t>N</t>
        </is>
      </c>
      <c r="BK476" s="77">
        <f>IF('BBG Verify'!K476="","not filed — run on terminal",'BBG Verify'!K476)</f>
        <v/>
      </c>
      <c r="BL476" s="63" t="inlineStr">
        <is>
          <t>N/A</t>
        </is>
      </c>
      <c r="BM476" s="63" t="inlineStr">
        <is>
          <t>N/A</t>
        </is>
      </c>
      <c r="BN476" s="63" t="inlineStr">
        <is>
          <t>N/A</t>
        </is>
      </c>
      <c r="BO476" s="63" t="inlineStr">
        <is>
          <t>N/A</t>
        </is>
      </c>
      <c r="BP476" s="63" t="inlineStr">
        <is>
          <t>N/A</t>
        </is>
      </c>
      <c r="BQ476" s="63" t="inlineStr">
        <is>
          <t>N/A</t>
        </is>
      </c>
      <c r="BR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S476" s="63" t="inlineStr">
        <is>
          <t>DBS Asia Capital Limited</t>
        </is>
      </c>
      <c r="BT476" s="63" t="inlineStr">
        <is>
          <t>CMB International Capital Limited; DBS Asia Capital Limited; Phillip Securities (Hong Kong) Limited; SPDB International Capital Limited</t>
        </is>
      </c>
      <c r="BU476" s="63" t="inlineStr">
        <is>
          <t>CMB International Capital Limited; DBS Asia Capital Limited; Phillip Securities (Hong Kong) Limited; SPDB International Capital Limited</t>
        </is>
      </c>
      <c r="BV476" s="78">
        <f>HYPERLINK("https://www1.hkexnews.hk/listedco/listconews/sehk/2026/0528/2026052800031.pdf","prospectus")</f>
        <v/>
      </c>
      <c r="BW476" s="78">
        <f>HYPERLINK("https://www1.hkexnews.hk/listedco/listconews/sehk/2026/0604/2026060402521.pdf","allotment")</f>
        <v/>
      </c>
      <c r="BX476" s="78">
        <f>HYPERLINK("https://www1.hkexnews.hk/listedco/listconews/sehk/2026/0702/2026070203049.pdf","stabilisation")</f>
        <v/>
      </c>
      <c r="BY476" s="76" t="n"/>
      <c r="BZ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72" t="n">
        <v>-5</v>
      </c>
      <c r="AC477" s="66" t="n">
        <v>63.1</v>
      </c>
      <c r="AD477" s="72" t="n">
        <v>5.26</v>
      </c>
      <c r="AE477" s="63" t="inlineStr">
        <is>
          <t>Y</t>
        </is>
      </c>
      <c r="AF477" s="63" t="inlineStr">
        <is>
          <t>partial</t>
        </is>
      </c>
      <c r="AG477" s="63" t="inlineStr">
        <is>
          <t>2026-07-02</t>
        </is>
      </c>
      <c r="AH477" s="63" t="inlineStr">
        <is>
          <t>Huatai Financial Holdings</t>
        </is>
      </c>
      <c r="AI477" s="63" t="inlineStr">
        <is>
          <t>Huatai</t>
        </is>
      </c>
      <c r="AJ477" s="73" t="n">
        <v>0</v>
      </c>
      <c r="AK477" s="72" t="n">
        <v>0</v>
      </c>
      <c r="AL477" s="72" t="n">
        <v>0</v>
      </c>
      <c r="AM477" s="72" t="n">
        <v>-3.69</v>
      </c>
      <c r="AN477" s="72" t="n">
        <v>-30.72</v>
      </c>
      <c r="AO477" s="72" t="n"/>
      <c r="AP477" s="72" t="n">
        <v>-3.69</v>
      </c>
      <c r="AQ477" s="72" t="n">
        <v>-30.72</v>
      </c>
      <c r="AR477" s="72" t="n"/>
      <c r="AS477" s="72" t="n">
        <v>0.09</v>
      </c>
      <c r="AT477" s="72" t="n">
        <v>-25.22</v>
      </c>
      <c r="AU477" s="72" t="n"/>
      <c r="AV477" s="72" t="n">
        <v>-26.51</v>
      </c>
      <c r="AW477" s="72" t="n">
        <v>-5.5</v>
      </c>
      <c r="AX477" s="72" t="n">
        <v>-4.21</v>
      </c>
      <c r="AY477" s="63" t="inlineStr">
        <is>
          <t>Hang Seng Commerce &amp; Industry sub-index</t>
        </is>
      </c>
      <c r="AZ477" s="72" t="n">
        <v>-55.15</v>
      </c>
      <c r="BA477" s="64" t="inlineStr">
        <is>
          <t>2026-08-31</t>
        </is>
      </c>
      <c r="BB477" s="65" t="n">
        <v>6790.9</v>
      </c>
      <c r="BC477" s="68" t="n">
        <v>1213.6</v>
      </c>
      <c r="BD477" s="63" t="inlineStr">
        <is>
          <t>Y</t>
        </is>
      </c>
      <c r="BE477" s="74" t="n">
        <v>53.3</v>
      </c>
      <c r="BF477" s="74" t="n">
        <v>33.2</v>
      </c>
      <c r="BG477" s="74" t="n">
        <v>17.8</v>
      </c>
      <c r="BH477" s="74" t="n">
        <v>9.5</v>
      </c>
      <c r="BI477" s="75">
        <f>IF('BBG Verify'!S477="","not filed — run on terminal",'BBG Verify'!S477)</f>
        <v/>
      </c>
      <c r="BJ477" s="76" t="inlineStr">
        <is>
          <t>Y</t>
        </is>
      </c>
      <c r="BK477" s="63" t="inlineStr">
        <is>
          <t>002487.SZ</t>
        </is>
      </c>
      <c r="BL477" s="72" t="n">
        <v>17.8</v>
      </c>
      <c r="BM477" s="66" t="n">
        <v>78.2184</v>
      </c>
      <c r="BN477" s="80" t="n">
        <v>0.3797</v>
      </c>
      <c r="BO477" s="68" t="n">
        <v>30444.4</v>
      </c>
      <c r="BP477" s="75">
        <f>IF('BBG Verify'!Q477="","run on terminal",'BBG Verify'!Q477)</f>
        <v/>
      </c>
      <c r="BQ477" s="75">
        <f>IF('BBG Verify'!R477="","run on terminal",'BBG Verify'!R477)</f>
        <v/>
      </c>
      <c r="BR477" s="76" t="inlineStr">
        <is>
          <t>Huatai Financial Holdings (Hong Kong) Limited; China Merchants Securities (HK) Co., Limited</t>
        </is>
      </c>
      <c r="BS477" s="63" t="inlineStr">
        <is>
          <t>Huatai Financial Holdings (Hong Kong) Limited; China Merchants Securities (HK) Company Limited</t>
        </is>
      </c>
      <c r="BT477" s="63" t="inlineStr">
        <is>
          <t>CCB International Capital Limited; China International Capital Corporation Hong Kong Securities Limited; China Merchants Securities (HK) Company Limited; Huatai Financial Holdings (Hong Kong) Limited; Ping An Securities (Hong Kong)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78">
        <f>HYPERLINK("https://www1.hkexnews.hk/listedco/listconews/sehk/2026/0528/2026052800019.pdf","prospectus")</f>
        <v/>
      </c>
      <c r="BW477" s="78">
        <f>HYPERLINK("https://www1.hkexnews.hk/listedco/listconews/sehk/2026/0604/2026060402919.pdf","allotment")</f>
        <v/>
      </c>
      <c r="BX477" s="78">
        <f>HYPERLINK("https://www1.hkexnews.hk/listedco/listconews/sehk/2026/0702/2026070203999.pdf","stabilisation")</f>
        <v/>
      </c>
      <c r="BY477" s="76" t="n"/>
      <c r="BZ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72" t="n">
        <v>57.1</v>
      </c>
      <c r="AC478" s="66" t="n">
        <v>150.9</v>
      </c>
      <c r="AD478" s="72" t="n">
        <v>-12.66</v>
      </c>
      <c r="AE478" s="63" t="inlineStr">
        <is>
          <t>Y</t>
        </is>
      </c>
      <c r="AF478" s="63" t="inlineStr">
        <is>
          <t>full</t>
        </is>
      </c>
      <c r="AG478" s="63" t="inlineStr">
        <is>
          <t>2026-07-02</t>
        </is>
      </c>
      <c r="AH478" s="63" t="inlineStr">
        <is>
          <t>Sinolink Securities</t>
        </is>
      </c>
      <c r="AI478" s="63" t="inlineStr">
        <is>
          <t>Sinolink</t>
        </is>
      </c>
      <c r="AJ478" s="73" t="n">
        <v>37.21</v>
      </c>
      <c r="AK478" s="72" t="n">
        <v>50.22</v>
      </c>
      <c r="AL478" s="72" t="n">
        <v>-8.66</v>
      </c>
      <c r="AM478" s="72" t="n">
        <v>49.8</v>
      </c>
      <c r="AN478" s="72" t="n">
        <v>-1.05</v>
      </c>
      <c r="AO478" s="72" t="n"/>
      <c r="AP478" s="72" t="n">
        <v>9.18</v>
      </c>
      <c r="AQ478" s="72" t="n">
        <v>-27.88</v>
      </c>
      <c r="AR478" s="72" t="n"/>
      <c r="AS478" s="72" t="n">
        <v>50.3</v>
      </c>
      <c r="AT478" s="72" t="n">
        <v>-9.859999999999999</v>
      </c>
      <c r="AU478" s="72" t="n"/>
      <c r="AV478" s="72" t="n">
        <v>-37.41</v>
      </c>
      <c r="AW478" s="72" t="n">
        <v>8.81</v>
      </c>
      <c r="AX478" s="72" t="n">
        <v>9.529999999999999</v>
      </c>
      <c r="AY478" s="63" t="inlineStr">
        <is>
          <t>China Biotech ETF (HS biotech proxy)</t>
        </is>
      </c>
      <c r="AZ478" s="72" t="n">
        <v>26.59</v>
      </c>
      <c r="BA478" s="64" t="inlineStr">
        <is>
          <t>2026-08-31</t>
        </is>
      </c>
      <c r="BB478" s="65" t="n">
        <v>2.2</v>
      </c>
      <c r="BC478" s="68" t="n">
        <v>-151.1</v>
      </c>
      <c r="BD478" s="63" t="inlineStr">
        <is>
          <t>N</t>
        </is>
      </c>
      <c r="BE478" s="63" t="inlineStr">
        <is>
          <t>n/m</t>
        </is>
      </c>
      <c r="BF478" s="74" t="n"/>
      <c r="BG478" s="74" t="n"/>
      <c r="BH478" s="74" t="n">
        <v>3239.5</v>
      </c>
      <c r="BI478" s="75">
        <f>IF('BBG Verify'!S478="","not filed — run on terminal",'BBG Verify'!S478)</f>
        <v/>
      </c>
      <c r="BJ478" s="76" t="inlineStr">
        <is>
          <t>N</t>
        </is>
      </c>
      <c r="BK478" s="77">
        <f>IF('BBG Verify'!K478="","not filed — run on terminal",'BBG Verify'!K478)</f>
        <v/>
      </c>
      <c r="BL478" s="63" t="inlineStr">
        <is>
          <t>N/A</t>
        </is>
      </c>
      <c r="BM478" s="63" t="inlineStr">
        <is>
          <t>N/A</t>
        </is>
      </c>
      <c r="BN478" s="63" t="inlineStr">
        <is>
          <t>N/A</t>
        </is>
      </c>
      <c r="BO478" s="63" t="inlineStr">
        <is>
          <t>N/A</t>
        </is>
      </c>
      <c r="BP478" s="63" t="inlineStr">
        <is>
          <t>N/A</t>
        </is>
      </c>
      <c r="BQ478" s="63" t="inlineStr">
        <is>
          <t>N/A</t>
        </is>
      </c>
      <c r="BR478" s="76" t="inlineStr">
        <is>
          <t>Sinolink Securities (Hong Kong) Company Limited</t>
        </is>
      </c>
      <c r="BS478" s="63" t="inlineStr">
        <is>
          <t>Sinolink Securities (Hong Kong) Company Limited</t>
        </is>
      </c>
      <c r="BT478" s="63" t="inlineStr">
        <is>
          <t>GF Securities (Hong Kong) Brokerage Limited; ABCI Capital Limited; ABCI Securities Company Limited</t>
        </is>
      </c>
      <c r="BU478" s="63" t="inlineStr">
        <is>
          <t>ABCI Securities Company Limited; CCB International Capital Limited; GF Securities (Hong Kong) Brokerage Limited; Sinolink Securities (Hong Kong) Company Limited; Shanxi Securities International Limited; TradeGo Markets Limited</t>
        </is>
      </c>
      <c r="BV478" s="78">
        <f>HYPERLINK("https://www1.hkexnews.hk/listedco/listconews/sehk/2026/0528/2026052800023.pdf","prospectus")</f>
        <v/>
      </c>
      <c r="BW478" s="78">
        <f>HYPERLINK("https://www1.hkexnews.hk/listedco/listconews/sehk/2026/0604/2026060402923.pdf","allotment")</f>
        <v/>
      </c>
      <c r="BX478" s="78">
        <f>HYPERLINK("https://www1.hkexnews.hk/listedco/listconews/sehk/2026/0702/2026070203309.pdf","stabilisation")</f>
        <v/>
      </c>
      <c r="BY478" s="76" t="n"/>
      <c r="BZ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72" t="n">
        <v>127.7</v>
      </c>
      <c r="AC479" s="66" t="n">
        <v>99.25</v>
      </c>
      <c r="AD479" s="72" t="n">
        <v>28.99</v>
      </c>
      <c r="AE479" s="63" t="inlineStr">
        <is>
          <t>Y</t>
        </is>
      </c>
      <c r="AF479" s="63" t="n"/>
      <c r="AG479" s="63" t="n"/>
      <c r="AH479" s="63" t="n"/>
      <c r="AI479" s="63" t="n"/>
      <c r="AJ479" s="73" t="n">
        <v>193.71</v>
      </c>
      <c r="AK479" s="72" t="n">
        <v>117.99</v>
      </c>
      <c r="AL479" s="72" t="n">
        <v>34.74</v>
      </c>
      <c r="AM479" s="72" t="n">
        <v>225.61</v>
      </c>
      <c r="AN479" s="72" t="n">
        <v>277.93</v>
      </c>
      <c r="AO479" s="72" t="n"/>
      <c r="AP479" s="72" t="n">
        <v>10.86</v>
      </c>
      <c r="AQ479" s="72" t="n">
        <v>28.67</v>
      </c>
      <c r="AR479" s="72" t="n"/>
      <c r="AS479" s="72" t="n">
        <v>233.32</v>
      </c>
      <c r="AT479" s="72" t="n">
        <v>275.73</v>
      </c>
      <c r="AU479" s="72" t="n"/>
      <c r="AV479" s="72" t="n">
        <v>26.76</v>
      </c>
      <c r="AW479" s="72" t="n">
        <v>2.2</v>
      </c>
      <c r="AX479" s="72" t="n">
        <v>1.91</v>
      </c>
      <c r="AY479" s="63" t="inlineStr">
        <is>
          <t>Hang Seng Commerce &amp; Industry sub-index</t>
        </is>
      </c>
      <c r="AZ479" s="72" t="n">
        <v>216.2</v>
      </c>
      <c r="BA479" s="64" t="inlineStr">
        <is>
          <t>2026-08-31</t>
        </is>
      </c>
      <c r="BB479" s="65" t="n">
        <v>1881.8</v>
      </c>
      <c r="BC479" s="68" t="n">
        <v>200.3</v>
      </c>
      <c r="BD479" s="63" t="inlineStr">
        <is>
          <t>Y</t>
        </is>
      </c>
      <c r="BE479" s="74" t="n">
        <v>17.1</v>
      </c>
      <c r="BF479" s="74" t="n"/>
      <c r="BG479" s="74" t="n"/>
      <c r="BH479" s="74" t="n">
        <v>1.8</v>
      </c>
      <c r="BI479" s="75">
        <f>IF('BBG Verify'!S479="","not filed — run on terminal",'BBG Verify'!S479)</f>
        <v/>
      </c>
      <c r="BJ479" s="76" t="inlineStr">
        <is>
          <t>N</t>
        </is>
      </c>
      <c r="BK479" s="77">
        <f>IF('BBG Verify'!K479="","not filed — run on terminal",'BBG Verify'!K479)</f>
        <v/>
      </c>
      <c r="BL479" s="63" t="inlineStr">
        <is>
          <t>N/A</t>
        </is>
      </c>
      <c r="BM479" s="63" t="inlineStr">
        <is>
          <t>N/A</t>
        </is>
      </c>
      <c r="BN479" s="63" t="inlineStr">
        <is>
          <t>N/A</t>
        </is>
      </c>
      <c r="BO479" s="63" t="inlineStr">
        <is>
          <t>N/A</t>
        </is>
      </c>
      <c r="BP479" s="63" t="inlineStr">
        <is>
          <t>N/A</t>
        </is>
      </c>
      <c r="BQ479" s="63" t="inlineStr">
        <is>
          <t>N/A</t>
        </is>
      </c>
      <c r="BR479" s="76" t="inlineStr">
        <is>
          <t>CITIC Securities (Hong Kong) Limited; Guoyuan Capital (Hong Kong) Limited</t>
        </is>
      </c>
      <c r="BS479" s="63" t="inlineStr">
        <is>
          <t>CITIC Securities (Hong Kong) Limited; Guoyuan Capital (Hong Kong) Limited</t>
        </is>
      </c>
      <c r="BT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U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V479" s="78">
        <f>HYPERLINK("https://www1.hkexnews.hk/listedco/listconews/sehk/2026/0605/2026060500023.pdf","prospectus")</f>
        <v/>
      </c>
      <c r="BW479" s="78">
        <f>HYPERLINK("https://www1.hkexnews.hk/listedco/listconews/sehk/2026/0612/2026061202100.pdf","allotment")</f>
        <v/>
      </c>
      <c r="BX479" s="63" t="n"/>
      <c r="BY479" s="76" t="n"/>
      <c r="BZ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72" t="n">
        <v>71</v>
      </c>
      <c r="AC480" s="66" t="n">
        <v>31.4</v>
      </c>
      <c r="AD480" s="72" t="n">
        <v>32.82</v>
      </c>
      <c r="AE480" s="63" t="inlineStr">
        <is>
          <t>Y</t>
        </is>
      </c>
      <c r="AF480" s="63" t="inlineStr">
        <is>
          <t>partial</t>
        </is>
      </c>
      <c r="AG480" s="63" t="n"/>
      <c r="AH480" s="63" t="inlineStr">
        <is>
          <t>China International Capital Corporation Hong Kong Securities Limited</t>
        </is>
      </c>
      <c r="AI480" s="63" t="inlineStr">
        <is>
          <t>China International</t>
        </is>
      </c>
      <c r="AJ480" s="73" t="n">
        <v>127.12</v>
      </c>
      <c r="AK480" s="72" t="n">
        <v>72.11</v>
      </c>
      <c r="AL480" s="72" t="n">
        <v>31.96</v>
      </c>
      <c r="AM480" s="72" t="n">
        <v>105.88</v>
      </c>
      <c r="AN480" s="72" t="n">
        <v>10.02</v>
      </c>
      <c r="AO480" s="72" t="n"/>
      <c r="AP480" s="72" t="n">
        <v>-9.35</v>
      </c>
      <c r="AQ480" s="72" t="n">
        <v>-51.56</v>
      </c>
      <c r="AR480" s="72" t="n"/>
      <c r="AS480" s="72" t="n">
        <v>110.97</v>
      </c>
      <c r="AT480" s="72" t="n">
        <v>8.09</v>
      </c>
      <c r="AU480" s="72" t="n"/>
      <c r="AV480" s="72" t="n">
        <v>-53.4</v>
      </c>
      <c r="AW480" s="72" t="n">
        <v>1.93</v>
      </c>
      <c r="AX480" s="72" t="n">
        <v>1.84</v>
      </c>
      <c r="AY480" s="63" t="inlineStr">
        <is>
          <t>HSTECH (Hang Seng TECH ETF)</t>
        </is>
      </c>
      <c r="AZ480" s="72" t="n">
        <v>81.15000000000001</v>
      </c>
      <c r="BA480" s="64" t="inlineStr">
        <is>
          <t>2026-08-31</t>
        </is>
      </c>
      <c r="BB480" s="65" t="n">
        <v>525.6</v>
      </c>
      <c r="BC480" s="68" t="n">
        <v>-386.5</v>
      </c>
      <c r="BD480" s="63" t="inlineStr">
        <is>
          <t>N</t>
        </is>
      </c>
      <c r="BE480" s="63" t="inlineStr">
        <is>
          <t>n/m</t>
        </is>
      </c>
      <c r="BF480" s="74" t="n"/>
      <c r="BG480" s="74" t="n"/>
      <c r="BH480" s="74" t="n">
        <v>11.8</v>
      </c>
      <c r="BI480" s="75">
        <f>IF('BBG Verify'!S480="","not filed — run on terminal",'BBG Verify'!S480)</f>
        <v/>
      </c>
      <c r="BJ480" s="76" t="inlineStr">
        <is>
          <t>N</t>
        </is>
      </c>
      <c r="BK480" s="77">
        <f>IF('BBG Verify'!K480="","not filed — run on terminal",'BBG Verify'!K480)</f>
        <v/>
      </c>
      <c r="BL480" s="63" t="inlineStr">
        <is>
          <t>N/A</t>
        </is>
      </c>
      <c r="BM480" s="63" t="inlineStr">
        <is>
          <t>N/A</t>
        </is>
      </c>
      <c r="BN480" s="63" t="inlineStr">
        <is>
          <t>N/A</t>
        </is>
      </c>
      <c r="BO480" s="63" t="inlineStr">
        <is>
          <t>N/A</t>
        </is>
      </c>
      <c r="BP480" s="63" t="inlineStr">
        <is>
          <t>N/A</t>
        </is>
      </c>
      <c r="BQ480" s="63" t="inlineStr">
        <is>
          <t>N/A</t>
        </is>
      </c>
      <c r="BR480" s="76" t="inlineStr">
        <is>
          <t>China International Capital Corporation Hong Kong Securities Limited; Guotai Junan Capital Limited; OCs China International Capital Corporation Hong Kong Securities Limited; Guotai Junan Securities (Hong Kong) Limited</t>
        </is>
      </c>
      <c r="BS480" s="63" t="inlineStr">
        <is>
          <t>China International Capital Corporation Hong Kong Securities Limited; Guotai Junan Capital Limited</t>
        </is>
      </c>
      <c r="BT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U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V480" s="78">
        <f>HYPERLINK("https://www1.hkexnews.hk/listedco/listconews/sehk/2026/0609/2026060900029.pdf","prospectus")</f>
        <v/>
      </c>
      <c r="BW480" s="78">
        <f>HYPERLINK("https://www1.hkexnews.hk/listedco/listconews/sehk/2026/0616/2026061601760.pdf","allotment")</f>
        <v/>
      </c>
      <c r="BX480" s="78">
        <f>HYPERLINK("https://www1.hkexnews.hk/listedco/listconews/sehk/2026/0712/2026071200003.pdf","stabilisation")</f>
        <v/>
      </c>
      <c r="BY480" s="76" t="n"/>
      <c r="BZ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72" t="n">
        <v>263.9</v>
      </c>
      <c r="AC481" s="66" t="n">
        <v>26.2</v>
      </c>
      <c r="AD481" s="72" t="n">
        <v>1.9</v>
      </c>
      <c r="AE481" s="63" t="inlineStr">
        <is>
          <t>Y</t>
        </is>
      </c>
      <c r="AF481" s="63" t="n"/>
      <c r="AG481" s="63" t="n"/>
      <c r="AH481" s="63" t="n"/>
      <c r="AI481" s="63" t="n"/>
      <c r="AJ481" s="73" t="n">
        <v>270.83</v>
      </c>
      <c r="AK481" s="72" t="n">
        <v>302.78</v>
      </c>
      <c r="AL481" s="72" t="n">
        <v>-7.93</v>
      </c>
      <c r="AM481" s="72" t="n">
        <v>143.75</v>
      </c>
      <c r="AN481" s="72" t="n">
        <v>95.83</v>
      </c>
      <c r="AO481" s="72" t="n"/>
      <c r="AP481" s="72" t="n">
        <v>-34.27</v>
      </c>
      <c r="AQ481" s="72" t="n">
        <v>-47.19</v>
      </c>
      <c r="AR481" s="72" t="n"/>
      <c r="AS481" s="72" t="n">
        <v>148.27</v>
      </c>
      <c r="AT481" s="72" t="n">
        <v>94.31999999999999</v>
      </c>
      <c r="AU481" s="72" t="n"/>
      <c r="AV481" s="72" t="n">
        <v>-49.79</v>
      </c>
      <c r="AW481" s="72" t="n">
        <v>1.51</v>
      </c>
      <c r="AX481" s="72" t="n">
        <v>2.6</v>
      </c>
      <c r="AY481" s="63" t="inlineStr">
        <is>
          <t>HSTECH (Hang Seng TECH ETF)</t>
        </is>
      </c>
      <c r="AZ481" s="72" t="n">
        <v>298.61</v>
      </c>
      <c r="BA481" s="64" t="inlineStr">
        <is>
          <t>2026-08-31</t>
        </is>
      </c>
      <c r="BB481" s="65" t="n">
        <v>735.4</v>
      </c>
      <c r="BC481" s="68" t="n">
        <v>32.3</v>
      </c>
      <c r="BD481" s="63" t="inlineStr">
        <is>
          <t>Y</t>
        </is>
      </c>
      <c r="BE481" s="74" t="n">
        <v>172.6</v>
      </c>
      <c r="BF481" s="74" t="n"/>
      <c r="BG481" s="74" t="n"/>
      <c r="BH481" s="74" t="n">
        <v>7.6</v>
      </c>
      <c r="BI481" s="75">
        <f>IF('BBG Verify'!S481="","not filed — run on terminal",'BBG Verify'!S481)</f>
        <v/>
      </c>
      <c r="BJ481" s="76" t="inlineStr">
        <is>
          <t>N</t>
        </is>
      </c>
      <c r="BK481" s="77">
        <f>IF('BBG Verify'!K481="","not filed — run on terminal",'BBG Verify'!K481)</f>
        <v/>
      </c>
      <c r="BL481" s="63" t="inlineStr">
        <is>
          <t>N/A</t>
        </is>
      </c>
      <c r="BM481" s="63" t="inlineStr">
        <is>
          <t>N/A</t>
        </is>
      </c>
      <c r="BN481" s="63" t="inlineStr">
        <is>
          <t>N/A</t>
        </is>
      </c>
      <c r="BO481" s="63" t="inlineStr">
        <is>
          <t>N/A</t>
        </is>
      </c>
      <c r="BP481" s="63" t="inlineStr">
        <is>
          <t>N/A</t>
        </is>
      </c>
      <c r="BQ481" s="63" t="inlineStr">
        <is>
          <t>N/A</t>
        </is>
      </c>
      <c r="BR481" s="76" t="inlineStr">
        <is>
          <t>CMBC International Capital Limited; SPDB International Capital Limited</t>
        </is>
      </c>
      <c r="BS481" s="63" t="inlineStr">
        <is>
          <t>CMBC International Capital Limited; SPDB International Capital Limited</t>
        </is>
      </c>
      <c r="BT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U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V481" s="78">
        <f>HYPERLINK("https://www1.hkexnews.hk/listedco/listconews/sehk/2026/0611/2026061100015.pdf","prospectus")</f>
        <v/>
      </c>
      <c r="BW481" s="78">
        <f>HYPERLINK("https://www1.hkexnews.hk/listedco/listconews/sehk/2026/0618/2026061802066.pdf","allotment")</f>
        <v/>
      </c>
      <c r="BX481" s="63" t="n"/>
      <c r="BY481" s="76" t="n"/>
      <c r="BZ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72" t="n">
        <v>0</v>
      </c>
      <c r="AC482" s="66" t="n">
        <v>81.8</v>
      </c>
      <c r="AD482" s="72" t="n">
        <v>-56.89</v>
      </c>
      <c r="AE482" s="63" t="inlineStr">
        <is>
          <t>Y</t>
        </is>
      </c>
      <c r="AF482" s="63" t="inlineStr">
        <is>
          <t>lapsed</t>
        </is>
      </c>
      <c r="AG482" s="63" t="n"/>
      <c r="AH482" s="63" t="inlineStr">
        <is>
          <t>CLSA Limited</t>
        </is>
      </c>
      <c r="AI482" s="63" t="inlineStr">
        <is>
          <t>CLSA</t>
        </is>
      </c>
      <c r="AJ482" s="73" t="n">
        <v>-56.89</v>
      </c>
      <c r="AK482" s="72" t="n">
        <v>0</v>
      </c>
      <c r="AL482" s="72" t="n">
        <v>-56.89</v>
      </c>
      <c r="AM482" s="72" t="n">
        <v>-56.14</v>
      </c>
      <c r="AN482" s="72" t="n">
        <v>-42.52</v>
      </c>
      <c r="AO482" s="72" t="n"/>
      <c r="AP482" s="72" t="n">
        <v>1.74</v>
      </c>
      <c r="AQ482" s="72" t="n">
        <v>33.33</v>
      </c>
      <c r="AR482" s="72" t="n"/>
      <c r="AS482" s="72" t="n">
        <v>-64.12</v>
      </c>
      <c r="AT482" s="72" t="n">
        <v>-61.81</v>
      </c>
      <c r="AU482" s="72" t="n"/>
      <c r="AV482" s="72" t="n">
        <v>14.16</v>
      </c>
      <c r="AW482" s="72" t="n">
        <v>19.29</v>
      </c>
      <c r="AX482" s="72" t="n">
        <v>19.17</v>
      </c>
      <c r="AY482" s="63" t="inlineStr">
        <is>
          <t>China Biotech ETF (HS biotech proxy)</t>
        </is>
      </c>
      <c r="AZ482" s="72" t="n">
        <v>-43.13</v>
      </c>
      <c r="BA482" s="64" t="inlineStr">
        <is>
          <t>2026-08-31</t>
        </is>
      </c>
      <c r="BB482" s="65" t="n">
        <v>14.3</v>
      </c>
      <c r="BC482" s="68" t="n">
        <v>-148.6</v>
      </c>
      <c r="BD482" s="63" t="inlineStr">
        <is>
          <t>N</t>
        </is>
      </c>
      <c r="BE482" s="63" t="inlineStr">
        <is>
          <t>n/m</t>
        </is>
      </c>
      <c r="BF482" s="74" t="n"/>
      <c r="BG482" s="74" t="n"/>
      <c r="BH482" s="74" t="n">
        <v>421</v>
      </c>
      <c r="BI482" s="75">
        <f>IF('BBG Verify'!S482="","not filed — run on terminal",'BBG Verify'!S482)</f>
        <v/>
      </c>
      <c r="BJ482" s="76" t="inlineStr">
        <is>
          <t>N</t>
        </is>
      </c>
      <c r="BK482" s="77">
        <f>IF('BBG Verify'!K482="","not filed — run on terminal",'BBG Verify'!K482)</f>
        <v/>
      </c>
      <c r="BL482" s="63" t="inlineStr">
        <is>
          <t>N/A</t>
        </is>
      </c>
      <c r="BM482" s="63" t="inlineStr">
        <is>
          <t>N/A</t>
        </is>
      </c>
      <c r="BN482" s="63" t="inlineStr">
        <is>
          <t>N/A</t>
        </is>
      </c>
      <c r="BO482" s="63" t="inlineStr">
        <is>
          <t>N/A</t>
        </is>
      </c>
      <c r="BP482" s="63" t="inlineStr">
        <is>
          <t>N/A</t>
        </is>
      </c>
      <c r="BQ482" s="63" t="inlineStr">
        <is>
          <t>N/A</t>
        </is>
      </c>
      <c r="BR482" s="76" t="inlineStr">
        <is>
          <t>CITIC Securities (Hong Kong) Limited</t>
        </is>
      </c>
      <c r="BS482" s="63" t="inlineStr">
        <is>
          <t>CITIC Securities (Hong Kong) Limited</t>
        </is>
      </c>
      <c r="BT482" s="63" t="inlineStr">
        <is>
          <t>CLSA Limited</t>
        </is>
      </c>
      <c r="BU482" s="63" t="inlineStr">
        <is>
          <t>CLSA Limited</t>
        </is>
      </c>
      <c r="BV482" s="78">
        <f>HYPERLINK("https://www1.hkexnews.hk/listedco/listconews/sehk/2026/0612/2026061200083.pdf","prospectus")</f>
        <v/>
      </c>
      <c r="BW482" s="78">
        <f>HYPERLINK("https://www1.hkexnews.hk/listedco/listconews/sehk/2026/0622/2026062201627.pdf","allotment")</f>
        <v/>
      </c>
      <c r="BX482" s="78">
        <f>HYPERLINK("https://www1.hkexnews.hk/listedco/listconews/sehk/2026/0717/2026071700724.pdf","stabilisation")</f>
        <v/>
      </c>
      <c r="BY482" s="76" t="n"/>
      <c r="BZ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72" t="n">
        <v>40.8</v>
      </c>
      <c r="AC483" s="66" t="n">
        <v>12.64</v>
      </c>
      <c r="AD483" s="72" t="n">
        <v>-13</v>
      </c>
      <c r="AE483" s="63" t="inlineStr">
        <is>
          <t>Y</t>
        </is>
      </c>
      <c r="AF483" s="63" t="n"/>
      <c r="AG483" s="63" t="n"/>
      <c r="AH483" s="63" t="n"/>
      <c r="AI483" s="63" t="n"/>
      <c r="AJ483" s="73" t="n">
        <v>22.49</v>
      </c>
      <c r="AK483" s="72" t="n">
        <v>38.42</v>
      </c>
      <c r="AL483" s="72" t="n">
        <v>-11.51</v>
      </c>
      <c r="AM483" s="72" t="n">
        <v>10.24</v>
      </c>
      <c r="AN483" s="72" t="n">
        <v>-12.25</v>
      </c>
      <c r="AO483" s="72" t="n"/>
      <c r="AP483" s="72" t="n">
        <v>-10</v>
      </c>
      <c r="AQ483" s="72" t="n">
        <v>-28.36</v>
      </c>
      <c r="AR483" s="72" t="n"/>
      <c r="AS483" s="72" t="n">
        <v>13.81</v>
      </c>
      <c r="AT483" s="72" t="n">
        <v>-18.87</v>
      </c>
      <c r="AU483" s="72" t="n"/>
      <c r="AV483" s="72" t="n">
        <v>-38.07</v>
      </c>
      <c r="AW483" s="72" t="n">
        <v>6.62</v>
      </c>
      <c r="AX483" s="72" t="n">
        <v>9.710000000000001</v>
      </c>
      <c r="AY483" s="63" t="inlineStr">
        <is>
          <t>Hang Seng Commerce &amp; Industry sub-index</t>
        </is>
      </c>
      <c r="AZ483" s="72" t="n">
        <v>-10.91</v>
      </c>
      <c r="BA483" s="64" t="inlineStr">
        <is>
          <t>2026-08-31</t>
        </is>
      </c>
      <c r="BB483" s="65" t="n">
        <v>4484.5</v>
      </c>
      <c r="BC483" s="68" t="n">
        <v>157.4</v>
      </c>
      <c r="BD483" s="63" t="inlineStr">
        <is>
          <t>Y</t>
        </is>
      </c>
      <c r="BE483" s="74" t="n">
        <v>85.3</v>
      </c>
      <c r="BF483" s="74" t="n">
        <v>297.2</v>
      </c>
      <c r="BG483" s="74" t="n">
        <v>224.7</v>
      </c>
      <c r="BH483" s="74" t="n">
        <v>3</v>
      </c>
      <c r="BI483" s="75">
        <f>IF('BBG Verify'!S483="","not filed — run on terminal",'BBG Verify'!S483)</f>
        <v/>
      </c>
      <c r="BJ483" s="76" t="inlineStr">
        <is>
          <t>Y</t>
        </is>
      </c>
      <c r="BK483" s="63" t="inlineStr">
        <is>
          <t>300568.SZ</t>
        </is>
      </c>
      <c r="BL483" s="72" t="n">
        <v>162.05</v>
      </c>
      <c r="BM483" s="66" t="n">
        <v>23.5319</v>
      </c>
      <c r="BN483" s="80" t="n">
        <v>1.1911</v>
      </c>
      <c r="BO483" s="68" t="n">
        <v>26243.6</v>
      </c>
      <c r="BP483" s="75">
        <f>IF('BBG Verify'!Q483="","run on terminal",'BBG Verify'!Q483)</f>
        <v/>
      </c>
      <c r="BQ483" s="75">
        <f>IF('BBG Verify'!R483="","run on terminal",'BBG Verify'!R483)</f>
        <v/>
      </c>
      <c r="BR483" s="76" t="inlineStr">
        <is>
          <t>China Securities (International) Corporate Finance Company Limited</t>
        </is>
      </c>
      <c r="BS483" s="63" t="inlineStr">
        <is>
          <t>China Securities (International) Corporate Finance Company Limited</t>
        </is>
      </c>
      <c r="BT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U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V483" s="78">
        <f>HYPERLINK("https://www1.hkexnews.hk/listedco/listconews/sehk/2026/0612/2026061200031.pdf","prospectus")</f>
        <v/>
      </c>
      <c r="BW483" s="78">
        <f>HYPERLINK("https://www1.hkexnews.hk/listedco/listconews/sehk/2026/0622/2026062202141.pdf","allotment")</f>
        <v/>
      </c>
      <c r="BX483" s="63" t="n"/>
      <c r="BY483" s="76" t="n"/>
      <c r="BZ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72" t="n">
        <v>95.09999999999999</v>
      </c>
      <c r="AC484" s="66" t="n">
        <v>35.5</v>
      </c>
      <c r="AD484" s="72" t="n">
        <v>3.92</v>
      </c>
      <c r="AE484" s="63" t="inlineStr">
        <is>
          <t>Y</t>
        </is>
      </c>
      <c r="AF484" s="63" t="n"/>
      <c r="AG484" s="63" t="inlineStr">
        <is>
          <t>2026-07-18</t>
        </is>
      </c>
      <c r="AH484" s="63" t="inlineStr">
        <is>
          <t>CCB International Capital Limited</t>
        </is>
      </c>
      <c r="AI484" s="63" t="inlineStr">
        <is>
          <t>CCB</t>
        </is>
      </c>
      <c r="AJ484" s="73" t="n">
        <v>102.75</v>
      </c>
      <c r="AK484" s="72" t="n">
        <v>86.92</v>
      </c>
      <c r="AL484" s="72" t="n">
        <v>8.470000000000001</v>
      </c>
      <c r="AM484" s="72" t="n">
        <v>97.58</v>
      </c>
      <c r="AN484" s="72" t="n">
        <v>86.81</v>
      </c>
      <c r="AO484" s="72" t="n"/>
      <c r="AP484" s="72" t="n">
        <v>-2.55</v>
      </c>
      <c r="AQ484" s="72" t="n">
        <v>-7.86</v>
      </c>
      <c r="AR484" s="72" t="n"/>
      <c r="AS484" s="72" t="n">
        <v>86.28</v>
      </c>
      <c r="AT484" s="72" t="n">
        <v>70.06</v>
      </c>
      <c r="AU484" s="72" t="n"/>
      <c r="AV484" s="72" t="n">
        <v>-21.18</v>
      </c>
      <c r="AW484" s="72" t="n">
        <v>16.75</v>
      </c>
      <c r="AX484" s="72" t="n">
        <v>13.32</v>
      </c>
      <c r="AY484" s="63" t="inlineStr">
        <is>
          <t>China Biotech ETF (HS biotech proxy)</t>
        </is>
      </c>
      <c r="AZ484" s="72" t="n">
        <v>56.59</v>
      </c>
      <c r="BA484" s="64" t="inlineStr">
        <is>
          <t>2026-08-31</t>
        </is>
      </c>
      <c r="BB484" s="65" t="n">
        <v>2.2</v>
      </c>
      <c r="BC484" s="68" t="n">
        <v>-203.4</v>
      </c>
      <c r="BD484" s="63" t="inlineStr">
        <is>
          <t>N</t>
        </is>
      </c>
      <c r="BE484" s="63" t="inlineStr">
        <is>
          <t>n/m</t>
        </is>
      </c>
      <c r="BF484" s="74" t="n"/>
      <c r="BG484" s="74" t="n"/>
      <c r="BH484" s="74" t="n">
        <v>2744.4</v>
      </c>
      <c r="BI484" s="75">
        <f>IF('BBG Verify'!S484="","not filed — run on terminal",'BBG Verify'!S484)</f>
        <v/>
      </c>
      <c r="BJ484" s="76" t="inlineStr">
        <is>
          <t>N</t>
        </is>
      </c>
      <c r="BK484" s="77">
        <f>IF('BBG Verify'!K484="","not filed — run on terminal",'BBG Verify'!K484)</f>
        <v/>
      </c>
      <c r="BL484" s="63" t="inlineStr">
        <is>
          <t>N/A</t>
        </is>
      </c>
      <c r="BM484" s="63" t="inlineStr">
        <is>
          <t>N/A</t>
        </is>
      </c>
      <c r="BN484" s="63" t="inlineStr">
        <is>
          <t>N/A</t>
        </is>
      </c>
      <c r="BO484" s="63" t="inlineStr">
        <is>
          <t>N/A</t>
        </is>
      </c>
      <c r="BP484" s="63" t="inlineStr">
        <is>
          <t>N/A</t>
        </is>
      </c>
      <c r="BQ484" s="63" t="inlineStr">
        <is>
          <t>N/A</t>
        </is>
      </c>
      <c r="BR484" s="76" t="n"/>
      <c r="BS484" s="63" t="inlineStr">
        <is>
          <t>CCB International Capital Limited; China Merchants Securities (HK) Company Limited</t>
        </is>
      </c>
      <c r="BT484" s="63" t="inlineStr">
        <is>
          <t>CCB International Capital Limited; China Merchants Securities (HK) Company Limited; Jakota Securities Group Limited; Ruibang Securities Limited; Sinolink Securities (Hong Kong) Company Limited; Somerley Capital Limited</t>
        </is>
      </c>
      <c r="BU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V484" s="78">
        <f>HYPERLINK("https://www1.hkexnews.hk/listedco/listconews/sehk/2026/0615/2026061500009.pdf","prospectus")</f>
        <v/>
      </c>
      <c r="BW484" s="78">
        <f>HYPERLINK("https://www1.hkexnews.hk/listedco/listconews/sehk/2026/0623/2026062301227.pdf","allotment")</f>
        <v/>
      </c>
      <c r="BX484" s="63" t="n"/>
      <c r="BY484" s="76" t="n"/>
      <c r="BZ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72" t="n">
        <v>-7.3</v>
      </c>
      <c r="AC485" s="66" t="n">
        <v>94.2</v>
      </c>
      <c r="AD485" s="72" t="n">
        <v>12.55</v>
      </c>
      <c r="AE485" s="63" t="inlineStr">
        <is>
          <t>N</t>
        </is>
      </c>
      <c r="AF485" s="63" t="inlineStr">
        <is>
          <t>lapsed</t>
        </is>
      </c>
      <c r="AG485" s="63" t="n"/>
      <c r="AH485" s="63" t="inlineStr">
        <is>
          <t>China International Capital Corporation Hong Kong Securities Limited</t>
        </is>
      </c>
      <c r="AI485" s="63" t="inlineStr">
        <is>
          <t>China International</t>
        </is>
      </c>
      <c r="AJ485" s="73" t="n">
        <v>4.33</v>
      </c>
      <c r="AK485" s="72" t="n">
        <v>0</v>
      </c>
      <c r="AL485" s="72" t="n">
        <v>4.33</v>
      </c>
      <c r="AM485" s="72" t="n">
        <v>-19.54</v>
      </c>
      <c r="AN485" s="72" t="n">
        <v>-44.69</v>
      </c>
      <c r="AO485" s="72" t="n"/>
      <c r="AP485" s="72" t="n">
        <v>-22.88</v>
      </c>
      <c r="AQ485" s="72" t="n">
        <v>-46.99</v>
      </c>
      <c r="AR485" s="72" t="n"/>
      <c r="AS485" s="72" t="n">
        <v>-20.7</v>
      </c>
      <c r="AT485" s="72" t="n">
        <v>-49.98</v>
      </c>
      <c r="AU485" s="72" t="n"/>
      <c r="AV485" s="72" t="n">
        <v>-50.23</v>
      </c>
      <c r="AW485" s="72" t="n">
        <v>5.29</v>
      </c>
      <c r="AX485" s="72" t="n">
        <v>3.24</v>
      </c>
      <c r="AY485" s="63" t="inlineStr">
        <is>
          <t>HSTECH (Hang Seng TECH ETF)</t>
        </is>
      </c>
      <c r="AZ485" s="72" t="n">
        <v>-31.89</v>
      </c>
      <c r="BA485" s="64" t="inlineStr">
        <is>
          <t>2026-08-31</t>
        </is>
      </c>
      <c r="BB485" s="65" t="n">
        <v>486.1</v>
      </c>
      <c r="BC485" s="68" t="n">
        <v>-51.8</v>
      </c>
      <c r="BD485" s="63" t="inlineStr">
        <is>
          <t>N</t>
        </is>
      </c>
      <c r="BE485" s="63" t="inlineStr">
        <is>
          <t>n/m</t>
        </is>
      </c>
      <c r="BF485" s="74" t="n"/>
      <c r="BG485" s="74" t="n"/>
      <c r="BH485" s="74" t="n">
        <v>20.4</v>
      </c>
      <c r="BI485" s="75">
        <f>IF('BBG Verify'!S485="","not filed — run on terminal",'BBG Verify'!S485)</f>
        <v/>
      </c>
      <c r="BJ485" s="76" t="inlineStr">
        <is>
          <t>N</t>
        </is>
      </c>
      <c r="BK485" s="77">
        <f>IF('BBG Verify'!K485="","not filed — run on terminal",'BBG Verify'!K485)</f>
        <v/>
      </c>
      <c r="BL485" s="63" t="inlineStr">
        <is>
          <t>N/A</t>
        </is>
      </c>
      <c r="BM485" s="63" t="inlineStr">
        <is>
          <t>N/A</t>
        </is>
      </c>
      <c r="BN485" s="63" t="inlineStr">
        <is>
          <t>N/A</t>
        </is>
      </c>
      <c r="BO485" s="63" t="inlineStr">
        <is>
          <t>N/A</t>
        </is>
      </c>
      <c r="BP485" s="63" t="inlineStr">
        <is>
          <t>N/A</t>
        </is>
      </c>
      <c r="BQ485" s="63" t="inlineStr">
        <is>
          <t>N/A</t>
        </is>
      </c>
      <c r="BR485" s="76" t="n"/>
      <c r="BS485" s="63" t="inlineStr">
        <is>
          <t>China International Capital Corporation Hong Kong Securities Limited</t>
        </is>
      </c>
      <c r="BT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U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V485" s="78">
        <f>HYPERLINK("https://www1.hkexnews.hk/listedco/listconews/sehk/2026/0615/2026061500013.pdf","prospectus")</f>
        <v/>
      </c>
      <c r="BW485" s="78">
        <f>HYPERLINK("https://www1.hkexnews.hk/listedco/listconews/sehk/2026/0623/2026062302143.pdf","allotment")</f>
        <v/>
      </c>
      <c r="BX485" s="78">
        <f>HYPERLINK("https://www1.hkexnews.hk/listedco/listconews/sehk/2026/0719/2026071900001.pdf","stabilisation")</f>
        <v/>
      </c>
      <c r="BY485" s="76" t="n"/>
      <c r="BZ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72" t="n">
        <v>203.2</v>
      </c>
      <c r="AC486" s="66" t="n">
        <v>119.9</v>
      </c>
      <c r="AD486" s="72" t="n">
        <v>0.24</v>
      </c>
      <c r="AE486" s="63" t="inlineStr">
        <is>
          <t>Y</t>
        </is>
      </c>
      <c r="AF486" s="63" t="n"/>
      <c r="AG486" s="63" t="n"/>
      <c r="AH486" s="63" t="inlineStr">
        <is>
          <t>China International Capital Corporation Hong Kong Securities Limited</t>
        </is>
      </c>
      <c r="AI486" s="63" t="inlineStr">
        <is>
          <t>China International</t>
        </is>
      </c>
      <c r="AJ486" s="73" t="n">
        <v>203.92</v>
      </c>
      <c r="AK486" s="72" t="n">
        <v>178.38</v>
      </c>
      <c r="AL486" s="72" t="n">
        <v>9.17</v>
      </c>
      <c r="AM486" s="72" t="n">
        <v>199.87</v>
      </c>
      <c r="AN486" s="72" t="n">
        <v>176.86</v>
      </c>
      <c r="AO486" s="72" t="n"/>
      <c r="AP486" s="72" t="n">
        <v>-1.33</v>
      </c>
      <c r="AQ486" s="72" t="n">
        <v>-8.9</v>
      </c>
      <c r="AR486" s="72" t="n"/>
      <c r="AS486" s="72" t="n">
        <v>196.96</v>
      </c>
      <c r="AT486" s="72" t="n">
        <v>169.61</v>
      </c>
      <c r="AU486" s="72" t="n"/>
      <c r="AV486" s="72" t="n">
        <v>-19.99</v>
      </c>
      <c r="AW486" s="72" t="n">
        <v>7.25</v>
      </c>
      <c r="AX486" s="72" t="n">
        <v>11.09</v>
      </c>
      <c r="AY486" s="63" t="inlineStr">
        <is>
          <t>HSTECH (Hang Seng TECH ETF)</t>
        </is>
      </c>
      <c r="AZ486" s="72" t="n">
        <v>186.22</v>
      </c>
      <c r="BA486" s="64" t="inlineStr">
        <is>
          <t>2026-08-31</t>
        </is>
      </c>
      <c r="BB486" s="65" t="n">
        <v>913.7</v>
      </c>
      <c r="BC486" s="68" t="n">
        <v>103</v>
      </c>
      <c r="BD486" s="63" t="inlineStr">
        <is>
          <t>Y</t>
        </is>
      </c>
      <c r="BE486" s="74" t="n">
        <v>38.8</v>
      </c>
      <c r="BF486" s="74" t="n"/>
      <c r="BG486" s="74" t="n"/>
      <c r="BH486" s="74" t="n">
        <v>4.4</v>
      </c>
      <c r="BI486" s="75">
        <f>IF('BBG Verify'!S486="","not filed — run on terminal",'BBG Verify'!S486)</f>
        <v/>
      </c>
      <c r="BJ486" s="76" t="inlineStr">
        <is>
          <t>N</t>
        </is>
      </c>
      <c r="BK486" s="77">
        <f>IF('BBG Verify'!K486="","not filed — run on terminal",'BBG Verify'!K486)</f>
        <v/>
      </c>
      <c r="BL486" s="63" t="inlineStr">
        <is>
          <t>N/A</t>
        </is>
      </c>
      <c r="BM486" s="63" t="inlineStr">
        <is>
          <t>N/A</t>
        </is>
      </c>
      <c r="BN486" s="63" t="inlineStr">
        <is>
          <t>N/A</t>
        </is>
      </c>
      <c r="BO486" s="63" t="inlineStr">
        <is>
          <t>N/A</t>
        </is>
      </c>
      <c r="BP486" s="63" t="inlineStr">
        <is>
          <t>N/A</t>
        </is>
      </c>
      <c r="BQ486" s="63" t="inlineStr">
        <is>
          <t>N/A</t>
        </is>
      </c>
      <c r="BR486" s="76" t="inlineStr">
        <is>
          <t>China International Capital Corporation Hong Kong Securities Limited; Sponsor-OCs China International Capital Corporation Hong Kong Securities Limited; CMBC Securities Company Limited</t>
        </is>
      </c>
      <c r="BS486" s="63" t="inlineStr">
        <is>
          <t>China International Capital Corporation Hong Kong Securities Limited; CMBC International Capital Limited</t>
        </is>
      </c>
      <c r="BT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U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V486" s="78">
        <f>HYPERLINK("https://www1.hkexnews.hk/listedco/listconews/sehk/2026/0617/2026061700071.pdf","prospectus")</f>
        <v/>
      </c>
      <c r="BW486" s="78">
        <f>HYPERLINK("https://www1.hkexnews.hk/listedco/listconews/sehk/2026/0625/2026062501916.pdf","allotment")</f>
        <v/>
      </c>
      <c r="BX486" s="63" t="n"/>
      <c r="BY486" s="76" t="n"/>
      <c r="BZ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72" t="n">
        <v>90.09999999999999</v>
      </c>
      <c r="AC487" s="66" t="n">
        <v>115.4</v>
      </c>
      <c r="AD487" s="72" t="n">
        <v>-3.2</v>
      </c>
      <c r="AE487" s="63" t="inlineStr">
        <is>
          <t>Y</t>
        </is>
      </c>
      <c r="AF487" s="63" t="inlineStr">
        <is>
          <t>partial</t>
        </is>
      </c>
      <c r="AG487" s="63" t="inlineStr">
        <is>
          <t>2026-07-23</t>
        </is>
      </c>
      <c r="AH487" s="63" t="inlineStr">
        <is>
          <t>China International Capital Corporation Hong Kong Securities Limited</t>
        </is>
      </c>
      <c r="AI487" s="63" t="inlineStr">
        <is>
          <t>China International</t>
        </is>
      </c>
      <c r="AJ487" s="73" t="n">
        <v>84.02</v>
      </c>
      <c r="AK487" s="72" t="n">
        <v>81.22</v>
      </c>
      <c r="AL487" s="72" t="n">
        <v>1.55</v>
      </c>
      <c r="AM487" s="72" t="n">
        <v>30.07</v>
      </c>
      <c r="AN487" s="72" t="n">
        <v>0.99</v>
      </c>
      <c r="AO487" s="72" t="n"/>
      <c r="AP487" s="72" t="n">
        <v>-29.32</v>
      </c>
      <c r="AQ487" s="72" t="n">
        <v>-45.12</v>
      </c>
      <c r="AR487" s="72" t="n"/>
      <c r="AS487" s="72" t="n">
        <v>27.16</v>
      </c>
      <c r="AT487" s="72" t="n">
        <v>-6.26</v>
      </c>
      <c r="AU487" s="72" t="n"/>
      <c r="AV487" s="72" t="n">
        <v>-56.21</v>
      </c>
      <c r="AW487" s="72" t="n">
        <v>7.25</v>
      </c>
      <c r="AX487" s="72" t="n">
        <v>11.09</v>
      </c>
      <c r="AY487" s="63" t="inlineStr">
        <is>
          <t>HSTECH (Hang Seng TECH ETF)</t>
        </is>
      </c>
      <c r="AZ487" s="72" t="n">
        <v>41.68</v>
      </c>
      <c r="BA487" s="64" t="inlineStr">
        <is>
          <t>2026-08-31</t>
        </is>
      </c>
      <c r="BB487" s="65" t="n">
        <v>445.8</v>
      </c>
      <c r="BC487" s="68" t="n">
        <v>-172.8</v>
      </c>
      <c r="BD487" s="63" t="inlineStr">
        <is>
          <t>N</t>
        </is>
      </c>
      <c r="BE487" s="63" t="inlineStr">
        <is>
          <t>n/m</t>
        </is>
      </c>
      <c r="BF487" s="74" t="n"/>
      <c r="BG487" s="74" t="n"/>
      <c r="BH487" s="74" t="n">
        <v>23.6</v>
      </c>
      <c r="BI487" s="75">
        <f>IF('BBG Verify'!S487="","not filed — run on terminal",'BBG Verify'!S487)</f>
        <v/>
      </c>
      <c r="BJ487" s="76" t="inlineStr">
        <is>
          <t>N</t>
        </is>
      </c>
      <c r="BK487" s="77">
        <f>IF('BBG Verify'!K487="","not filed — run on terminal",'BBG Verify'!K487)</f>
        <v/>
      </c>
      <c r="BL487" s="63" t="inlineStr">
        <is>
          <t>N/A</t>
        </is>
      </c>
      <c r="BM487" s="63" t="inlineStr">
        <is>
          <t>N/A</t>
        </is>
      </c>
      <c r="BN487" s="63" t="inlineStr">
        <is>
          <t>N/A</t>
        </is>
      </c>
      <c r="BO487" s="63" t="inlineStr">
        <is>
          <t>N/A</t>
        </is>
      </c>
      <c r="BP487" s="63" t="inlineStr">
        <is>
          <t>N/A</t>
        </is>
      </c>
      <c r="BQ487" s="63" t="inlineStr">
        <is>
          <t>N/A</t>
        </is>
      </c>
      <c r="BR487" s="76" t="n"/>
      <c r="BS487" s="63" t="inlineStr">
        <is>
          <t>China International Capital Corporation Hong Kong Securities Limited</t>
        </is>
      </c>
      <c r="BT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U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V487" s="78">
        <f>HYPERLINK("https://www1.hkexnews.hk/listedco/listconews/sehk/2026/0617/2026061700025.pdf","prospectus")</f>
        <v/>
      </c>
      <c r="BW487" s="78">
        <f>HYPERLINK("https://www1.hkexnews.hk/listedco/listconews/sehk/2026/0625/2026062501938.pdf","allotment")</f>
        <v/>
      </c>
      <c r="BX487" s="78">
        <f>HYPERLINK("https://www1.hkexnews.hk/listedco/listconews/sehk/2026/0724/2026072401850.pdf","stabilisation")</f>
        <v/>
      </c>
      <c r="BY487" s="76" t="n"/>
      <c r="BZ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72" t="n">
        <v>30.3</v>
      </c>
      <c r="AC488" s="66" t="n">
        <v>111</v>
      </c>
      <c r="AD488" s="72" t="n">
        <v>12.87</v>
      </c>
      <c r="AE488" s="63" t="inlineStr">
        <is>
          <t>Y</t>
        </is>
      </c>
      <c r="AF488" s="63" t="inlineStr">
        <is>
          <t>full</t>
        </is>
      </c>
      <c r="AG488" s="63" t="inlineStr">
        <is>
          <t>2026-07-23</t>
        </is>
      </c>
      <c r="AH488" s="63" t="inlineStr">
        <is>
          <t>China International Capital Corporation Hong Kong Securities Limited</t>
        </is>
      </c>
      <c r="AI488" s="63" t="inlineStr">
        <is>
          <t>China International</t>
        </is>
      </c>
      <c r="AJ488" s="73" t="n">
        <v>47.07</v>
      </c>
      <c r="AK488" s="72" t="n">
        <v>23.36</v>
      </c>
      <c r="AL488" s="72" t="n">
        <v>19.22</v>
      </c>
      <c r="AM488" s="72" t="n">
        <v>37.91</v>
      </c>
      <c r="AN488" s="72" t="n">
        <v>4.93</v>
      </c>
      <c r="AO488" s="72" t="n"/>
      <c r="AP488" s="72" t="n">
        <v>-6.23</v>
      </c>
      <c r="AQ488" s="72" t="n">
        <v>-28.65</v>
      </c>
      <c r="AR488" s="72" t="n"/>
      <c r="AS488" s="72" t="n">
        <v>35</v>
      </c>
      <c r="AT488" s="72" t="n">
        <v>-2.32</v>
      </c>
      <c r="AU488" s="72" t="n"/>
      <c r="AV488" s="72" t="n">
        <v>-39.74</v>
      </c>
      <c r="AW488" s="72" t="n">
        <v>7.25</v>
      </c>
      <c r="AX488" s="72" t="n">
        <v>11.09</v>
      </c>
      <c r="AY488" s="63" t="inlineStr">
        <is>
          <t>HSTECH (Hang Seng TECH ETF)</t>
        </is>
      </c>
      <c r="AZ488" s="72" t="n">
        <v>10.68</v>
      </c>
      <c r="BA488" s="64" t="inlineStr">
        <is>
          <t>2026-08-31</t>
        </is>
      </c>
      <c r="BB488" s="65" t="n">
        <v>4287.9</v>
      </c>
      <c r="BC488" s="68" t="n">
        <v>587.8</v>
      </c>
      <c r="BD488" s="63" t="inlineStr">
        <is>
          <t>Y</t>
        </is>
      </c>
      <c r="BE488" s="74" t="n">
        <v>97.8</v>
      </c>
      <c r="BF488" s="74" t="n">
        <v>122.6</v>
      </c>
      <c r="BG488" s="74" t="n">
        <v>102.3</v>
      </c>
      <c r="BH488" s="74" t="n">
        <v>13.4</v>
      </c>
      <c r="BI488" s="75">
        <f>IF('BBG Verify'!S488="","not filed — run on terminal",'BBG Verify'!S488)</f>
        <v/>
      </c>
      <c r="BJ488" s="76" t="inlineStr">
        <is>
          <t>Y</t>
        </is>
      </c>
      <c r="BK488" s="63" t="inlineStr">
        <is>
          <t>300661.SZ</t>
        </is>
      </c>
      <c r="BL488" s="72" t="n">
        <v>87.31999999999999</v>
      </c>
      <c r="BM488" s="66" t="n">
        <v>159.5961</v>
      </c>
      <c r="BN488" s="80" t="n">
        <v>0.409</v>
      </c>
      <c r="BO488" s="68" t="n">
        <v>91193.2</v>
      </c>
      <c r="BP488" s="75">
        <f>IF('BBG Verify'!Q488="","run on terminal",'BBG Verify'!Q488)</f>
        <v/>
      </c>
      <c r="BQ488" s="75">
        <f>IF('BBG Verify'!R488="","run on terminal",'BBG Verify'!R488)</f>
        <v/>
      </c>
      <c r="BR488" s="76" t="n"/>
      <c r="BS488" s="63" t="inlineStr">
        <is>
          <t>China International Capital Corporation Hong Kong Securities Limited; Huatai Financial Holdings (Hong Kong) Limited</t>
        </is>
      </c>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78">
        <f>HYPERLINK("https://www1.hkexnews.hk/listedco/listconews/sehk/2026/0617/2026061700162.htm","prospectus")</f>
        <v/>
      </c>
      <c r="BW488" s="78">
        <f>HYPERLINK("https://www1.hkexnews.hk/listedco/listconews/sehk/2026/0625/2026062502076.pdf","allotment")</f>
        <v/>
      </c>
      <c r="BX488" s="78">
        <f>HYPERLINK("https://www1.hkexnews.hk/listedco/listconews/sehk/2026/0723/2026072301288.pdf","stabilisation")</f>
        <v/>
      </c>
      <c r="BY488" s="76" t="n"/>
      <c r="BZ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72" t="n">
        <v>21.3</v>
      </c>
      <c r="AC489" s="66" t="n">
        <v>12.35</v>
      </c>
      <c r="AD489" s="72" t="n">
        <v>-21.37</v>
      </c>
      <c r="AE489" s="63" t="inlineStr">
        <is>
          <t>N</t>
        </is>
      </c>
      <c r="AF489" s="63" t="n"/>
      <c r="AG489" s="63" t="n"/>
      <c r="AH489" s="63" t="n"/>
      <c r="AI489" s="63" t="n"/>
      <c r="AJ489" s="73" t="n">
        <v>-4.62</v>
      </c>
      <c r="AK489" s="72" t="n">
        <v>6.09</v>
      </c>
      <c r="AL489" s="72" t="n">
        <v>-10.1</v>
      </c>
      <c r="AM489" s="72" t="n">
        <v>-5.11</v>
      </c>
      <c r="AN489" s="72" t="n">
        <v>-37.23</v>
      </c>
      <c r="AO489" s="72" t="n"/>
      <c r="AP489" s="72" t="n">
        <v>-0.51</v>
      </c>
      <c r="AQ489" s="72" t="n">
        <v>-34.19</v>
      </c>
      <c r="AR489" s="72" t="n"/>
      <c r="AS489" s="72" t="n">
        <v>-8.02</v>
      </c>
      <c r="AT489" s="72" t="n">
        <v>-44.48</v>
      </c>
      <c r="AU489" s="72" t="n"/>
      <c r="AV489" s="72" t="n">
        <v>-45.28</v>
      </c>
      <c r="AW489" s="72" t="n">
        <v>7.25</v>
      </c>
      <c r="AX489" s="72" t="n">
        <v>11.09</v>
      </c>
      <c r="AY489" s="63" t="inlineStr">
        <is>
          <t>HSTECH (Hang Seng TECH ETF)</t>
        </is>
      </c>
      <c r="AZ489" s="72" t="n">
        <v>-35.76</v>
      </c>
      <c r="BA489" s="64" t="inlineStr">
        <is>
          <t>2026-08-31</t>
        </is>
      </c>
      <c r="BB489" s="65" t="n">
        <v>56571.8</v>
      </c>
      <c r="BC489" s="68" t="n">
        <v>2516.5</v>
      </c>
      <c r="BD489" s="63" t="inlineStr">
        <is>
          <t>Y</t>
        </is>
      </c>
      <c r="BE489" s="74" t="n">
        <v>32.8</v>
      </c>
      <c r="BF489" s="74" t="n">
        <v>28.8</v>
      </c>
      <c r="BG489" s="74" t="n">
        <v>19.6</v>
      </c>
      <c r="BH489" s="74" t="n">
        <v>1.5</v>
      </c>
      <c r="BI489" s="75">
        <f>IF('BBG Verify'!S489="","not filed — run on terminal",'BBG Verify'!S489)</f>
        <v/>
      </c>
      <c r="BJ489" s="76" t="inlineStr">
        <is>
          <t>Y</t>
        </is>
      </c>
      <c r="BK489" s="63" t="inlineStr">
        <is>
          <t>002600.SZ</t>
        </is>
      </c>
      <c r="BL489" s="72" t="n">
        <v>102.71</v>
      </c>
      <c r="BM489" s="66" t="n">
        <v>20.6362</v>
      </c>
      <c r="BN489" s="80" t="n">
        <v>1.2795</v>
      </c>
      <c r="BO489" s="68" t="n">
        <v>121194.2</v>
      </c>
      <c r="BP489" s="75">
        <f>IF('BBG Verify'!Q489="","run on terminal",'BBG Verify'!Q489)</f>
        <v/>
      </c>
      <c r="BQ489" s="75">
        <f>IF('BBG Verify'!R489="","run on terminal",'BBG Verify'!R489)</f>
        <v/>
      </c>
      <c r="BR489" s="76" t="inlineStr">
        <is>
          <t>Guotai Junan International</t>
        </is>
      </c>
      <c r="BS489" s="63" t="inlineStr">
        <is>
          <t>Guotai Junan Capital Limited</t>
        </is>
      </c>
      <c r="BT489" s="63" t="inlineStr">
        <is>
          <t>Citigroup Global Markets Asia Limited; CLSA Limited; Futu Securities International (Hong Kong) Limited; Guotai Junan Securities (Hong Kong) Limited; J.P. Morgan Securities (Asia Pacific) Limited; Tiger Brokers (HK) Global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n"/>
      <c r="BW489" s="78">
        <f>HYPERLINK("https://www1.hkexnews.hk/listedco/listconews/sehk/2026/0625/2026062502292.pdf","allotment")</f>
        <v/>
      </c>
      <c r="BX489" s="63" t="n"/>
      <c r="BY489" s="76" t="n"/>
      <c r="BZ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72" t="n">
        <v>76.2</v>
      </c>
      <c r="AC490" s="66" t="n">
        <v>445.2</v>
      </c>
      <c r="AD490" s="72" t="n">
        <v>15.65</v>
      </c>
      <c r="AE490" s="63" t="inlineStr">
        <is>
          <t>Y</t>
        </is>
      </c>
      <c r="AF490" s="63" t="inlineStr">
        <is>
          <t>full</t>
        </is>
      </c>
      <c r="AG490" s="63" t="n"/>
      <c r="AH490" s="63" t="inlineStr">
        <is>
          <t>China International Capital Corporation Hong Kong Securities Limited</t>
        </is>
      </c>
      <c r="AI490" s="63" t="inlineStr">
        <is>
          <t>China International</t>
        </is>
      </c>
      <c r="AJ490" s="73" t="n">
        <v>103.77</v>
      </c>
      <c r="AK490" s="72" t="n">
        <v>73.7</v>
      </c>
      <c r="AL490" s="72" t="n">
        <v>17.31</v>
      </c>
      <c r="AM490" s="72" t="n">
        <v>55.11</v>
      </c>
      <c r="AN490" s="72" t="n">
        <v>30.26</v>
      </c>
      <c r="AO490" s="72" t="n"/>
      <c r="AP490" s="72" t="n">
        <v>-23.88</v>
      </c>
      <c r="AQ490" s="72" t="n">
        <v>-36.07</v>
      </c>
      <c r="AR490" s="72" t="n"/>
      <c r="AS490" s="72" t="n">
        <v>52.2</v>
      </c>
      <c r="AT490" s="72" t="n">
        <v>23.01</v>
      </c>
      <c r="AU490" s="72" t="n"/>
      <c r="AV490" s="72" t="n">
        <v>-47.16</v>
      </c>
      <c r="AW490" s="72" t="n">
        <v>7.25</v>
      </c>
      <c r="AX490" s="72" t="n">
        <v>11.09</v>
      </c>
      <c r="AY490" s="63" t="inlineStr">
        <is>
          <t>HSTECH (Hang Seng TECH ETF)</t>
        </is>
      </c>
      <c r="AZ490" s="72" t="n">
        <v>35.32</v>
      </c>
      <c r="BA490" s="64" t="inlineStr">
        <is>
          <t>2026-08-31</t>
        </is>
      </c>
      <c r="BB490" s="65" t="n">
        <v>1548.9</v>
      </c>
      <c r="BC490" s="68" t="n">
        <v>318.9</v>
      </c>
      <c r="BD490" s="63" t="inlineStr">
        <is>
          <t>Y</t>
        </is>
      </c>
      <c r="BE490" s="74" t="n">
        <v>100.9</v>
      </c>
      <c r="BF490" s="74" t="n">
        <v>202.5</v>
      </c>
      <c r="BG490" s="74" t="n">
        <v>147.3</v>
      </c>
      <c r="BH490" s="74" t="n">
        <v>20.8</v>
      </c>
      <c r="BI490" s="75">
        <f>IF('BBG Verify'!S490="","not filed — run on terminal",'BBG Verify'!S490)</f>
        <v/>
      </c>
      <c r="BJ490" s="76" t="inlineStr">
        <is>
          <t>Y</t>
        </is>
      </c>
      <c r="BK490" s="63" t="inlineStr">
        <is>
          <t>688630.SS</t>
        </is>
      </c>
      <c r="BL490" s="72" t="n">
        <v>153.68</v>
      </c>
      <c r="BM490" s="66" t="n">
        <v>641.1315</v>
      </c>
      <c r="BN490" s="80" t="n">
        <v>0.4273</v>
      </c>
      <c r="BO490" s="68" t="n">
        <v>71601</v>
      </c>
      <c r="BP490" s="75">
        <f>IF('BBG Verify'!Q490="","run on terminal",'BBG Verify'!Q490)</f>
        <v/>
      </c>
      <c r="BQ490" s="75">
        <f>IF('BBG Verify'!R490="","run on terminal",'BBG Verify'!R490)</f>
        <v/>
      </c>
      <c r="BR490" s="76" t="n"/>
      <c r="BS490" s="63" t="inlineStr">
        <is>
          <t>China International Capital Corporation Hong Kong Securities Limited</t>
        </is>
      </c>
      <c r="BT490" s="63" t="inlineStr">
        <is>
          <t>BOCI Asia Limited</t>
        </is>
      </c>
      <c r="BU490" s="63" t="inlineStr">
        <is>
          <t>BOCI Asia Limited; China International Capital Corporation Hong Kong Securities Limited; CMB International Capital Limited; Futu Securities International (Hong Kong) Limited; Guoyuan Securities Brokerage (Hong Kong) Limited</t>
        </is>
      </c>
      <c r="BV490" s="78">
        <f>HYPERLINK("https://www1.hkexnews.hk/listedco/listconews/sehk/2026/0617/2026061700039.pdf","prospectus")</f>
        <v/>
      </c>
      <c r="BW490" s="78">
        <f>HYPERLINK("https://www1.hkexnews.hk/listedco/listconews/sehk/2026/0625/2026062502296.pdf","allotment")</f>
        <v/>
      </c>
      <c r="BX490" s="78">
        <f>HYPERLINK("https://www1.hkexnews.hk/listedco/listconews/sehk/2026/0723/2026072300312.pdf","stabilisation")</f>
        <v/>
      </c>
      <c r="BY490" s="76" t="n"/>
      <c r="BZ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72" t="n">
        <v>0</v>
      </c>
      <c r="AC491" s="66" t="n">
        <v>26.6</v>
      </c>
      <c r="AD491" s="72" t="n">
        <v>-6.54</v>
      </c>
      <c r="AE491" s="63" t="inlineStr">
        <is>
          <t>Y</t>
        </is>
      </c>
      <c r="AF491" s="63" t="inlineStr">
        <is>
          <t>partial</t>
        </is>
      </c>
      <c r="AG491" s="63" t="n"/>
      <c r="AH491" s="63" t="inlineStr">
        <is>
          <t>CLSA Limited</t>
        </is>
      </c>
      <c r="AI491" s="63" t="inlineStr">
        <is>
          <t>CLSA</t>
        </is>
      </c>
      <c r="AJ491" s="73" t="n">
        <v>-6.54</v>
      </c>
      <c r="AK491" s="72" t="n">
        <v>0</v>
      </c>
      <c r="AL491" s="72" t="n">
        <v>-6.54</v>
      </c>
      <c r="AM491" s="72" t="n">
        <v>-2.26</v>
      </c>
      <c r="AN491" s="72" t="n">
        <v>-0.38</v>
      </c>
      <c r="AO491" s="72" t="n"/>
      <c r="AP491" s="72" t="n">
        <v>4.58</v>
      </c>
      <c r="AQ491" s="72" t="n">
        <v>6.59</v>
      </c>
      <c r="AR491" s="72" t="n"/>
      <c r="AS491" s="72" t="n">
        <v>-6.28</v>
      </c>
      <c r="AT491" s="72" t="n">
        <v>-10.75</v>
      </c>
      <c r="AU491" s="72" t="n"/>
      <c r="AV491" s="72" t="n">
        <v>-6.32</v>
      </c>
      <c r="AW491" s="72" t="n">
        <v>10.37</v>
      </c>
      <c r="AX491" s="72" t="n">
        <v>12.91</v>
      </c>
      <c r="AY491" s="63" t="inlineStr">
        <is>
          <t>Hang Seng Commerce &amp; Industry sub-index</t>
        </is>
      </c>
      <c r="AZ491" s="72" t="n">
        <v>49.47</v>
      </c>
      <c r="BA491" s="64" t="inlineStr">
        <is>
          <t>2026-08-31</t>
        </is>
      </c>
      <c r="BB491" s="65" t="n">
        <v>1</v>
      </c>
      <c r="BC491" s="68" t="n">
        <v>-214.4</v>
      </c>
      <c r="BD491" s="63" t="inlineStr">
        <is>
          <t>N</t>
        </is>
      </c>
      <c r="BE491" s="63" t="inlineStr">
        <is>
          <t>n/m</t>
        </is>
      </c>
      <c r="BF491" s="74" t="n"/>
      <c r="BG491" s="74" t="n"/>
      <c r="BH491" s="74" t="n">
        <v>34074</v>
      </c>
      <c r="BI491" s="75">
        <f>IF('BBG Verify'!S491="","not filed — run on terminal",'BBG Verify'!S491)</f>
        <v/>
      </c>
      <c r="BJ491" s="76" t="inlineStr">
        <is>
          <t>N</t>
        </is>
      </c>
      <c r="BK491" s="77">
        <f>IF('BBG Verify'!K491="","not filed — run on terminal",'BBG Verify'!K491)</f>
        <v/>
      </c>
      <c r="BL491" s="63" t="inlineStr">
        <is>
          <t>N/A</t>
        </is>
      </c>
      <c r="BM491" s="63" t="inlineStr">
        <is>
          <t>N/A</t>
        </is>
      </c>
      <c r="BN491" s="63" t="inlineStr">
        <is>
          <t>N/A</t>
        </is>
      </c>
      <c r="BO491" s="63" t="inlineStr">
        <is>
          <t>N/A</t>
        </is>
      </c>
      <c r="BP491" s="63" t="inlineStr">
        <is>
          <t>N/A</t>
        </is>
      </c>
      <c r="BQ491" s="63" t="inlineStr">
        <is>
          <t>N/A</t>
        </is>
      </c>
      <c r="BR491" s="76" t="inlineStr">
        <is>
          <t>UBS Securities Hong Kong Limited; CITIC Securities (Hong Kong) Limited</t>
        </is>
      </c>
      <c r="BS491" s="63" t="inlineStr">
        <is>
          <t>UBS Securities Hong Kong Limited; CITIC Securities (Hong Kong) Limited</t>
        </is>
      </c>
      <c r="BT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U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V491" s="78">
        <f>HYPERLINK("https://www1.hkexnews.hk/listedco/listconews/sehk/2026/0617/2026061700075.pdf","prospectus")</f>
        <v/>
      </c>
      <c r="BW491" s="78">
        <f>HYPERLINK("https://www1.hkexnews.hk/listedco/listconews/sehk/2026/0625/2026062502338.pdf","allotment")</f>
        <v/>
      </c>
      <c r="BX491" s="78">
        <f>HYPERLINK("https://www1.hkexnews.hk/listedco/listconews/sehk/2026/0723/2026072301404.pdf","stabilisation")</f>
        <v/>
      </c>
      <c r="BY491" s="76" t="n"/>
      <c r="BZ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72" t="n">
        <v>272.4</v>
      </c>
      <c r="AC492" s="66" t="n">
        <v>58.1</v>
      </c>
      <c r="AD492" s="72" t="n">
        <v>25.66</v>
      </c>
      <c r="AE492" s="63" t="inlineStr">
        <is>
          <t>Y</t>
        </is>
      </c>
      <c r="AF492" s="63" t="n"/>
      <c r="AG492" s="63" t="inlineStr">
        <is>
          <t>2026-07-24</t>
        </is>
      </c>
      <c r="AH492" s="63" t="inlineStr">
        <is>
          <t>CMBC Securities Company Limited</t>
        </is>
      </c>
      <c r="AI492" s="63" t="inlineStr">
        <is>
          <t>CMBC</t>
        </is>
      </c>
      <c r="AJ492" s="73" t="n">
        <v>367.95</v>
      </c>
      <c r="AK492" s="72" t="n">
        <v>291.67</v>
      </c>
      <c r="AL492" s="72" t="n">
        <v>19.48</v>
      </c>
      <c r="AM492" s="72" t="n">
        <v>295.19</v>
      </c>
      <c r="AN492" s="72" t="n">
        <v>280.77</v>
      </c>
      <c r="AO492" s="72" t="n"/>
      <c r="AP492" s="72" t="n">
        <v>-15.55</v>
      </c>
      <c r="AQ492" s="72" t="n">
        <v>-18.63</v>
      </c>
      <c r="AR492" s="72" t="n"/>
      <c r="AS492" s="72" t="n">
        <v>294.57</v>
      </c>
      <c r="AT492" s="72" t="n">
        <v>269.3</v>
      </c>
      <c r="AU492" s="72" t="n"/>
      <c r="AV492" s="72" t="n">
        <v>-29.49</v>
      </c>
      <c r="AW492" s="72" t="n">
        <v>11.47</v>
      </c>
      <c r="AX492" s="72" t="n">
        <v>10.86</v>
      </c>
      <c r="AY492" s="63" t="inlineStr">
        <is>
          <t>Hang Seng Finance sub-index</t>
        </is>
      </c>
      <c r="AZ492" s="72" t="n">
        <v>278.85</v>
      </c>
      <c r="BA492" s="64" t="inlineStr">
        <is>
          <t>2026-08-31</t>
        </is>
      </c>
      <c r="BB492" s="65" t="n">
        <v>1349.8</v>
      </c>
      <c r="BC492" s="68" t="n">
        <v>-51.3</v>
      </c>
      <c r="BD492" s="63" t="inlineStr">
        <is>
          <t>N</t>
        </is>
      </c>
      <c r="BE492" s="63" t="inlineStr">
        <is>
          <t>n/m</t>
        </is>
      </c>
      <c r="BF492" s="74" t="n"/>
      <c r="BG492" s="74" t="n"/>
      <c r="BH492" s="74" t="n">
        <v>3.7</v>
      </c>
      <c r="BI492" s="75">
        <f>IF('BBG Verify'!S492="","not filed — run on terminal",'BBG Verify'!S492)</f>
        <v/>
      </c>
      <c r="BJ492" s="76" t="inlineStr">
        <is>
          <t>N</t>
        </is>
      </c>
      <c r="BK492" s="77">
        <f>IF('BBG Verify'!K492="","not filed — run on terminal",'BBG Verify'!K492)</f>
        <v/>
      </c>
      <c r="BL492" s="63" t="inlineStr">
        <is>
          <t>N/A</t>
        </is>
      </c>
      <c r="BM492" s="63" t="inlineStr">
        <is>
          <t>N/A</t>
        </is>
      </c>
      <c r="BN492" s="63" t="inlineStr">
        <is>
          <t>N/A</t>
        </is>
      </c>
      <c r="BO492" s="63" t="inlineStr">
        <is>
          <t>N/A</t>
        </is>
      </c>
      <c r="BP492" s="63" t="inlineStr">
        <is>
          <t>N/A</t>
        </is>
      </c>
      <c r="BQ492" s="63" t="inlineStr">
        <is>
          <t>N/A</t>
        </is>
      </c>
      <c r="BR492" s="76" t="inlineStr">
        <is>
          <t>CMBC International Capital Limited; BOCI Asia Limited</t>
        </is>
      </c>
      <c r="BS492" s="63" t="inlineStr">
        <is>
          <t>BOCI Asia Limited; CMBC International Capital Limited</t>
        </is>
      </c>
      <c r="BT492" s="63" t="inlineStr">
        <is>
          <t>ICBC International Securities Limited</t>
        </is>
      </c>
      <c r="BU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V492" s="78">
        <f>HYPERLINK("https://www1.hkexnews.hk/listedco/listconews/sehk/2026/0618/2026061800045.pdf","prospectus")</f>
        <v/>
      </c>
      <c r="BW492" s="78">
        <f>HYPERLINK("https://www1.hkexnews.hk/listedco/listconews/sehk/2026/0626/2026062602363.pdf","allotment")</f>
        <v/>
      </c>
      <c r="BX492" s="63" t="n"/>
      <c r="BY492" s="76" t="n"/>
      <c r="BZ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72" t="n">
        <v>86.8</v>
      </c>
      <c r="AC493" s="66" t="n">
        <v>213</v>
      </c>
      <c r="AD493" s="72" t="n">
        <v>-22.52</v>
      </c>
      <c r="AE493" s="63" t="inlineStr">
        <is>
          <t>Y</t>
        </is>
      </c>
      <c r="AF493" s="63" t="n"/>
      <c r="AG493" s="63" t="n"/>
      <c r="AH493" s="63" t="inlineStr">
        <is>
          <t>Huatai Financial Holdings</t>
        </is>
      </c>
      <c r="AI493" s="63" t="inlineStr">
        <is>
          <t>Huatai</t>
        </is>
      </c>
      <c r="AJ493" s="73" t="n">
        <v>44.74</v>
      </c>
      <c r="AK493" s="72" t="n">
        <v>75.34999999999999</v>
      </c>
      <c r="AL493" s="72" t="n">
        <v>-17.46</v>
      </c>
      <c r="AM493" s="72" t="n">
        <v>60.53</v>
      </c>
      <c r="AN493" s="72" t="n">
        <v>-41.67</v>
      </c>
      <c r="AO493" s="72" t="n"/>
      <c r="AP493" s="72" t="n">
        <v>10.91</v>
      </c>
      <c r="AQ493" s="72" t="n">
        <v>-59.7</v>
      </c>
      <c r="AR493" s="72" t="n"/>
      <c r="AS493" s="72" t="n">
        <v>54.84</v>
      </c>
      <c r="AT493" s="72" t="n">
        <v>-55.74</v>
      </c>
      <c r="AU493" s="72" t="n"/>
      <c r="AV493" s="72" t="n">
        <v>-70.38</v>
      </c>
      <c r="AW493" s="72" t="n">
        <v>14.07</v>
      </c>
      <c r="AX493" s="72" t="n">
        <v>10.68</v>
      </c>
      <c r="AY493" s="63" t="inlineStr">
        <is>
          <t>HSTECH (Hang Seng TECH ETF)</t>
        </is>
      </c>
      <c r="AZ493" s="72" t="n">
        <v>-11.84</v>
      </c>
      <c r="BA493" s="64" t="inlineStr">
        <is>
          <t>2026-08-31</t>
        </is>
      </c>
      <c r="BB493" s="65" t="n">
        <v>1343.2</v>
      </c>
      <c r="BC493" s="68" t="n">
        <v>-110.2</v>
      </c>
      <c r="BD493" s="63" t="inlineStr">
        <is>
          <t>N</t>
        </is>
      </c>
      <c r="BE493" s="63" t="inlineStr">
        <is>
          <t>n/m</t>
        </is>
      </c>
      <c r="BF493" s="74" t="n"/>
      <c r="BG493" s="74" t="n"/>
      <c r="BH493" s="74" t="n">
        <v>7.6</v>
      </c>
      <c r="BI493" s="75">
        <f>IF('BBG Verify'!S493="","not filed — run on terminal",'BBG Verify'!S493)</f>
        <v/>
      </c>
      <c r="BJ493" s="76" t="inlineStr">
        <is>
          <t>N</t>
        </is>
      </c>
      <c r="BK493" s="77">
        <f>IF('BBG Verify'!K493="","not filed — run on terminal",'BBG Verify'!K493)</f>
        <v/>
      </c>
      <c r="BL493" s="63" t="inlineStr">
        <is>
          <t>N/A</t>
        </is>
      </c>
      <c r="BM493" s="63" t="inlineStr">
        <is>
          <t>N/A</t>
        </is>
      </c>
      <c r="BN493" s="63" t="inlineStr">
        <is>
          <t>N/A</t>
        </is>
      </c>
      <c r="BO493" s="63" t="inlineStr">
        <is>
          <t>N/A</t>
        </is>
      </c>
      <c r="BP493" s="63" t="inlineStr">
        <is>
          <t>N/A</t>
        </is>
      </c>
      <c r="BQ493" s="63" t="inlineStr">
        <is>
          <t>N/A</t>
        </is>
      </c>
      <c r="BR493" s="76" t="n"/>
      <c r="BS493" s="63" t="inlineStr">
        <is>
          <t>Huatai Financial Holdings (Hong Kong) Limited</t>
        </is>
      </c>
      <c r="BT493" s="63" t="inlineStr">
        <is>
          <t>Huatai Financial Holdings (Hong Kong) Limited</t>
        </is>
      </c>
      <c r="BU493" s="63" t="inlineStr">
        <is>
          <t>Huatai Financial Holdings (Hong Kong) Limited</t>
        </is>
      </c>
      <c r="BV493" s="63" t="n"/>
      <c r="BW493" s="78">
        <f>HYPERLINK("https://www1.hkexnews.hk/listedco/listconews/sehk/2026/0626/2026062602599.pdf","allotment")</f>
        <v/>
      </c>
      <c r="BX493" s="63" t="n"/>
      <c r="BY493" s="76" t="n"/>
      <c r="BZ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72" t="n">
        <v>88.09999999999999</v>
      </c>
      <c r="AC494" s="66" t="n">
        <v>42.52</v>
      </c>
      <c r="AD494" s="72" t="n">
        <v>8.210000000000001</v>
      </c>
      <c r="AE494" s="63" t="inlineStr">
        <is>
          <t>Y</t>
        </is>
      </c>
      <c r="AF494" s="63" t="inlineStr">
        <is>
          <t>full</t>
        </is>
      </c>
      <c r="AG494" s="63" t="n"/>
      <c r="AH494" s="63" t="inlineStr">
        <is>
          <t>Jefferies Hong Kong Limited</t>
        </is>
      </c>
      <c r="AI494" s="63" t="inlineStr">
        <is>
          <t>Jefferies</t>
        </is>
      </c>
      <c r="AJ494" s="73" t="n">
        <v>103.54</v>
      </c>
      <c r="AK494" s="72" t="n">
        <v>85.84</v>
      </c>
      <c r="AL494" s="72" t="n">
        <v>9.52</v>
      </c>
      <c r="AM494" s="72" t="n">
        <v>29.12</v>
      </c>
      <c r="AN494" s="72" t="n">
        <v>19.47</v>
      </c>
      <c r="AO494" s="72" t="n"/>
      <c r="AP494" s="72" t="n">
        <v>-36.56</v>
      </c>
      <c r="AQ494" s="72" t="n">
        <v>-41.3</v>
      </c>
      <c r="AR494" s="72" t="n"/>
      <c r="AS494" s="72" t="n">
        <v>16.76</v>
      </c>
      <c r="AT494" s="72" t="n">
        <v>2.47</v>
      </c>
      <c r="AU494" s="72" t="n"/>
      <c r="AV494" s="72" t="n">
        <v>-49.96</v>
      </c>
      <c r="AW494" s="72" t="n">
        <v>17</v>
      </c>
      <c r="AX494" s="72" t="n">
        <v>8.66</v>
      </c>
      <c r="AY494" s="63" t="inlineStr">
        <is>
          <t>China Biotech ETF (HS biotech proxy)</t>
        </is>
      </c>
      <c r="AZ494" s="72" t="n">
        <v>39.29</v>
      </c>
      <c r="BA494" s="64" t="inlineStr">
        <is>
          <t>2026-08-31</t>
        </is>
      </c>
      <c r="BB494" s="65" t="n">
        <v>33.6</v>
      </c>
      <c r="BC494" s="68" t="n">
        <v>-827</v>
      </c>
      <c r="BD494" s="63" t="inlineStr">
        <is>
          <t>N</t>
        </is>
      </c>
      <c r="BE494" s="63" t="inlineStr">
        <is>
          <t>n/m</t>
        </is>
      </c>
      <c r="BF494" s="74" t="n"/>
      <c r="BG494" s="74" t="n"/>
      <c r="BH494" s="74" t="n">
        <v>204.1</v>
      </c>
      <c r="BI494" s="75">
        <f>IF('BBG Verify'!S494="","not filed — run on terminal",'BBG Verify'!S494)</f>
        <v/>
      </c>
      <c r="BJ494" s="76" t="inlineStr">
        <is>
          <t>N</t>
        </is>
      </c>
      <c r="BK494" s="77">
        <f>IF('BBG Verify'!K494="","not filed — run on terminal",'BBG Verify'!K494)</f>
        <v/>
      </c>
      <c r="BL494" s="63" t="inlineStr">
        <is>
          <t>N/A</t>
        </is>
      </c>
      <c r="BM494" s="63" t="inlineStr">
        <is>
          <t>N/A</t>
        </is>
      </c>
      <c r="BN494" s="63" t="inlineStr">
        <is>
          <t>N/A</t>
        </is>
      </c>
      <c r="BO494" s="63" t="inlineStr">
        <is>
          <t>N/A</t>
        </is>
      </c>
      <c r="BP494" s="63" t="inlineStr">
        <is>
          <t>N/A</t>
        </is>
      </c>
      <c r="BQ494" s="63" t="inlineStr">
        <is>
          <t>N/A</t>
        </is>
      </c>
      <c r="BR494" s="76" t="n"/>
      <c r="BS494" s="63" t="inlineStr">
        <is>
          <t>Jefferies Hong Kong Limited; Merrill Lynch (Asia Pacific) Limited; Huatai Financial Holdings (Hong Kong) Limited</t>
        </is>
      </c>
      <c r="BT494" s="63" t="inlineStr">
        <is>
          <t>BOCI Asia Limited</t>
        </is>
      </c>
      <c r="BU494" s="63" t="inlineStr">
        <is>
          <t>BOCI Asia Limited; CLSA Limited; Huatai Financial Holdings (Hong Kong) Limited; Jefferies Hong Kong Limited; Merrill Lynch (Asia Pacific) Limited</t>
        </is>
      </c>
      <c r="BV494" s="78">
        <f>HYPERLINK("https://www1.hkexnews.hk/listedco/listconews/sehk/2026/0618/2026061800025.pdf","prospectus")</f>
        <v/>
      </c>
      <c r="BW494" s="78">
        <f>HYPERLINK("https://www1.hkexnews.hk/listedco/listconews/sehk/2026/0626/2026062603033.pdf","allotment")</f>
        <v/>
      </c>
      <c r="BX494" s="78">
        <f>HYPERLINK("https://www1.hkexnews.hk/listedco/listconews/sehk/2026/0724/2026072400262.pdf","stabilisation")</f>
        <v/>
      </c>
      <c r="BY494" s="76" t="n"/>
      <c r="BZ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72" t="n">
        <v>172.7</v>
      </c>
      <c r="AC495" s="66" t="n">
        <v>344.2</v>
      </c>
      <c r="AD495" s="72" t="n">
        <v>16.23</v>
      </c>
      <c r="AE495" s="63" t="inlineStr">
        <is>
          <t>Y</t>
        </is>
      </c>
      <c r="AF495" s="63" t="n"/>
      <c r="AG495" s="63" t="n"/>
      <c r="AH495" s="63" t="inlineStr">
        <is>
          <t>China International Capital Corporation Hong Kong Securities Limited</t>
        </is>
      </c>
      <c r="AI495" s="63" t="inlineStr">
        <is>
          <t>China International</t>
        </is>
      </c>
      <c r="AJ495" s="73" t="n">
        <v>216.96</v>
      </c>
      <c r="AK495" s="72" t="n">
        <v>159.27</v>
      </c>
      <c r="AL495" s="72" t="n">
        <v>22.25</v>
      </c>
      <c r="AM495" s="72" t="n">
        <v>202.22</v>
      </c>
      <c r="AN495" s="72" t="n">
        <v>325.91</v>
      </c>
      <c r="AO495" s="72" t="n"/>
      <c r="AP495" s="72" t="n">
        <v>-4.65</v>
      </c>
      <c r="AQ495" s="72" t="n">
        <v>34.37</v>
      </c>
      <c r="AR495" s="72" t="n"/>
      <c r="AS495" s="72" t="n">
        <v>199.84</v>
      </c>
      <c r="AT495" s="72" t="n">
        <v>319.19</v>
      </c>
      <c r="AU495" s="72" t="n"/>
      <c r="AV495" s="72" t="n">
        <v>26.64</v>
      </c>
      <c r="AW495" s="72" t="n">
        <v>6.72</v>
      </c>
      <c r="AX495" s="72" t="n">
        <v>7.73</v>
      </c>
      <c r="AY495" s="63" t="inlineStr">
        <is>
          <t>China Biotech ETF (HS biotech proxy)</t>
        </is>
      </c>
      <c r="AZ495" s="72" t="n">
        <v>399.21</v>
      </c>
      <c r="BA495" s="64" t="inlineStr">
        <is>
          <t>2026-08-31</t>
        </is>
      </c>
      <c r="BB495" s="65" t="n">
        <v>13.4</v>
      </c>
      <c r="BC495" s="68" t="n">
        <v>-99.09999999999999</v>
      </c>
      <c r="BD495" s="63" t="inlineStr">
        <is>
          <t>N</t>
        </is>
      </c>
      <c r="BE495" s="63" t="inlineStr">
        <is>
          <t>n/m</t>
        </is>
      </c>
      <c r="BF495" s="74" t="n"/>
      <c r="BG495" s="74" t="n"/>
      <c r="BH495" s="74" t="n">
        <v>335.7</v>
      </c>
      <c r="BI495" s="75">
        <f>IF('BBG Verify'!S495="","not filed — run on terminal",'BBG Verify'!S495)</f>
        <v/>
      </c>
      <c r="BJ495" s="76" t="inlineStr">
        <is>
          <t>N</t>
        </is>
      </c>
      <c r="BK495" s="77">
        <f>IF('BBG Verify'!K495="","not filed — run on terminal",'BBG Verify'!K495)</f>
        <v/>
      </c>
      <c r="BL495" s="63" t="inlineStr">
        <is>
          <t>N/A</t>
        </is>
      </c>
      <c r="BM495" s="63" t="inlineStr">
        <is>
          <t>N/A</t>
        </is>
      </c>
      <c r="BN495" s="63" t="inlineStr">
        <is>
          <t>N/A</t>
        </is>
      </c>
      <c r="BO495" s="63" t="inlineStr">
        <is>
          <t>N/A</t>
        </is>
      </c>
      <c r="BP495" s="63" t="inlineStr">
        <is>
          <t>N/A</t>
        </is>
      </c>
      <c r="BQ495" s="63" t="inlineStr">
        <is>
          <t>N/A</t>
        </is>
      </c>
      <c r="BR495" s="76" t="inlineStr">
        <is>
          <t>China International Capital Corporation Hong Kong Securities Limited; DBS Asia Capital Limited</t>
        </is>
      </c>
      <c r="BS495" s="63" t="inlineStr">
        <is>
          <t>China International Capital Corporation Hong Kong Securities Limited; DBS Asia Capital Limited</t>
        </is>
      </c>
      <c r="BT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U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V495" s="78">
        <f>HYPERLINK("https://www1.hkexnews.hk/listedco/listconews/sehk/2026/0622/2026062200041.pdf","prospectus")</f>
        <v/>
      </c>
      <c r="BW495" s="78">
        <f>HYPERLINK("https://www1.hkexnews.hk/listedco/listconews/sehk/2026/0629/2026062901959.pdf","allotment")</f>
        <v/>
      </c>
      <c r="BX495" s="63" t="n"/>
      <c r="BY495" s="76" t="n"/>
      <c r="BZ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72" t="n">
        <v>-3.5</v>
      </c>
      <c r="AC496" s="66" t="n">
        <v>10.81</v>
      </c>
      <c r="AD496" s="72" t="n">
        <v>-9.51</v>
      </c>
      <c r="AE496" s="63" t="inlineStr">
        <is>
          <t>Y</t>
        </is>
      </c>
      <c r="AF496" s="63" t="inlineStr">
        <is>
          <t>lapsed</t>
        </is>
      </c>
      <c r="AG496" s="63" t="inlineStr">
        <is>
          <t>2026-07-25</t>
        </is>
      </c>
      <c r="AH496" s="63" t="inlineStr">
        <is>
          <t>Chin a International Capital Corporation Hong Kong Securities Limited</t>
        </is>
      </c>
      <c r="AI496" s="63" t="inlineStr">
        <is>
          <t>Chin a</t>
        </is>
      </c>
      <c r="AJ496" s="73" t="n">
        <v>-12.68</v>
      </c>
      <c r="AK496" s="72" t="n">
        <v>-33.93</v>
      </c>
      <c r="AL496" s="72" t="n">
        <v>32.16</v>
      </c>
      <c r="AM496" s="72" t="n">
        <v>-62.41</v>
      </c>
      <c r="AN496" s="72" t="n">
        <v>24.82</v>
      </c>
      <c r="AO496" s="72" t="n"/>
      <c r="AP496" s="72" t="n">
        <v>-56.95</v>
      </c>
      <c r="AQ496" s="72" t="n">
        <v>42.95</v>
      </c>
      <c r="AR496" s="72" t="n"/>
      <c r="AS496" s="72" t="n">
        <v>-64.79000000000001</v>
      </c>
      <c r="AT496" s="72" t="n">
        <v>18.1</v>
      </c>
      <c r="AU496" s="72" t="n"/>
      <c r="AV496" s="72" t="n">
        <v>35.22</v>
      </c>
      <c r="AW496" s="72" t="n">
        <v>6.72</v>
      </c>
      <c r="AX496" s="72" t="n">
        <v>7.73</v>
      </c>
      <c r="AY496" s="63" t="inlineStr">
        <is>
          <t>China Biotech ETF (HS biotech proxy)</t>
        </is>
      </c>
      <c r="AZ496" s="72" t="n">
        <v>78.04000000000001</v>
      </c>
      <c r="BA496" s="64" t="inlineStr">
        <is>
          <t>2026-08-31</t>
        </is>
      </c>
      <c r="BB496" s="65" t="n">
        <v>242.8</v>
      </c>
      <c r="BC496" s="68" t="n">
        <v>104.3</v>
      </c>
      <c r="BD496" s="63" t="inlineStr">
        <is>
          <t>Y</t>
        </is>
      </c>
      <c r="BE496" s="74" t="n">
        <v>33.1</v>
      </c>
      <c r="BF496" s="74" t="n"/>
      <c r="BG496" s="74" t="n"/>
      <c r="BH496" s="74" t="n">
        <v>14.2</v>
      </c>
      <c r="BI496" s="75">
        <f>IF('BBG Verify'!S496="","not filed — run on terminal",'BBG Verify'!S496)</f>
        <v/>
      </c>
      <c r="BJ496" s="76" t="inlineStr">
        <is>
          <t>N</t>
        </is>
      </c>
      <c r="BK496" s="77">
        <f>IF('BBG Verify'!K496="","not filed — run on terminal",'BBG Verify'!K496)</f>
        <v/>
      </c>
      <c r="BL496" s="63" t="inlineStr">
        <is>
          <t>N/A</t>
        </is>
      </c>
      <c r="BM496" s="63" t="inlineStr">
        <is>
          <t>N/A</t>
        </is>
      </c>
      <c r="BN496" s="63" t="inlineStr">
        <is>
          <t>N/A</t>
        </is>
      </c>
      <c r="BO496" s="63" t="inlineStr">
        <is>
          <t>N/A</t>
        </is>
      </c>
      <c r="BP496" s="63" t="inlineStr">
        <is>
          <t>N/A</t>
        </is>
      </c>
      <c r="BQ496" s="63" t="inlineStr">
        <is>
          <t>N/A</t>
        </is>
      </c>
      <c r="BR496" s="76" t="inlineStr">
        <is>
          <t>China Merchants Securities (HK) Co., Limited</t>
        </is>
      </c>
      <c r="BS496" s="63" t="inlineStr">
        <is>
          <t>China International Capital Corporation Hong Kong Securities Limited; China Merchants Securities (HK) Company Limited</t>
        </is>
      </c>
      <c r="BT496" s="63" t="inlineStr">
        <is>
          <t>China Merchants Securities (HK) Co., Limited; Futu Securities International (Hong Kong) Limited; CMBC Securities Company Limited; Arta Asset Management Limited</t>
        </is>
      </c>
      <c r="BU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V496" s="78">
        <f>HYPERLINK("https://www1.hkexnews.hk/listedco/listconews/sehk/2026/0622/2026062200065.pdf","prospectus")</f>
        <v/>
      </c>
      <c r="BW496" s="78">
        <f>HYPERLINK("https://www1.hkexnews.hk/listedco/listconews/sehk/2026/0629/2026062902075.pdf","allotment")</f>
        <v/>
      </c>
      <c r="BX496" s="78">
        <f>HYPERLINK("https://www1.hkexnews.hk/listedco/listconews/sehk/2026/0726/2026072600027.pdf","stabilisation")</f>
        <v/>
      </c>
      <c r="BY496" s="76" t="n"/>
      <c r="BZ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72" t="n">
        <v>18.1</v>
      </c>
      <c r="AC497" s="66" t="n">
        <v>101</v>
      </c>
      <c r="AD497" s="72" t="n">
        <v>-27.71</v>
      </c>
      <c r="AE497" s="63" t="inlineStr">
        <is>
          <t>N</t>
        </is>
      </c>
      <c r="AF497" s="63" t="inlineStr">
        <is>
          <t>partial</t>
        </is>
      </c>
      <c r="AG497" s="63" t="inlineStr">
        <is>
          <t>2026-07-25</t>
        </is>
      </c>
      <c r="AH497" s="63" t="inlineStr">
        <is>
          <t>CMB International Securities Limited</t>
        </is>
      </c>
      <c r="AI497" s="63" t="inlineStr">
        <is>
          <t>CMB</t>
        </is>
      </c>
      <c r="AJ497" s="73" t="n">
        <v>-14.62</v>
      </c>
      <c r="AK497" s="72" t="n">
        <v>3.16</v>
      </c>
      <c r="AL497" s="72" t="n">
        <v>-17.24</v>
      </c>
      <c r="AM497" s="72" t="n">
        <v>21.87</v>
      </c>
      <c r="AN497" s="72" t="n">
        <v>-42.22</v>
      </c>
      <c r="AO497" s="72" t="n"/>
      <c r="AP497" s="72" t="n">
        <v>42.74</v>
      </c>
      <c r="AQ497" s="72" t="n">
        <v>-32.33</v>
      </c>
      <c r="AR497" s="72" t="n"/>
      <c r="AS497" s="72" t="n">
        <v>14.78</v>
      </c>
      <c r="AT497" s="72" t="n">
        <v>-55.12</v>
      </c>
      <c r="AU497" s="72" t="n"/>
      <c r="AV497" s="72" t="n">
        <v>-45.4</v>
      </c>
      <c r="AW497" s="72" t="n">
        <v>12.9</v>
      </c>
      <c r="AX497" s="72" t="n">
        <v>13.07</v>
      </c>
      <c r="AY497" s="63" t="inlineStr">
        <is>
          <t>Hang Seng Commerce &amp; Industry sub-index</t>
        </is>
      </c>
      <c r="AZ497" s="72" t="n">
        <v>-28.48</v>
      </c>
      <c r="BA497" s="64" t="inlineStr">
        <is>
          <t>2026-08-31</t>
        </is>
      </c>
      <c r="BB497" s="65" t="n">
        <v>287</v>
      </c>
      <c r="BC497" s="68" t="n">
        <v>-185.7</v>
      </c>
      <c r="BD497" s="63" t="inlineStr">
        <is>
          <t>N</t>
        </is>
      </c>
      <c r="BE497" s="63" t="inlineStr">
        <is>
          <t>n/m</t>
        </is>
      </c>
      <c r="BF497" s="74" t="n"/>
      <c r="BG497" s="74" t="n"/>
      <c r="BH497" s="74" t="n">
        <v>27.2</v>
      </c>
      <c r="BI497" s="75">
        <f>IF('BBG Verify'!S497="","not filed — run on terminal",'BBG Verify'!S497)</f>
        <v/>
      </c>
      <c r="BJ497" s="76" t="inlineStr">
        <is>
          <t>N</t>
        </is>
      </c>
      <c r="BK497" s="77">
        <f>IF('BBG Verify'!K497="","not filed — run on terminal",'BBG Verify'!K497)</f>
        <v/>
      </c>
      <c r="BL497" s="63" t="inlineStr">
        <is>
          <t>N/A</t>
        </is>
      </c>
      <c r="BM497" s="63" t="inlineStr">
        <is>
          <t>N/A</t>
        </is>
      </c>
      <c r="BN497" s="63" t="inlineStr">
        <is>
          <t>N/A</t>
        </is>
      </c>
      <c r="BO497" s="63" t="inlineStr">
        <is>
          <t>N/A</t>
        </is>
      </c>
      <c r="BP497" s="63" t="inlineStr">
        <is>
          <t>N/A</t>
        </is>
      </c>
      <c r="BQ497" s="63" t="inlineStr">
        <is>
          <t>N/A</t>
        </is>
      </c>
      <c r="BR497" s="76" t="inlineStr">
        <is>
          <t>CMB International Capital Limited</t>
        </is>
      </c>
      <c r="BS497" s="63" t="inlineStr">
        <is>
          <t>CMB International Capital Limited</t>
        </is>
      </c>
      <c r="BT497" s="63" t="inlineStr">
        <is>
          <t>CMB International Capital Limited</t>
        </is>
      </c>
      <c r="BU497" s="63" t="inlineStr">
        <is>
          <t>CMB International Capital Limited</t>
        </is>
      </c>
      <c r="BV497" s="78">
        <f>HYPERLINK("https://www1.hkexnews.hk/listedco/listconews/sehk/2026/0622/2026062200047.pdf","prospectus")</f>
        <v/>
      </c>
      <c r="BW497" s="78">
        <f>HYPERLINK("https://www1.hkexnews.hk/listedco/listconews/sehk/2026/0629/2026062902089.pdf","allotment")</f>
        <v/>
      </c>
      <c r="BX497" s="78">
        <f>HYPERLINK("https://www1.hkexnews.hk/listedco/listconews/sehk/2026/0726/2026072600013.pdf","stabilisation")</f>
        <v/>
      </c>
      <c r="BY497" s="76" t="n"/>
      <c r="BZ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72" t="n">
        <v>37.1</v>
      </c>
      <c r="AC498" s="66" t="n">
        <v>103.5</v>
      </c>
      <c r="AD498" s="72" t="n">
        <v>10.13</v>
      </c>
      <c r="AE498" s="63" t="inlineStr">
        <is>
          <t>Y</t>
        </is>
      </c>
      <c r="AF498" s="63" t="inlineStr">
        <is>
          <t>lapsed</t>
        </is>
      </c>
      <c r="AG498" s="63" t="inlineStr">
        <is>
          <t>2026-07-25</t>
        </is>
      </c>
      <c r="AH498" s="63" t="inlineStr">
        <is>
          <t>CL SA Limited</t>
        </is>
      </c>
      <c r="AI498" s="63" t="inlineStr">
        <is>
          <t>CL</t>
        </is>
      </c>
      <c r="AJ498" s="73" t="n">
        <v>50.99</v>
      </c>
      <c r="AK498" s="72" t="n">
        <v>36.42</v>
      </c>
      <c r="AL498" s="72" t="n">
        <v>10.68</v>
      </c>
      <c r="AM498" s="72" t="n">
        <v>3.97</v>
      </c>
      <c r="AN498" s="72" t="n">
        <v>-22.72</v>
      </c>
      <c r="AO498" s="72" t="n"/>
      <c r="AP498" s="72" t="n">
        <v>-31.14</v>
      </c>
      <c r="AQ498" s="72" t="n">
        <v>-48.82</v>
      </c>
      <c r="AR498" s="72" t="n"/>
      <c r="AS498" s="72" t="n">
        <v>-3.12</v>
      </c>
      <c r="AT498" s="72" t="n">
        <v>-35.62</v>
      </c>
      <c r="AU498" s="72" t="n"/>
      <c r="AV498" s="72" t="n">
        <v>-61.89</v>
      </c>
      <c r="AW498" s="72" t="n">
        <v>12.9</v>
      </c>
      <c r="AX498" s="72" t="n">
        <v>13.07</v>
      </c>
      <c r="AY498" s="63" t="inlineStr">
        <is>
          <t>Hang Seng Commerce &amp; Industry sub-index</t>
        </is>
      </c>
      <c r="AZ498" s="72" t="n">
        <v>-3.51</v>
      </c>
      <c r="BA498" s="64" t="inlineStr">
        <is>
          <t>2026-08-31</t>
        </is>
      </c>
      <c r="BB498" s="65" t="n">
        <v>845.9</v>
      </c>
      <c r="BC498" s="68" t="n">
        <v>399.7</v>
      </c>
      <c r="BD498" s="63" t="inlineStr">
        <is>
          <t>Y</t>
        </is>
      </c>
      <c r="BE498" s="74" t="n">
        <v>20.6</v>
      </c>
      <c r="BF498" s="74" t="n"/>
      <c r="BG498" s="74" t="n"/>
      <c r="BH498" s="74" t="n">
        <v>9.699999999999999</v>
      </c>
      <c r="BI498" s="75">
        <f>IF('BBG Verify'!S498="","not filed — run on terminal",'BBG Verify'!S498)</f>
        <v/>
      </c>
      <c r="BJ498" s="76" t="inlineStr">
        <is>
          <t>N</t>
        </is>
      </c>
      <c r="BK498" s="77">
        <f>IF('BBG Verify'!K498="","not filed — run on terminal",'BBG Verify'!K498)</f>
        <v/>
      </c>
      <c r="BL498" s="63" t="inlineStr">
        <is>
          <t>N/A</t>
        </is>
      </c>
      <c r="BM498" s="63" t="inlineStr">
        <is>
          <t>N/A</t>
        </is>
      </c>
      <c r="BN498" s="63" t="inlineStr">
        <is>
          <t>N/A</t>
        </is>
      </c>
      <c r="BO498" s="63" t="inlineStr">
        <is>
          <t>N/A</t>
        </is>
      </c>
      <c r="BP498" s="63" t="inlineStr">
        <is>
          <t>N/A</t>
        </is>
      </c>
      <c r="BQ498" s="63" t="inlineStr">
        <is>
          <t>N/A</t>
        </is>
      </c>
      <c r="BR498" s="76" t="inlineStr">
        <is>
          <t>CITIC Securities (Hong Kong) Limited; China Securities (Internat ional) Corporate Finance Company Limited; CLSA Limited</t>
        </is>
      </c>
      <c r="BS498" s="63" t="inlineStr">
        <is>
          <t>CITIC Securities (Hong Kong) Limited; China Securities (International) Corporate Finance Company Limited</t>
        </is>
      </c>
      <c r="BT498" s="63" t="inlineStr">
        <is>
          <t>China Industrial Securities International Capital Limited; CLSA Limited; China Securities (International) Corporate Finance Company Limited; Huafu International Securities Limited</t>
        </is>
      </c>
      <c r="BU498" s="63" t="inlineStr">
        <is>
          <t>China Industrial Securities International Capital Limited; CLSA Limited; China Securities (International) Corporate Finance Company Limited; Huafu International Securities Limited</t>
        </is>
      </c>
      <c r="BV498" s="78">
        <f>HYPERLINK("https://www1.hkexnews.hk/listedco/listconews/sehk/2026/0622/2026062200025.pdf","prospectus")</f>
        <v/>
      </c>
      <c r="BW498" s="78">
        <f>HYPERLINK("https://www1.hkexnews.hk/listedco/listconews/sehk/2026/0629/2026062902679.pdf","allotment")</f>
        <v/>
      </c>
      <c r="BX498" s="78">
        <f>HYPERLINK("https://www1.hkexnews.hk/listedco/listconews/sehk/2026/0726/2026072600021.pdf","stabilisation")</f>
        <v/>
      </c>
      <c r="BY498" s="76" t="n"/>
      <c r="BZ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72" t="n">
        <v>-4.8</v>
      </c>
      <c r="AC499" s="66" t="n">
        <v>94.55</v>
      </c>
      <c r="AD499" s="72" t="n">
        <v>21.52</v>
      </c>
      <c r="AE499" s="63" t="inlineStr">
        <is>
          <t>N</t>
        </is>
      </c>
      <c r="AF499" s="63" t="n"/>
      <c r="AG499" s="63" t="n"/>
      <c r="AH499" s="63" t="inlineStr">
        <is>
          <t>China International Capital Corporation Hong Kong Securities Limited</t>
        </is>
      </c>
      <c r="AI499" s="63" t="inlineStr">
        <is>
          <t>China International</t>
        </is>
      </c>
      <c r="AJ499" s="73" t="n">
        <v>15.69</v>
      </c>
      <c r="AK499" s="72" t="n">
        <v>-0.02</v>
      </c>
      <c r="AL499" s="72" t="n">
        <v>15.71</v>
      </c>
      <c r="AM499" s="72" t="n">
        <v>1.29</v>
      </c>
      <c r="AN499" s="72" t="n">
        <v>10.55</v>
      </c>
      <c r="AO499" s="72" t="n"/>
      <c r="AP499" s="72" t="n">
        <v>-12.45</v>
      </c>
      <c r="AQ499" s="72" t="n">
        <v>-4.44</v>
      </c>
      <c r="AR499" s="72" t="n"/>
      <c r="AS499" s="72" t="n">
        <v>-4.4</v>
      </c>
      <c r="AT499" s="72" t="n">
        <v>2.81</v>
      </c>
      <c r="AU499" s="72" t="n"/>
      <c r="AV499" s="72" t="n">
        <v>-12.82</v>
      </c>
      <c r="AW499" s="72" t="n">
        <v>7.74</v>
      </c>
      <c r="AX499" s="72" t="n">
        <v>8.380000000000001</v>
      </c>
      <c r="AY499" s="63" t="inlineStr">
        <is>
          <t>HSTECH (Hang Seng TECH ETF)</t>
        </is>
      </c>
      <c r="AZ499" s="72" t="n">
        <v>20.92</v>
      </c>
      <c r="BA499" s="64" t="inlineStr">
        <is>
          <t>2026-08-31</t>
        </is>
      </c>
      <c r="BB499" s="65" t="n">
        <v>33565.8</v>
      </c>
      <c r="BC499" s="68" t="n">
        <v>2799.6</v>
      </c>
      <c r="BD499" s="63" t="inlineStr">
        <is>
          <t>Y</t>
        </is>
      </c>
      <c r="BE499" s="74" t="n">
        <v>20.7</v>
      </c>
      <c r="BF499" s="74" t="n"/>
      <c r="BG499" s="74" t="n"/>
      <c r="BH499" s="74" t="n">
        <v>1.7</v>
      </c>
      <c r="BI499" s="75">
        <f>IF('BBG Verify'!S499="","not filed — run on terminal",'BBG Verify'!S499)</f>
        <v/>
      </c>
      <c r="BJ499" s="76" t="inlineStr">
        <is>
          <t>Y</t>
        </is>
      </c>
      <c r="BK499" s="63" t="inlineStr">
        <is>
          <t>300866.SZ</t>
        </is>
      </c>
      <c r="BL499" s="72" t="n">
        <v>25.2</v>
      </c>
      <c r="BM499" s="66" t="n">
        <v>124.3512</v>
      </c>
      <c r="BN499" s="80" t="n">
        <v>0.2206</v>
      </c>
      <c r="BO499" s="68" t="n">
        <v>86303.89999999999</v>
      </c>
      <c r="BP499" s="75">
        <f>IF('BBG Verify'!Q499="","run on terminal",'BBG Verify'!Q499)</f>
        <v/>
      </c>
      <c r="BQ499" s="75">
        <f>IF('BBG Verify'!R499="","run on terminal",'BBG Verify'!R499)</f>
        <v/>
      </c>
      <c r="BR499" s="76" t="inlineStr">
        <is>
          <t>China International Capital Corporation Hong Kong Securities Limited; Goldman Sachs (Asia) L.L.C.; J.P. Morgan Securities (Far East) Limited</t>
        </is>
      </c>
      <c r="BS499" s="63" t="inlineStr">
        <is>
          <t>China International Capital Corporation Hong Kong Securities Limited; J.P. Morgan Securities (Far East) Limited; Goldman Sachs (Asia) L.L.C.</t>
        </is>
      </c>
      <c r="BT499" s="63" t="inlineStr">
        <is>
          <t>China International Capital Corporation Hong Kong Securities Limited; Goldman Sachs (Asia) L.L.C.; J.P. Morgan Securities (Asia Pacific) Limited</t>
        </is>
      </c>
      <c r="BU499" s="63" t="inlineStr">
        <is>
          <t>China International Capital Corporation Hong Kong Securities Limited; Goldman Sachs (Asia) L.L.C.; J.P. Morgan Securities (Asia Pacific) Limited</t>
        </is>
      </c>
      <c r="BV499" s="63" t="n"/>
      <c r="BW499" s="78">
        <f>HYPERLINK("https://www1.hkexnews.hk/listedco/listconews/sehk/2026/0630/2026063003481.pdf","allotment")</f>
        <v/>
      </c>
      <c r="BX499" s="63" t="n"/>
      <c r="BY499" s="76" t="n"/>
      <c r="BZ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72" t="n">
        <v>-15.6</v>
      </c>
      <c r="AC500" s="66" t="n">
        <v>4.64</v>
      </c>
      <c r="AD500" s="72" t="n">
        <v>-27.83</v>
      </c>
      <c r="AE500" s="63" t="inlineStr">
        <is>
          <t>Y</t>
        </is>
      </c>
      <c r="AF500" s="63" t="inlineStr">
        <is>
          <t>lapsed</t>
        </is>
      </c>
      <c r="AG500" s="63" t="inlineStr">
        <is>
          <t>2026-08-01</t>
        </is>
      </c>
      <c r="AH500" s="63" t="inlineStr">
        <is>
          <t>China International Capital Corporation Hong Kong Securities Limited</t>
        </is>
      </c>
      <c r="AI500" s="63" t="inlineStr">
        <is>
          <t>China International</t>
        </is>
      </c>
      <c r="AJ500" s="73" t="n">
        <v>-39.09</v>
      </c>
      <c r="AK500" s="72" t="n">
        <v>-13.45</v>
      </c>
      <c r="AL500" s="72" t="n">
        <v>-29.62</v>
      </c>
      <c r="AM500" s="72" t="n">
        <v>-44.73</v>
      </c>
      <c r="AN500" s="72" t="n">
        <v>-49.09</v>
      </c>
      <c r="AO500" s="72" t="n"/>
      <c r="AP500" s="72" t="n">
        <v>-9.26</v>
      </c>
      <c r="AQ500" s="72" t="n">
        <v>-16.42</v>
      </c>
      <c r="AR500" s="72" t="n"/>
      <c r="AS500" s="72" t="n">
        <v>-43.95</v>
      </c>
      <c r="AT500" s="72" t="n">
        <v>-50.53</v>
      </c>
      <c r="AU500" s="72" t="n"/>
      <c r="AV500" s="72" t="n">
        <v>-21.75</v>
      </c>
      <c r="AW500" s="72" t="n">
        <v>1.44</v>
      </c>
      <c r="AX500" s="72" t="n">
        <v>5.33</v>
      </c>
      <c r="AY500" s="63" t="inlineStr">
        <is>
          <t>China Biotech ETF (HS biotech proxy)</t>
        </is>
      </c>
      <c r="AZ500" s="72" t="n">
        <v>-53.36</v>
      </c>
      <c r="BA500" s="64" t="inlineStr">
        <is>
          <t>2026-08-31</t>
        </is>
      </c>
      <c r="BB500" s="65" t="n">
        <v>1288.4</v>
      </c>
      <c r="BC500" s="68" t="n">
        <v>37.1</v>
      </c>
      <c r="BD500" s="63" t="inlineStr">
        <is>
          <t>Y</t>
        </is>
      </c>
      <c r="BE500" s="74" t="n">
        <v>60.9</v>
      </c>
      <c r="BF500" s="74" t="n"/>
      <c r="BG500" s="74" t="n"/>
      <c r="BH500" s="74" t="n">
        <v>1.8</v>
      </c>
      <c r="BI500" s="75">
        <f>IF('BBG Verify'!S500="","not filed — run on terminal",'BBG Verify'!S500)</f>
        <v/>
      </c>
      <c r="BJ500" s="76" t="inlineStr">
        <is>
          <t>N</t>
        </is>
      </c>
      <c r="BK500" s="77">
        <f>IF('BBG Verify'!K500="","not filed — run on terminal",'BBG Verify'!K500)</f>
        <v/>
      </c>
      <c r="BL500" s="63" t="inlineStr">
        <is>
          <t>N/A</t>
        </is>
      </c>
      <c r="BM500" s="63" t="inlineStr">
        <is>
          <t>N/A</t>
        </is>
      </c>
      <c r="BN500" s="63" t="inlineStr">
        <is>
          <t>N/A</t>
        </is>
      </c>
      <c r="BO500" s="63" t="inlineStr">
        <is>
          <t>N/A</t>
        </is>
      </c>
      <c r="BP500" s="63" t="inlineStr">
        <is>
          <t>N/A</t>
        </is>
      </c>
      <c r="BQ500" s="63" t="inlineStr">
        <is>
          <t>N/A</t>
        </is>
      </c>
      <c r="BR500" s="76" t="n"/>
      <c r="BS500" s="63" t="inlineStr">
        <is>
          <t>China International Capital Corporation Hong Kong Securities Limited</t>
        </is>
      </c>
      <c r="BT500" s="63" t="inlineStr">
        <is>
          <t>China International Capital Corporation Hong Kong Securities Limited; ICBC International Securities Limited; Kong GF Securities (Hong Kong) Brokerage Limited; Chai, Hong Kong ABCI Capital Limited; West Bull Securities Limited; Patrons Securities Limited</t>
        </is>
      </c>
      <c r="BU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V500" s="78">
        <f>HYPERLINK("https://www1.hkexnews.hk/listedco/listconews/sehk/2026/0626/2026062600021.pdf","prospectus")</f>
        <v/>
      </c>
      <c r="BW500" s="78">
        <f>HYPERLINK("https://www1.hkexnews.hk/listedco/listconews/sehk/2026/0706/2026070602117.pdf","allotment")</f>
        <v/>
      </c>
      <c r="BX500" s="78">
        <f>HYPERLINK("https://www1.hkexnews.hk/listedco/listconews/sehk/2026/0803/2026080301376.pdf","stabilisation")</f>
        <v/>
      </c>
      <c r="BY500" s="76" t="n"/>
      <c r="BZ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72" t="n">
        <v>-16.9</v>
      </c>
      <c r="AC501" s="66" t="n">
        <v>17.99</v>
      </c>
      <c r="AD501" s="72" t="n">
        <v>16.67</v>
      </c>
      <c r="AE501" s="63" t="inlineStr">
        <is>
          <t>Y</t>
        </is>
      </c>
      <c r="AF501" s="63" t="n"/>
      <c r="AG501" s="63" t="n"/>
      <c r="AH501" s="63" t="n"/>
      <c r="AI501" s="63" t="n"/>
      <c r="AJ501" s="73" t="n">
        <v>-3.05</v>
      </c>
      <c r="AK501" s="72" t="n">
        <v>-16.9</v>
      </c>
      <c r="AL501" s="72" t="n">
        <v>16.67</v>
      </c>
      <c r="AM501" s="72" t="n">
        <v>31.12</v>
      </c>
      <c r="AN501" s="72" t="n">
        <v>53.74</v>
      </c>
      <c r="AO501" s="72" t="n"/>
      <c r="AP501" s="72" t="n">
        <v>35.24</v>
      </c>
      <c r="AQ501" s="72" t="n">
        <v>58.58</v>
      </c>
      <c r="AR501" s="72" t="n"/>
      <c r="AS501" s="72" t="n">
        <v>25.91</v>
      </c>
      <c r="AT501" s="72" t="n">
        <v>46.59</v>
      </c>
      <c r="AU501" s="72" t="n"/>
      <c r="AV501" s="72" t="n">
        <v>56.55</v>
      </c>
      <c r="AW501" s="72" t="n">
        <v>7.15</v>
      </c>
      <c r="AX501" s="72" t="n">
        <v>2.03</v>
      </c>
      <c r="AY501" s="63" t="inlineStr">
        <is>
          <t>HSTECH (Hang Seng TECH ETF)</t>
        </is>
      </c>
      <c r="AZ501" s="72" t="n">
        <v>-6.28</v>
      </c>
      <c r="BA501" s="64" t="inlineStr">
        <is>
          <t>2026-08-31</t>
        </is>
      </c>
      <c r="BB501" s="65" t="n">
        <v>487.3</v>
      </c>
      <c r="BC501" s="68" t="n">
        <v>-75</v>
      </c>
      <c r="BD501" s="63" t="inlineStr">
        <is>
          <t>N</t>
        </is>
      </c>
      <c r="BE501" s="63" t="inlineStr">
        <is>
          <t>n/m</t>
        </is>
      </c>
      <c r="BF501" s="74" t="n"/>
      <c r="BG501" s="74" t="n"/>
      <c r="BH501" s="74" t="n">
        <v>13.6</v>
      </c>
      <c r="BI501" s="75">
        <f>IF('BBG Verify'!S501="","not filed — run on terminal",'BBG Verify'!S501)</f>
        <v/>
      </c>
      <c r="BJ501" s="76" t="inlineStr">
        <is>
          <t>N</t>
        </is>
      </c>
      <c r="BK501" s="77">
        <f>IF('BBG Verify'!K501="","not filed — run on terminal",'BBG Verify'!K501)</f>
        <v/>
      </c>
      <c r="BL501" s="63" t="inlineStr">
        <is>
          <t>N/A</t>
        </is>
      </c>
      <c r="BM501" s="63" t="inlineStr">
        <is>
          <t>N/A</t>
        </is>
      </c>
      <c r="BN501" s="63" t="inlineStr">
        <is>
          <t>N/A</t>
        </is>
      </c>
      <c r="BO501" s="63" t="inlineStr">
        <is>
          <t>N/A</t>
        </is>
      </c>
      <c r="BP501" s="63" t="inlineStr">
        <is>
          <t>N/A</t>
        </is>
      </c>
      <c r="BQ501" s="63" t="inlineStr">
        <is>
          <t>N/A</t>
        </is>
      </c>
      <c r="BR501" s="76" t="inlineStr">
        <is>
          <t>and Joint Sponsor-OCs Huatai Financial Holdings (Hong Kong) Limited; CCB International Capital Limited; ABCI Capital Limited</t>
        </is>
      </c>
      <c r="BS501" s="63" t="inlineStr">
        <is>
          <t>CCB International Capital Limited; Huatai Financial Holdings (Hong Kong) Limited; ABCI Capital Limited</t>
        </is>
      </c>
      <c r="BT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U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V501" s="78">
        <f>HYPERLINK("https://www1.hkexnews.hk/listedco/listconews/sehk/2026/0629/2026062900145.pdf","prospectus")</f>
        <v/>
      </c>
      <c r="BW501" s="78">
        <f>HYPERLINK("https://www1.hkexnews.hk/listedco/listconews/sehk/2026/0707/2026070701895.pdf","allotment")</f>
        <v/>
      </c>
      <c r="BX501" s="63" t="n"/>
      <c r="BY501" s="76" t="n"/>
      <c r="BZ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72" t="n"/>
      <c r="AC502" s="66" t="n"/>
      <c r="AD502" s="72" t="n"/>
      <c r="AE502" s="63" t="n"/>
      <c r="AF502" s="63" t="inlineStr">
        <is>
          <t>lapsed (no over-allocation)</t>
        </is>
      </c>
      <c r="AG502" s="63" t="n"/>
      <c r="AH502" s="63" t="inlineStr">
        <is>
          <t>Sinolink Securities</t>
        </is>
      </c>
      <c r="AI502" s="63" t="inlineStr">
        <is>
          <t>Sinolink</t>
        </is>
      </c>
      <c r="AJ502" s="73" t="n">
        <v>5.06</v>
      </c>
      <c r="AK502" s="72" t="n">
        <v>7.91</v>
      </c>
      <c r="AL502" s="72" t="n">
        <v>-2.64</v>
      </c>
      <c r="AM502" s="72" t="n">
        <v>33.71</v>
      </c>
      <c r="AN502" s="72" t="n">
        <v>74.89</v>
      </c>
      <c r="AO502" s="72" t="n"/>
      <c r="AP502" s="72" t="n">
        <v>27.27</v>
      </c>
      <c r="AQ502" s="72" t="n">
        <v>66.47</v>
      </c>
      <c r="AR502" s="72" t="n"/>
      <c r="AS502" s="72" t="n">
        <v>28.5</v>
      </c>
      <c r="AT502" s="72" t="n">
        <v>67.73999999999999</v>
      </c>
      <c r="AU502" s="72" t="n"/>
      <c r="AV502" s="72" t="n">
        <v>64.44</v>
      </c>
      <c r="AW502" s="72" t="n">
        <v>7.15</v>
      </c>
      <c r="AX502" s="72" t="n">
        <v>2.03</v>
      </c>
      <c r="AY502" s="63" t="inlineStr">
        <is>
          <t>HSTECH (Hang Seng TECH ETF)</t>
        </is>
      </c>
      <c r="AZ502" s="72" t="n">
        <v>27.45</v>
      </c>
      <c r="BA502" s="64" t="inlineStr">
        <is>
          <t>2026-08-31</t>
        </is>
      </c>
      <c r="BB502" s="65" t="n">
        <v>342.3</v>
      </c>
      <c r="BC502" s="68" t="n">
        <v>-260.8</v>
      </c>
      <c r="BD502" s="63" t="inlineStr">
        <is>
          <t>N</t>
        </is>
      </c>
      <c r="BE502" s="63" t="inlineStr">
        <is>
          <t>n/m</t>
        </is>
      </c>
      <c r="BF502" s="74" t="n"/>
      <c r="BG502" s="74" t="n"/>
      <c r="BH502" s="74" t="n">
        <v>28.1</v>
      </c>
      <c r="BI502" s="75">
        <f>IF('BBG Verify'!S502="","not filed — run on terminal",'BBG Verify'!S502)</f>
        <v/>
      </c>
      <c r="BJ502" s="76" t="inlineStr">
        <is>
          <t>N</t>
        </is>
      </c>
      <c r="BK502" s="77">
        <f>IF('BBG Verify'!K502="","not filed — run on terminal",'BBG Verify'!K502)</f>
        <v/>
      </c>
      <c r="BL502" s="63" t="inlineStr">
        <is>
          <t>N/A</t>
        </is>
      </c>
      <c r="BM502" s="63" t="inlineStr">
        <is>
          <t>N/A</t>
        </is>
      </c>
      <c r="BN502" s="63" t="inlineStr">
        <is>
          <t>N/A</t>
        </is>
      </c>
      <c r="BO502" s="63" t="inlineStr">
        <is>
          <t>N/A</t>
        </is>
      </c>
      <c r="BP502" s="63" t="inlineStr">
        <is>
          <t>N/A</t>
        </is>
      </c>
      <c r="BQ502" s="63" t="inlineStr">
        <is>
          <t>N/A</t>
        </is>
      </c>
      <c r="BR502" s="76" t="inlineStr">
        <is>
          <t>Sinolink Securities (Hong Kong) Company Limited; BOCI Asia Limited</t>
        </is>
      </c>
      <c r="BS502" s="63" t="inlineStr">
        <is>
          <t>BOCI Asia Limited; Sinolink Securities (Hong Kong) Company Limited</t>
        </is>
      </c>
      <c r="BT502" s="63" t="inlineStr">
        <is>
          <t>Fortune (HK) Securities Limited; Futu Securities International (Hong Kong) Limited; Guosen Securities (HK) Capital Company Limited; Patrons Securities Limited; Tiger Brokers (HK) Global Limited; TradeGo Markets Limited; Yue Xiu Securities Company Limited</t>
        </is>
      </c>
      <c r="BU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V502" s="78">
        <f>HYPERLINK("https://www1.hkexnews.hk/listedco/listconews/sehk/2026/0629/2026062900049.pdf","prospectus")</f>
        <v/>
      </c>
      <c r="BW502" s="78">
        <f>HYPERLINK("https://www1.hkexnews.hk/listedco/listconews/sehk/2026/0707/2026070701913.pdf","allotment")</f>
        <v/>
      </c>
      <c r="BX502" s="78">
        <f>HYPERLINK("https://www1.hkexnews.hk/listedco/listconews/sehk/2026/0803/2026080300057.pdf","stabilisation")</f>
        <v/>
      </c>
      <c r="BY502" s="76" t="n"/>
      <c r="BZ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72" t="n">
        <v>-0.3</v>
      </c>
      <c r="AC503" s="66" t="n">
        <v>294.6</v>
      </c>
      <c r="AD503" s="72" t="n">
        <v>0.3</v>
      </c>
      <c r="AE503" s="63" t="inlineStr">
        <is>
          <t>Y</t>
        </is>
      </c>
      <c r="AF503" s="63" t="n"/>
      <c r="AG503" s="63" t="inlineStr">
        <is>
          <t>2026-08-02</t>
        </is>
      </c>
      <c r="AH503" s="63" t="inlineStr">
        <is>
          <t>China International Capital Corporation Hong Kong Securities Limited</t>
        </is>
      </c>
      <c r="AI503" s="63" t="inlineStr">
        <is>
          <t>China International</t>
        </is>
      </c>
      <c r="AJ503" s="73" t="n">
        <v>0</v>
      </c>
      <c r="AK503" s="72" t="n">
        <v>1.83</v>
      </c>
      <c r="AL503" s="72" t="n">
        <v>-1.8</v>
      </c>
      <c r="AM503" s="72" t="n">
        <v>0.27</v>
      </c>
      <c r="AN503" s="72" t="n">
        <v>-10.08</v>
      </c>
      <c r="AO503" s="72" t="n"/>
      <c r="AP503" s="72" t="n">
        <v>0.27</v>
      </c>
      <c r="AQ503" s="72" t="n">
        <v>-10.08</v>
      </c>
      <c r="AR503" s="72" t="n"/>
      <c r="AS503" s="72" t="n">
        <v>-4.94</v>
      </c>
      <c r="AT503" s="72" t="n">
        <v>-17.23</v>
      </c>
      <c r="AU503" s="72" t="n"/>
      <c r="AV503" s="72" t="n">
        <v>-12.11</v>
      </c>
      <c r="AW503" s="72" t="n">
        <v>7.15</v>
      </c>
      <c r="AX503" s="72" t="n">
        <v>2.03</v>
      </c>
      <c r="AY503" s="63" t="inlineStr">
        <is>
          <t>HSTECH (Hang Seng TECH ETF)</t>
        </is>
      </c>
      <c r="AZ503" s="72" t="n">
        <v>-12.72</v>
      </c>
      <c r="BA503" s="64" t="inlineStr">
        <is>
          <t>2026-08-31</t>
        </is>
      </c>
      <c r="BB503" s="65" t="n">
        <v>2653.8</v>
      </c>
      <c r="BC503" s="68" t="n">
        <v>-3803.7</v>
      </c>
      <c r="BD503" s="63" t="inlineStr">
        <is>
          <t>N</t>
        </is>
      </c>
      <c r="BE503" s="63" t="inlineStr">
        <is>
          <t>n/m</t>
        </is>
      </c>
      <c r="BF503" s="74" t="n"/>
      <c r="BG503" s="74" t="n"/>
      <c r="BH503" s="74" t="n">
        <v>26.2</v>
      </c>
      <c r="BI503" s="75">
        <f>IF('BBG Verify'!S503="","not filed — run on terminal",'BBG Verify'!S503)</f>
        <v/>
      </c>
      <c r="BJ503" s="76" t="inlineStr">
        <is>
          <t>N</t>
        </is>
      </c>
      <c r="BK503" s="77">
        <f>IF('BBG Verify'!K503="","not filed — run on terminal",'BBG Verify'!K503)</f>
        <v/>
      </c>
      <c r="BL503" s="63" t="inlineStr">
        <is>
          <t>N/A</t>
        </is>
      </c>
      <c r="BM503" s="63" t="inlineStr">
        <is>
          <t>N/A</t>
        </is>
      </c>
      <c r="BN503" s="63" t="inlineStr">
        <is>
          <t>N/A</t>
        </is>
      </c>
      <c r="BO503" s="63" t="inlineStr">
        <is>
          <t>N/A</t>
        </is>
      </c>
      <c r="BP503" s="63" t="inlineStr">
        <is>
          <t>N/A</t>
        </is>
      </c>
      <c r="BQ503" s="63" t="inlineStr">
        <is>
          <t>N/A</t>
        </is>
      </c>
      <c r="BR503" s="76" t="inlineStr">
        <is>
          <t>CICC; Deutsche Bank</t>
        </is>
      </c>
      <c r="BS503" s="63" t="inlineStr">
        <is>
          <t>China International Capital Corporation Hong Kong Securities Limited; Deutsche Securities Asia Limited</t>
        </is>
      </c>
      <c r="BT503" s="63" t="inlineStr">
        <is>
          <t>China International Capital Corporation Hong Kong Securities Limited; Deutsche Bank AG, Hong Kong Branch; Futu Securities International (Hong Kong) Limited; J.P. Morgan Securities (Asia Pacific) Limited; Tiger Brokers (HK) Global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n"/>
      <c r="BW503" s="78">
        <f>HYPERLINK("https://www1.hkexnews.hk/listedco/listconews/sehk/2026/0707/2026070701963.pdf","allotment")</f>
        <v/>
      </c>
      <c r="BX503" s="63" t="n"/>
      <c r="BY503" s="76" t="n"/>
      <c r="BZ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72" t="n">
        <v>4.1</v>
      </c>
      <c r="AC504" s="66" t="n">
        <v>91.5</v>
      </c>
      <c r="AD504" s="72" t="n">
        <v>5.66</v>
      </c>
      <c r="AE504" s="63" t="inlineStr">
        <is>
          <t>Y</t>
        </is>
      </c>
      <c r="AF504" s="63" t="inlineStr">
        <is>
          <t>partial</t>
        </is>
      </c>
      <c r="AG504" s="63" t="inlineStr">
        <is>
          <t>2026-08-02</t>
        </is>
      </c>
      <c r="AH504" s="63" t="inlineStr">
        <is>
          <t>Haitong International Securities Company Limited</t>
        </is>
      </c>
      <c r="AI504" s="63" t="inlineStr">
        <is>
          <t>Haitong</t>
        </is>
      </c>
      <c r="AJ504" s="73" t="n">
        <v>9.99</v>
      </c>
      <c r="AK504" s="72" t="n">
        <v>3.5</v>
      </c>
      <c r="AL504" s="72" t="n">
        <v>6.27</v>
      </c>
      <c r="AM504" s="72" t="n">
        <v>2.59</v>
      </c>
      <c r="AN504" s="72" t="n">
        <v>-5.6</v>
      </c>
      <c r="AO504" s="72" t="n"/>
      <c r="AP504" s="72" t="n">
        <v>-6.73</v>
      </c>
      <c r="AQ504" s="72" t="n">
        <v>-14.17</v>
      </c>
      <c r="AR504" s="72" t="n"/>
      <c r="AS504" s="72" t="n">
        <v>-2.62</v>
      </c>
      <c r="AT504" s="72" t="n">
        <v>-12.75</v>
      </c>
      <c r="AU504" s="72" t="n"/>
      <c r="AV504" s="72" t="n">
        <v>-16.2</v>
      </c>
      <c r="AW504" s="72" t="n">
        <v>7.15</v>
      </c>
      <c r="AX504" s="72" t="n">
        <v>2.03</v>
      </c>
      <c r="AY504" s="63" t="inlineStr">
        <is>
          <t>HSTECH (Hang Seng TECH ETF)</t>
        </is>
      </c>
      <c r="AZ504" s="72" t="n">
        <v>-13.96</v>
      </c>
      <c r="BA504" s="64" t="inlineStr">
        <is>
          <t>2026-08-31</t>
        </is>
      </c>
      <c r="BB504" s="65" t="n">
        <v>1578.8</v>
      </c>
      <c r="BC504" s="68" t="n">
        <v>-567.1</v>
      </c>
      <c r="BD504" s="63" t="inlineStr">
        <is>
          <t>N</t>
        </is>
      </c>
      <c r="BE504" s="63" t="inlineStr">
        <is>
          <t>n/m</t>
        </is>
      </c>
      <c r="BF504" s="74" t="n"/>
      <c r="BG504" s="74" t="n"/>
      <c r="BH504" s="74" t="n">
        <v>7.3</v>
      </c>
      <c r="BI504" s="75">
        <f>IF('BBG Verify'!S504="","not filed — run on terminal",'BBG Verify'!S504)</f>
        <v/>
      </c>
      <c r="BJ504" s="76" t="inlineStr">
        <is>
          <t>N</t>
        </is>
      </c>
      <c r="BK504" s="77">
        <f>IF('BBG Verify'!K504="","not filed — run on terminal",'BBG Verify'!K504)</f>
        <v/>
      </c>
      <c r="BL504" s="63" t="inlineStr">
        <is>
          <t>N/A</t>
        </is>
      </c>
      <c r="BM504" s="63" t="inlineStr">
        <is>
          <t>N/A</t>
        </is>
      </c>
      <c r="BN504" s="63" t="inlineStr">
        <is>
          <t>N/A</t>
        </is>
      </c>
      <c r="BO504" s="63" t="inlineStr">
        <is>
          <t>N/A</t>
        </is>
      </c>
      <c r="BP504" s="63" t="inlineStr">
        <is>
          <t>N/A</t>
        </is>
      </c>
      <c r="BQ504" s="63" t="inlineStr">
        <is>
          <t>N/A</t>
        </is>
      </c>
      <c r="BR504" s="76" t="inlineStr">
        <is>
          <t>Haitong International Capital Limited</t>
        </is>
      </c>
      <c r="BS504" s="63" t="inlineStr">
        <is>
          <t>Haitong International Capital Limited</t>
        </is>
      </c>
      <c r="BT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U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V504" s="78">
        <f>HYPERLINK("https://www1.hkexnews.hk/listedco/listconews/sehk/2026/0629/2026062900135.pdf","prospectus")</f>
        <v/>
      </c>
      <c r="BW504" s="78">
        <f>HYPERLINK("https://www1.hkexnews.hk/listedco/listconews/sehk/2026/0707/2026070702043.pdf","allotment")</f>
        <v/>
      </c>
      <c r="BX504" s="78">
        <f>HYPERLINK("https://www1.hkexnews.hk/listedco/listconews/sehk/2026/0802/2026080200017.pdf","stabilisation")</f>
        <v/>
      </c>
      <c r="BY504" s="76" t="n"/>
      <c r="BZ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72" t="n">
        <v>93.8</v>
      </c>
      <c r="AC505" s="66" t="n">
        <v>15.5</v>
      </c>
      <c r="AD505" s="72" t="n">
        <v>35.45</v>
      </c>
      <c r="AE505" s="63" t="inlineStr">
        <is>
          <t>Y</t>
        </is>
      </c>
      <c r="AF505" s="63" t="inlineStr">
        <is>
          <t>lapsed (no over-allocation)</t>
        </is>
      </c>
      <c r="AG505" s="63" t="n"/>
      <c r="AH505" s="63" t="inlineStr">
        <is>
          <t>Zhongtai Intern ational Securities Limited</t>
        </is>
      </c>
      <c r="AI505" s="63" t="inlineStr">
        <is>
          <t>Zhongtai Intern</t>
        </is>
      </c>
      <c r="AJ505" s="73" t="n">
        <v>162.5</v>
      </c>
      <c r="AK505" s="72" t="n">
        <v>100</v>
      </c>
      <c r="AL505" s="72" t="n">
        <v>31.25</v>
      </c>
      <c r="AM505" s="72" t="n">
        <v>267.5</v>
      </c>
      <c r="AN505" s="72" t="n">
        <v>1146.88</v>
      </c>
      <c r="AO505" s="72" t="n"/>
      <c r="AP505" s="72" t="n">
        <v>40</v>
      </c>
      <c r="AQ505" s="72" t="n">
        <v>375</v>
      </c>
      <c r="AR505" s="72" t="n"/>
      <c r="AS505" s="72" t="n">
        <v>263.44</v>
      </c>
      <c r="AT505" s="72" t="n">
        <v>1140.07</v>
      </c>
      <c r="AU505" s="72" t="n"/>
      <c r="AV505" s="72" t="n">
        <v>367.59</v>
      </c>
      <c r="AW505" s="72" t="n">
        <v>6.81</v>
      </c>
      <c r="AX505" s="72" t="n">
        <v>7.41</v>
      </c>
      <c r="AY505" s="63" t="inlineStr">
        <is>
          <t>Hang Seng Commerce &amp; Industry sub-index</t>
        </is>
      </c>
      <c r="AZ505" s="72" t="n">
        <v>1075.62</v>
      </c>
      <c r="BA505" s="64" t="inlineStr">
        <is>
          <t>2026-08-31</t>
        </is>
      </c>
      <c r="BB505" s="65" t="n">
        <v>345.1</v>
      </c>
      <c r="BC505" s="68" t="n">
        <v>53.8</v>
      </c>
      <c r="BD505" s="63" t="inlineStr">
        <is>
          <t>Y</t>
        </is>
      </c>
      <c r="BE505" s="74" t="n">
        <v>14.9</v>
      </c>
      <c r="BF505" s="74" t="n"/>
      <c r="BG505" s="74" t="n"/>
      <c r="BH505" s="74" t="n">
        <v>2.3</v>
      </c>
      <c r="BI505" s="75">
        <f>IF('BBG Verify'!S505="","not filed — run on terminal",'BBG Verify'!S505)</f>
        <v/>
      </c>
      <c r="BJ505" s="76" t="inlineStr">
        <is>
          <t>N</t>
        </is>
      </c>
      <c r="BK505" s="77">
        <f>IF('BBG Verify'!K505="","not filed — run on terminal",'BBG Verify'!K505)</f>
        <v/>
      </c>
      <c r="BL505" s="63" t="inlineStr">
        <is>
          <t>N/A</t>
        </is>
      </c>
      <c r="BM505" s="63" t="inlineStr">
        <is>
          <t>N/A</t>
        </is>
      </c>
      <c r="BN505" s="63" t="inlineStr">
        <is>
          <t>N/A</t>
        </is>
      </c>
      <c r="BO505" s="63" t="inlineStr">
        <is>
          <t>N/A</t>
        </is>
      </c>
      <c r="BP505" s="63" t="inlineStr">
        <is>
          <t>N/A</t>
        </is>
      </c>
      <c r="BQ505" s="63" t="inlineStr">
        <is>
          <t>N/A</t>
        </is>
      </c>
      <c r="BR505" s="76" t="inlineStr">
        <is>
          <t>Zhongtai Inte rnational Capital Limited</t>
        </is>
      </c>
      <c r="BS505" s="63" t="inlineStr">
        <is>
          <t>Zhongtai International Capital Limited</t>
        </is>
      </c>
      <c r="BT505" s="63" t="inlineStr">
        <is>
          <t>CCB International Capital Limited; ABCI Capital Limited</t>
        </is>
      </c>
      <c r="BU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V505" s="78">
        <f>HYPERLINK("https://www1.hkexnews.hk/listedco/listconews/sehk/2026/0630/2026063000055.pdf","prospectus")</f>
        <v/>
      </c>
      <c r="BW505" s="78">
        <f>HYPERLINK("https://www1.hkexnews.hk/listedco/listconews/sehk/2026/0708/2026070801132.pdf","allotment")</f>
        <v/>
      </c>
      <c r="BX505" s="78">
        <f>HYPERLINK("https://www1.hkexnews.hk/listedco/listconews/sehk/2026/0805/2026080501400.pdf","stabilisation")</f>
        <v/>
      </c>
      <c r="BY505" s="76" t="n"/>
      <c r="BZ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72" t="n">
        <v>3.4</v>
      </c>
      <c r="AC506" s="66" t="n">
        <v>81.3</v>
      </c>
      <c r="AD506" s="72" t="n">
        <v>-1.62</v>
      </c>
      <c r="AE506" s="63" t="inlineStr">
        <is>
          <t>Y</t>
        </is>
      </c>
      <c r="AF506" s="63" t="inlineStr">
        <is>
          <t>lapsed (no over-allocation)</t>
        </is>
      </c>
      <c r="AG506" s="63" t="n"/>
      <c r="AH506" s="63" t="inlineStr">
        <is>
          <t>CLSA Limited</t>
        </is>
      </c>
      <c r="AI506" s="63" t="inlineStr">
        <is>
          <t>CLSA</t>
        </is>
      </c>
      <c r="AJ506" s="73" t="n">
        <v>1.73</v>
      </c>
      <c r="AK506" s="72" t="n">
        <v>-1.89</v>
      </c>
      <c r="AL506" s="72" t="n">
        <v>3.69</v>
      </c>
      <c r="AM506" s="72" t="n">
        <v>-1.2</v>
      </c>
      <c r="AN506" s="72" t="n">
        <v>42.42</v>
      </c>
      <c r="AO506" s="72" t="n"/>
      <c r="AP506" s="72" t="n">
        <v>-2.88</v>
      </c>
      <c r="AQ506" s="72" t="n">
        <v>40</v>
      </c>
      <c r="AR506" s="72" t="n"/>
      <c r="AS506" s="72" t="n">
        <v>-3.53</v>
      </c>
      <c r="AT506" s="72" t="n">
        <v>39.7</v>
      </c>
      <c r="AU506" s="72" t="n"/>
      <c r="AV506" s="72" t="n">
        <v>37.28</v>
      </c>
      <c r="AW506" s="72" t="n">
        <v>2.72</v>
      </c>
      <c r="AX506" s="72" t="n">
        <v>2.72</v>
      </c>
      <c r="AY506" s="63" t="inlineStr">
        <is>
          <t>HSTECH (Hang Seng TECH ETF)</t>
        </is>
      </c>
      <c r="AZ506" s="72" t="n">
        <v>-13.28</v>
      </c>
      <c r="BA506" s="64" t="inlineStr">
        <is>
          <t>2026-08-31</t>
        </is>
      </c>
      <c r="BB506" s="65" t="n">
        <v>571.6</v>
      </c>
      <c r="BC506" s="68" t="n">
        <v>88.3</v>
      </c>
      <c r="BD506" s="63" t="inlineStr">
        <is>
          <t>Y</t>
        </is>
      </c>
      <c r="BE506" s="74" t="n">
        <v>45.6</v>
      </c>
      <c r="BF506" s="74" t="n"/>
      <c r="BG506" s="74" t="n"/>
      <c r="BH506" s="74" t="n">
        <v>7</v>
      </c>
      <c r="BI506" s="75">
        <f>IF('BBG Verify'!S506="","not filed — run on terminal",'BBG Verify'!S506)</f>
        <v/>
      </c>
      <c r="BJ506" s="76" t="inlineStr">
        <is>
          <t>N</t>
        </is>
      </c>
      <c r="BK506" s="77">
        <f>IF('BBG Verify'!K506="","not filed — run on terminal",'BBG Verify'!K506)</f>
        <v/>
      </c>
      <c r="BL506" s="63" t="inlineStr">
        <is>
          <t>N/A</t>
        </is>
      </c>
      <c r="BM506" s="63" t="inlineStr">
        <is>
          <t>N/A</t>
        </is>
      </c>
      <c r="BN506" s="63" t="inlineStr">
        <is>
          <t>N/A</t>
        </is>
      </c>
      <c r="BO506" s="63" t="inlineStr">
        <is>
          <t>N/A</t>
        </is>
      </c>
      <c r="BP506" s="63" t="inlineStr">
        <is>
          <t>N/A</t>
        </is>
      </c>
      <c r="BQ506" s="63" t="inlineStr">
        <is>
          <t>N/A</t>
        </is>
      </c>
      <c r="BR506" s="76" t="inlineStr">
        <is>
          <t>CITIC Securities (Hong Kong) Limited</t>
        </is>
      </c>
      <c r="BS506" s="63" t="inlineStr">
        <is>
          <t>CITIC Securities (Hong Kong) Limited</t>
        </is>
      </c>
      <c r="BT506" s="63" t="inlineStr">
        <is>
          <t>CMBC Securities Company Limited; JA Securities Limited</t>
        </is>
      </c>
      <c r="BU506" s="63" t="inlineStr">
        <is>
          <t>China Harbour International Securities Limited; CLSA Limited; CMBC Securities Company Limited; JA Securities Limited; SPDB International Capital Limited</t>
        </is>
      </c>
      <c r="BV506" s="78">
        <f>HYPERLINK("https://www1.hkexnews.hk/listedco/listconews/sehk/2026/0629/2026062900101.pdf","prospectus")</f>
        <v/>
      </c>
      <c r="BW506" s="78">
        <f>HYPERLINK("https://www1.hkexnews.hk/listedco/listconews/sehk/2026/0708/2026070801214.pdf","allotment")</f>
        <v/>
      </c>
      <c r="BX506" s="78">
        <f>HYPERLINK("https://www1.hkexnews.hk/listedco/listconews/sehk/2026/0803/2026080303735.pdf","stabilisation")</f>
        <v/>
      </c>
      <c r="BY506" s="76" t="n"/>
      <c r="BZ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72" t="n">
        <v>-1.8</v>
      </c>
      <c r="AC507" s="66" t="n">
        <v>37.3</v>
      </c>
      <c r="AD507" s="72" t="n">
        <v>17.32</v>
      </c>
      <c r="AE507" s="63" t="inlineStr">
        <is>
          <t>N</t>
        </is>
      </c>
      <c r="AF507" s="63" t="inlineStr">
        <is>
          <t>full</t>
        </is>
      </c>
      <c r="AG507" s="63" t="inlineStr">
        <is>
          <t>2026-08-05</t>
        </is>
      </c>
      <c r="AH507" s="63" t="inlineStr">
        <is>
          <t>China International Capital Corporation Hong Kong Securities Limited</t>
        </is>
      </c>
      <c r="AI507" s="63" t="inlineStr">
        <is>
          <t>China International</t>
        </is>
      </c>
      <c r="AJ507" s="73" t="n">
        <v>15.21</v>
      </c>
      <c r="AK507" s="72" t="n">
        <v>0.05</v>
      </c>
      <c r="AL507" s="72" t="n">
        <v>15.15</v>
      </c>
      <c r="AM507" s="72" t="n">
        <v>28.63</v>
      </c>
      <c r="AN507" s="72" t="n">
        <v>88.95</v>
      </c>
      <c r="AO507" s="72" t="n"/>
      <c r="AP507" s="72" t="n">
        <v>11.65</v>
      </c>
      <c r="AQ507" s="72" t="n">
        <v>64</v>
      </c>
      <c r="AR507" s="72" t="n"/>
      <c r="AS507" s="72" t="n">
        <v>26.3</v>
      </c>
      <c r="AT507" s="72" t="n">
        <v>86.23</v>
      </c>
      <c r="AU507" s="72" t="n"/>
      <c r="AV507" s="72" t="n">
        <v>61.28</v>
      </c>
      <c r="AW507" s="72" t="n">
        <v>2.72</v>
      </c>
      <c r="AX507" s="72" t="n">
        <v>2.72</v>
      </c>
      <c r="AY507" s="63" t="inlineStr">
        <is>
          <t>HSTECH (Hang Seng TECH ETF)</t>
        </is>
      </c>
      <c r="AZ507" s="72" t="n">
        <v>72.63</v>
      </c>
      <c r="BA507" s="64" t="inlineStr">
        <is>
          <t>2026-08-31</t>
        </is>
      </c>
      <c r="BB507" s="65" t="n">
        <v>573.9</v>
      </c>
      <c r="BC507" s="68" t="n">
        <v>-197.2</v>
      </c>
      <c r="BD507" s="63" t="inlineStr">
        <is>
          <t>N</t>
        </is>
      </c>
      <c r="BE507" s="63" t="inlineStr">
        <is>
          <t>n/m</t>
        </is>
      </c>
      <c r="BF507" s="74" t="n"/>
      <c r="BG507" s="74" t="n"/>
      <c r="BH507" s="74" t="n">
        <v>17.3</v>
      </c>
      <c r="BI507" s="75">
        <f>IF('BBG Verify'!S507="","not filed — run on terminal",'BBG Verify'!S507)</f>
        <v/>
      </c>
      <c r="BJ507" s="76" t="inlineStr">
        <is>
          <t>N</t>
        </is>
      </c>
      <c r="BK507" s="77">
        <f>IF('BBG Verify'!K507="","not filed — run on terminal",'BBG Verify'!K507)</f>
        <v/>
      </c>
      <c r="BL507" s="63" t="inlineStr">
        <is>
          <t>N/A</t>
        </is>
      </c>
      <c r="BM507" s="63" t="inlineStr">
        <is>
          <t>N/A</t>
        </is>
      </c>
      <c r="BN507" s="63" t="inlineStr">
        <is>
          <t>N/A</t>
        </is>
      </c>
      <c r="BO507" s="63" t="inlineStr">
        <is>
          <t>N/A</t>
        </is>
      </c>
      <c r="BP507" s="63" t="inlineStr">
        <is>
          <t>N/A</t>
        </is>
      </c>
      <c r="BQ507" s="63" t="inlineStr">
        <is>
          <t>N/A</t>
        </is>
      </c>
      <c r="BR507" s="76" t="inlineStr">
        <is>
          <t>China International Capital Corporation Hong Kong Securities Limited; Guotai Junan Capital Limited</t>
        </is>
      </c>
      <c r="BS507" s="63" t="inlineStr">
        <is>
          <t>China International Capital Corporation Hong Kong Securities Limited; Guotai Junan Capital Limited</t>
        </is>
      </c>
      <c r="BT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U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V507" s="78">
        <f>HYPERLINK("https://www1.hkexnews.hk/listedco/listconews/sehk/2026/0630/2026063000033.pdf","prospectus")</f>
        <v/>
      </c>
      <c r="BW507" s="78">
        <f>HYPERLINK("https://www1.hkexnews.hk/listedco/listconews/sehk/2026/0708/2026070801234.pdf","allotment")</f>
        <v/>
      </c>
      <c r="BX507" s="78">
        <f>HYPERLINK("https://www1.hkexnews.hk/listedco/listconews/sehk/2026/0805/2026080501829.pdf","stabilisation")</f>
        <v/>
      </c>
      <c r="BY507" s="76" t="n"/>
      <c r="BZ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72" t="n">
        <v>-17.4</v>
      </c>
      <c r="AC508" s="66" t="n">
        <v>38</v>
      </c>
      <c r="AD508" s="72" t="n">
        <v>-24.16</v>
      </c>
      <c r="AE508" s="63" t="inlineStr">
        <is>
          <t>Y</t>
        </is>
      </c>
      <c r="AF508" s="63" t="n"/>
      <c r="AG508" s="63" t="n"/>
      <c r="AH508" s="63" t="n"/>
      <c r="AI508" s="63" t="n"/>
      <c r="AJ508" s="73" t="n">
        <v>-37.36</v>
      </c>
      <c r="AK508" s="72" t="n">
        <v>-18.75</v>
      </c>
      <c r="AL508" s="72" t="n">
        <v>-22.9</v>
      </c>
      <c r="AM508" s="72" t="n">
        <v>-44.32</v>
      </c>
      <c r="AN508" s="72" t="n">
        <v>-45.06</v>
      </c>
      <c r="AO508" s="72" t="n"/>
      <c r="AP508" s="72" t="n">
        <v>-11.11</v>
      </c>
      <c r="AQ508" s="72" t="n">
        <v>-12.29</v>
      </c>
      <c r="AR508" s="72" t="n"/>
      <c r="AS508" s="72" t="n">
        <v>-48.38</v>
      </c>
      <c r="AT508" s="72" t="n">
        <v>-51.87</v>
      </c>
      <c r="AU508" s="72" t="n"/>
      <c r="AV508" s="72" t="n">
        <v>-19.7</v>
      </c>
      <c r="AW508" s="72" t="n">
        <v>6.81</v>
      </c>
      <c r="AX508" s="72" t="n">
        <v>7.41</v>
      </c>
      <c r="AY508" s="63" t="inlineStr">
        <is>
          <t>Hang Seng Commerce &amp; Industry sub-index</t>
        </is>
      </c>
      <c r="AZ508" s="72" t="n">
        <v>-47.89</v>
      </c>
      <c r="BA508" s="64" t="inlineStr">
        <is>
          <t>2026-08-31</t>
        </is>
      </c>
      <c r="BB508" s="65" t="n">
        <v>853.4</v>
      </c>
      <c r="BC508" s="68" t="n">
        <v>94.7</v>
      </c>
      <c r="BD508" s="63" t="inlineStr">
        <is>
          <t>Y</t>
        </is>
      </c>
      <c r="BE508" s="74" t="n">
        <v>106.2</v>
      </c>
      <c r="BF508" s="74" t="n"/>
      <c r="BG508" s="74" t="n"/>
      <c r="BH508" s="74" t="n">
        <v>11.8</v>
      </c>
      <c r="BI508" s="75">
        <f>IF('BBG Verify'!S508="","not filed — run on terminal",'BBG Verify'!S508)</f>
        <v/>
      </c>
      <c r="BJ508" s="76" t="inlineStr">
        <is>
          <t>Y</t>
        </is>
      </c>
      <c r="BK508" s="63" t="inlineStr">
        <is>
          <t>688337.SS</t>
        </is>
      </c>
      <c r="BL508" s="72" t="n">
        <v>43.58</v>
      </c>
      <c r="BM508" s="66" t="n">
        <v>66.0176</v>
      </c>
      <c r="BN508" s="80" t="n">
        <v>1.1313</v>
      </c>
      <c r="BO508" s="68" t="n">
        <v>11178.9</v>
      </c>
      <c r="BP508" s="75">
        <f>IF('BBG Verify'!Q508="","run on terminal",'BBG Verify'!Q508)</f>
        <v/>
      </c>
      <c r="BQ508" s="75">
        <f>IF('BBG Verify'!R508="","run on terminal",'BBG Verify'!R508)</f>
        <v/>
      </c>
      <c r="BR508" s="76" t="inlineStr">
        <is>
          <t>CITIC Securities (Hong Kong) Limited</t>
        </is>
      </c>
      <c r="BS508" s="63" t="inlineStr">
        <is>
          <t>CITIC Securities (Hong Kong) Limited</t>
        </is>
      </c>
      <c r="BT508" s="63" t="inlineStr">
        <is>
          <t>CLSA Limited; CMB International Capital Limited; ICBC International Securities Limited</t>
        </is>
      </c>
      <c r="BU508" s="63" t="inlineStr">
        <is>
          <t>CLSA Limited; CMB International Capital Limited; ICBC International Securities Limited</t>
        </is>
      </c>
      <c r="BV508" s="78">
        <f>HYPERLINK("https://www1.hkexnews.hk/listedco/listconews/sehk/2026/0630/2026063000023.pdf","prospectus")</f>
        <v/>
      </c>
      <c r="BW508" s="78">
        <f>HYPERLINK("https://www1.hkexnews.hk/listedco/listconews/sehk/2026/0708/2026070801336.pdf","allotment")</f>
        <v/>
      </c>
      <c r="BX508" s="63" t="n"/>
      <c r="BY508" s="76" t="n"/>
      <c r="BZ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72" t="n"/>
      <c r="AC509" s="66" t="n"/>
      <c r="AD509" s="72" t="n"/>
      <c r="AE509" s="63" t="n"/>
      <c r="AF509" s="63" t="inlineStr">
        <is>
          <t>partial</t>
        </is>
      </c>
      <c r="AG509" s="63" t="inlineStr">
        <is>
          <t>2026-08-05</t>
        </is>
      </c>
      <c r="AH509" s="63" t="inlineStr">
        <is>
          <t>Goldman Sachs</t>
        </is>
      </c>
      <c r="AI509" s="63" t="inlineStr">
        <is>
          <t>Goldman Sachs</t>
        </is>
      </c>
      <c r="AJ509" s="73" t="n">
        <v>-1.55</v>
      </c>
      <c r="AK509" s="72" t="n">
        <v>-0.05</v>
      </c>
      <c r="AL509" s="72" t="n">
        <v>-1.5</v>
      </c>
      <c r="AM509" s="72" t="n">
        <v>-5.18</v>
      </c>
      <c r="AN509" s="72" t="n">
        <v>0.11</v>
      </c>
      <c r="AO509" s="72" t="n"/>
      <c r="AP509" s="72" t="n">
        <v>-3.69</v>
      </c>
      <c r="AQ509" s="72" t="n">
        <v>1.69</v>
      </c>
      <c r="AR509" s="72" t="n"/>
      <c r="AS509" s="72" t="n">
        <v>-7.51</v>
      </c>
      <c r="AT509" s="72" t="n">
        <v>-2.61</v>
      </c>
      <c r="AU509" s="72" t="n"/>
      <c r="AV509" s="72" t="n">
        <v>-1.03</v>
      </c>
      <c r="AW509" s="72" t="n">
        <v>2.72</v>
      </c>
      <c r="AX509" s="72" t="n">
        <v>2.72</v>
      </c>
      <c r="AY509" s="63" t="inlineStr">
        <is>
          <t>HSTECH (Hang Seng TECH ETF)</t>
        </is>
      </c>
      <c r="AZ509" s="72" t="n">
        <v>-0.44</v>
      </c>
      <c r="BA509" s="64" t="inlineStr">
        <is>
          <t>2026-08-31</t>
        </is>
      </c>
      <c r="BB509" s="65" t="n">
        <v>365578.9</v>
      </c>
      <c r="BC509" s="68" t="n">
        <v>19987.3</v>
      </c>
      <c r="BD509" s="63" t="inlineStr">
        <is>
          <t>Y</t>
        </is>
      </c>
      <c r="BE509" s="74" t="n">
        <v>24.4</v>
      </c>
      <c r="BF509" s="74" t="n">
        <v>22.8</v>
      </c>
      <c r="BG509" s="74" t="n">
        <v>23</v>
      </c>
      <c r="BH509" s="74" t="n">
        <v>1.3</v>
      </c>
      <c r="BI509" s="75">
        <f>IF('BBG Verify'!S509="","not filed — run on terminal",'BBG Verify'!S509)</f>
        <v/>
      </c>
      <c r="BJ509" s="76" t="inlineStr">
        <is>
          <t>Y</t>
        </is>
      </c>
      <c r="BK509" s="63" t="inlineStr">
        <is>
          <t>002475.SZ</t>
        </is>
      </c>
      <c r="BL509" s="72" t="n">
        <v>13.94</v>
      </c>
      <c r="BM509" s="66" t="n">
        <v>72.09999999999999</v>
      </c>
      <c r="BN509" s="80" t="n">
        <v>0.066</v>
      </c>
      <c r="BO509" s="68" t="n">
        <v>520262.4</v>
      </c>
      <c r="BP509" s="75">
        <f>IF('BBG Verify'!Q509="","run on terminal",'BBG Verify'!Q509)</f>
        <v/>
      </c>
      <c r="BQ509" s="75">
        <f>IF('BBG Verify'!R509="","run on terminal",'BBG Verify'!R509)</f>
        <v/>
      </c>
      <c r="BR509" s="76" t="inlineStr">
        <is>
          <t>CITIC Securities (Hong Kong) Limited; Goldman Sachs (Asia) L.L.C; China International Capital Corporation Hong Kong Securities Limited</t>
        </is>
      </c>
      <c r="BS509" s="63" t="inlineStr">
        <is>
          <t>China International Capital Corporation Hong Kong Securities Limited; Goldman Sachs (Asia) L.L.C.; CITIC Securities (Hong Kong) Limited</t>
        </is>
      </c>
      <c r="BT509" s="63" t="inlineStr">
        <is>
          <t>China International Capital Corporation Hong Kong Securities Limited; CLSA Limited; GF Securities (Hong Kong) Brokerage Limited; Goldman Sachs (Asia) L.L.C.; Guosen Securities (HK) Capital Company Limited; The Hongkong and Shanghai Banking Corporation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78">
        <f>HYPERLINK("https://www1.hkexnews.hk/listedco/listconews/sehk/2026/0630/2026063000097.pdf","prospectus")</f>
        <v/>
      </c>
      <c r="BW509" s="78">
        <f>HYPERLINK("https://www1.hkexnews.hk/listedco/listconews/sehk/2026/0708/2026070801342.pdf","allotment")</f>
        <v/>
      </c>
      <c r="BX509" s="78">
        <f>HYPERLINK("https://www1.hkexnews.hk/listedco/listconews/sehk/2026/0805/2026080501907.pdf","stabilisation")</f>
        <v/>
      </c>
      <c r="BY509" s="76" t="n"/>
      <c r="BZ509" s="63" t="inlineStr">
        <is>
          <t>range low: cap-only pricing — the filing publishes a Maximum Offer Price and no indicative floor · A/H: Jul 2026, ~US$3.1bn — largest HK IPO of 2026 until Innolight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72" t="n"/>
      <c r="AC510" s="66" t="n"/>
      <c r="AD510" s="72" t="n"/>
      <c r="AE510" s="63" t="n"/>
      <c r="AF510" s="63" t="inlineStr">
        <is>
          <t>partial</t>
        </is>
      </c>
      <c r="AG510" s="63" t="n"/>
      <c r="AH510" s="63" t="inlineStr">
        <is>
          <t>China Galaxy International Securities</t>
        </is>
      </c>
      <c r="AI510" s="63" t="inlineStr">
        <is>
          <t>China Galaxy</t>
        </is>
      </c>
      <c r="AJ510" s="73" t="n">
        <v>4.69</v>
      </c>
      <c r="AK510" s="72" t="n">
        <v>0</v>
      </c>
      <c r="AL510" s="72" t="n">
        <v>4.69</v>
      </c>
      <c r="AM510" s="72" t="n">
        <v>-2.29</v>
      </c>
      <c r="AN510" s="72" t="n">
        <v>6.68</v>
      </c>
      <c r="AO510" s="72" t="n"/>
      <c r="AP510" s="72" t="n">
        <v>-6.67</v>
      </c>
      <c r="AQ510" s="72" t="n">
        <v>1.9</v>
      </c>
      <c r="AR510" s="72" t="n"/>
      <c r="AS510" s="72" t="n">
        <v>-4.62</v>
      </c>
      <c r="AT510" s="72" t="n">
        <v>3.96</v>
      </c>
      <c r="AU510" s="72" t="n"/>
      <c r="AV510" s="72" t="n">
        <v>-0.82</v>
      </c>
      <c r="AW510" s="72" t="n">
        <v>2.72</v>
      </c>
      <c r="AX510" s="72" t="n">
        <v>2.72</v>
      </c>
      <c r="AY510" s="63" t="inlineStr">
        <is>
          <t>HSTECH (Hang Seng TECH ETF)</t>
        </is>
      </c>
      <c r="AZ510" s="72" t="n">
        <v>14.36</v>
      </c>
      <c r="BA510" s="64" t="inlineStr">
        <is>
          <t>2026-08-31</t>
        </is>
      </c>
      <c r="BB510" s="65" t="n">
        <v>9755.4</v>
      </c>
      <c r="BC510" s="68" t="n">
        <v>2878.7</v>
      </c>
      <c r="BD510" s="63" t="inlineStr">
        <is>
          <t>Y</t>
        </is>
      </c>
      <c r="BE510" s="74" t="n">
        <v>69.3</v>
      </c>
      <c r="BF510" s="74" t="n">
        <v>66.3</v>
      </c>
      <c r="BG510" s="74" t="n">
        <v>79.90000000000001</v>
      </c>
      <c r="BH510" s="74" t="n">
        <v>20.4</v>
      </c>
      <c r="BI510" s="75">
        <f>IF('BBG Verify'!S510="","not filed — run on terminal",'BBG Verify'!S510)</f>
        <v/>
      </c>
      <c r="BJ510" s="76" t="inlineStr">
        <is>
          <t>Y</t>
        </is>
      </c>
      <c r="BK510" s="63" t="inlineStr">
        <is>
          <t>300408.SZ</t>
        </is>
      </c>
      <c r="BL510" s="72" t="n">
        <v>50.09</v>
      </c>
      <c r="BM510" s="66" t="n">
        <v>150.5363</v>
      </c>
      <c r="BN510" s="80" t="n">
        <v>0.1686</v>
      </c>
      <c r="BO510" s="68" t="n">
        <v>267943.6</v>
      </c>
      <c r="BP510" s="75">
        <f>IF('BBG Verify'!Q510="","run on terminal",'BBG Verify'!Q510)</f>
        <v/>
      </c>
      <c r="BQ510" s="75">
        <f>IF('BBG Verify'!R510="","run on terminal",'BBG Verify'!R510)</f>
        <v/>
      </c>
      <c r="BR510" s="76" t="inlineStr">
        <is>
          <t>China Galaxy International Securities (Hong Kong) Co., Limited</t>
        </is>
      </c>
      <c r="BS510" s="63" t="inlineStr">
        <is>
          <t>China Galaxy International Securities (Hong Kong) Company Limited</t>
        </is>
      </c>
      <c r="BT510" s="63" t="inlineStr">
        <is>
          <t>CCB International Capital Limited</t>
        </is>
      </c>
      <c r="BU510" s="63" t="inlineStr">
        <is>
          <t>BOCI Asia Limited; CCB International Capital Limited; China Galaxy International Securities (Hong Kong) Company Limited; Huatai Financial Holdings (Hong Kong) Limited; ICBC International Securities Limited</t>
        </is>
      </c>
      <c r="BV510" s="78">
        <f>HYPERLINK("https://www1.hkexnews.hk/listedco/listconews/sehk/2026/0630/2026063000323.pdf","prospectus")</f>
        <v/>
      </c>
      <c r="BW510" s="78">
        <f>HYPERLINK("https://www1.hkexnews.hk/listedco/listconews/sehk/2026/0708/2026070801348.pdf","allotment")</f>
        <v/>
      </c>
      <c r="BX510" s="78">
        <f>HYPERLINK("https://www1.hkexnews.hk/listedco/listconews/sehk/2026/0805/2026080501999.pdf","stabilisation")</f>
        <v/>
      </c>
      <c r="BY510" s="76" t="n"/>
      <c r="BZ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72" t="n">
        <v>-10.5</v>
      </c>
      <c r="AC511" s="66" t="n">
        <v>340</v>
      </c>
      <c r="AD511" s="72" t="n">
        <v>9.73</v>
      </c>
      <c r="AE511" s="63" t="inlineStr">
        <is>
          <t>Y</t>
        </is>
      </c>
      <c r="AF511" s="63" t="n"/>
      <c r="AG511" s="63" t="n"/>
      <c r="AH511" s="63" t="n"/>
      <c r="AI511" s="63" t="n"/>
      <c r="AJ511" s="73" t="n">
        <v>-1.79</v>
      </c>
      <c r="AK511" s="72" t="n">
        <v>-13.16</v>
      </c>
      <c r="AL511" s="72" t="n">
        <v>13.09</v>
      </c>
      <c r="AM511" s="72" t="n">
        <v>9.949999999999999</v>
      </c>
      <c r="AN511" s="72" t="n">
        <v>2.63</v>
      </c>
      <c r="AO511" s="72" t="n"/>
      <c r="AP511" s="72" t="n">
        <v>11.95</v>
      </c>
      <c r="AQ511" s="72" t="n">
        <v>4.5</v>
      </c>
      <c r="AR511" s="72" t="n"/>
      <c r="AS511" s="72" t="n">
        <v>7.62</v>
      </c>
      <c r="AT511" s="72" t="n">
        <v>-0.09</v>
      </c>
      <c r="AU511" s="72" t="n"/>
      <c r="AV511" s="72" t="n">
        <v>1.78</v>
      </c>
      <c r="AW511" s="72" t="n">
        <v>2.72</v>
      </c>
      <c r="AX511" s="72" t="n">
        <v>2.72</v>
      </c>
      <c r="AY511" s="63" t="inlineStr">
        <is>
          <t>HSTECH (Hang Seng TECH ETF)</t>
        </is>
      </c>
      <c r="AZ511" s="72" t="n">
        <v>-8.32</v>
      </c>
      <c r="BA511" s="64" t="inlineStr">
        <is>
          <t>2026-08-31</t>
        </is>
      </c>
      <c r="BB511" s="65" t="n"/>
      <c r="BC511" s="68" t="n">
        <v>474.8</v>
      </c>
      <c r="BD511" s="63" t="inlineStr">
        <is>
          <t>Y</t>
        </is>
      </c>
      <c r="BE511" s="74" t="n">
        <v>339.4</v>
      </c>
      <c r="BF511" s="74" t="n">
        <v>305.7</v>
      </c>
      <c r="BG511" s="74" t="n">
        <v>301.2</v>
      </c>
      <c r="BH511" s="74" t="n"/>
      <c r="BI511" s="75">
        <f>IF('BBG Verify'!S511="","not filed — run on terminal",'BBG Verify'!S511)</f>
        <v/>
      </c>
      <c r="BJ511" s="76" t="inlineStr">
        <is>
          <t>Y</t>
        </is>
      </c>
      <c r="BK511" s="63" t="inlineStr">
        <is>
          <t>301377.SZ</t>
        </is>
      </c>
      <c r="BL511" s="72" t="n">
        <v>43.69</v>
      </c>
      <c r="BM511" s="66" t="n">
        <v>546.0071</v>
      </c>
      <c r="BN511" s="80" t="n">
        <v>0.4047</v>
      </c>
      <c r="BO511" s="68" t="n">
        <v>207754.9</v>
      </c>
      <c r="BP511" s="75">
        <f>IF('BBG Verify'!Q511="","run on terminal",'BBG Verify'!Q511)</f>
        <v/>
      </c>
      <c r="BQ511" s="75">
        <f>IF('BBG Verify'!R511="","run on terminal",'BBG Verify'!R511)</f>
        <v/>
      </c>
      <c r="BR511" s="76" t="inlineStr">
        <is>
          <t>CITIC Securities (Hong Kong) Limited; HSBC Corporate Finance (Hong Kong) Limited</t>
        </is>
      </c>
      <c r="BS511" s="63" t="inlineStr">
        <is>
          <t>HSBC Corporate Finance (Hong Kong) Limited; CITIC Securities (Hong Kong) Limited</t>
        </is>
      </c>
      <c r="BT511" s="63" t="inlineStr">
        <is>
          <t>CLSA Limited; The Hongkong and Shanghai Banking Corporation Limited; ABCI Capital Limited; GF Securities (Hong Kong) Brokerage Limited; Huatai Financial Holdings (Hong Kong) Limited</t>
        </is>
      </c>
      <c r="BU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V511" s="78">
        <f>HYPERLINK("https://www1.hkexnews.hk/listedco/listconews/sehk/2026/0630/2026063000041.pdf","prospectus")</f>
        <v/>
      </c>
      <c r="BW511" s="78">
        <f>HYPERLINK("https://www1.hkexnews.hk/listedco/listconews/sehk/2026/0708/2026070801372.pdf","allotment")</f>
        <v/>
      </c>
      <c r="BX511" s="63" t="n"/>
      <c r="BY511" s="76" t="n"/>
      <c r="BZ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72" t="n">
        <v>-21.6</v>
      </c>
      <c r="AC512" s="66" t="n">
        <v>2.73</v>
      </c>
      <c r="AD512" s="72" t="n">
        <v>3.72</v>
      </c>
      <c r="AE512" s="63" t="inlineStr">
        <is>
          <t>Y</t>
        </is>
      </c>
      <c r="AF512" s="63" t="n"/>
      <c r="AG512" s="63" t="n"/>
      <c r="AH512" s="63" t="n"/>
      <c r="AI512" s="63" t="n"/>
      <c r="AJ512" s="73" t="n">
        <v>-18.68</v>
      </c>
      <c r="AK512" s="72" t="n">
        <v>-21.26</v>
      </c>
      <c r="AL512" s="72" t="n">
        <v>3.28</v>
      </c>
      <c r="AM512" s="72" t="n">
        <v>-13.22</v>
      </c>
      <c r="AN512" s="72" t="n">
        <v>-3.16</v>
      </c>
      <c r="AO512" s="72" t="n"/>
      <c r="AP512" s="72" t="n">
        <v>6.71</v>
      </c>
      <c r="AQ512" s="72" t="n">
        <v>19.09</v>
      </c>
      <c r="AR512" s="72" t="n"/>
      <c r="AS512" s="72" t="n">
        <v>-14.88</v>
      </c>
      <c r="AT512" s="72" t="n">
        <v>-11.99</v>
      </c>
      <c r="AU512" s="72" t="n"/>
      <c r="AV512" s="72" t="n">
        <v>10.86</v>
      </c>
      <c r="AW512" s="72" t="n">
        <v>8.83</v>
      </c>
      <c r="AX512" s="72" t="n">
        <v>8.23</v>
      </c>
      <c r="AY512" s="63" t="inlineStr">
        <is>
          <t>Hang Seng Commerce &amp; Industry sub-index</t>
        </is>
      </c>
      <c r="AZ512" s="72" t="n">
        <v>-6.75</v>
      </c>
      <c r="BA512" s="64" t="inlineStr">
        <is>
          <t>2026-08-31</t>
        </is>
      </c>
      <c r="BB512" s="65" t="n">
        <v>16320.1</v>
      </c>
      <c r="BC512" s="68" t="n">
        <v>918.8</v>
      </c>
      <c r="BD512" s="63" t="inlineStr">
        <is>
          <t>Y</t>
        </is>
      </c>
      <c r="BE512" s="74" t="n">
        <v>9.4</v>
      </c>
      <c r="BF512" s="74" t="n">
        <v>16</v>
      </c>
      <c r="BG512" s="74" t="n">
        <v>17.8</v>
      </c>
      <c r="BH512" s="74" t="n">
        <v>0.5</v>
      </c>
      <c r="BI512" s="75">
        <f>IF('BBG Verify'!S512="","not filed — run on terminal",'BBG Verify'!S512)</f>
        <v/>
      </c>
      <c r="BJ512" s="76" t="inlineStr">
        <is>
          <t>Y</t>
        </is>
      </c>
      <c r="BK512" s="63" t="inlineStr">
        <is>
          <t>601678.SS</t>
        </is>
      </c>
      <c r="BL512" s="72" t="n">
        <v>90.03</v>
      </c>
      <c r="BM512" s="66" t="n">
        <v>6.6132</v>
      </c>
      <c r="BN512" s="80" t="n">
        <v>1.3923</v>
      </c>
      <c r="BO512" s="68" t="n">
        <v>18717.1</v>
      </c>
      <c r="BP512" s="75">
        <f>IF('BBG Verify'!Q512="","run on terminal",'BBG Verify'!Q512)</f>
        <v/>
      </c>
      <c r="BQ512" s="75">
        <f>IF('BBG Verify'!R512="","run on terminal",'BBG Verify'!R512)</f>
        <v/>
      </c>
      <c r="BR512" s="76" t="inlineStr">
        <is>
          <t>Huatai Financial Holdings (Hong Kong) Limited; CCB International Capital Limited</t>
        </is>
      </c>
      <c r="BS512" s="63" t="inlineStr">
        <is>
          <t>CCB International Capital Limited; Huatai Financial Holdings (Hong Kong) Limited</t>
        </is>
      </c>
      <c r="BT512" s="63" t="inlineStr">
        <is>
          <t>Huafu International Securities Limited; Central China International Securities Co., Limited; CMB International Capital Limited; Huatai Financial Holdings (Hong Kong) Limited; CCB International Capital Limited; Zhongtai International Securities Limited</t>
        </is>
      </c>
      <c r="BU512" s="63" t="inlineStr">
        <is>
          <t>CCB International Capital Limited; Central China International Securities Co., Limited; CMB International Capital Limited; Huatai Financial Holdings (Hong Kong) Limited; Huafu International Securities Limited; Zhongtai International Securities Limited</t>
        </is>
      </c>
      <c r="BV512" s="78">
        <f>HYPERLINK("https://www1.hkexnews.hk/listedco/listconews/sehk/2026/0630/2026063000101.pdf","prospectus")</f>
        <v/>
      </c>
      <c r="BW512" s="78">
        <f>HYPERLINK("https://www1.hkexnews.hk/listedco/listconews/sehk/2026/0709/2026070901273.pdf","allotment")</f>
        <v/>
      </c>
      <c r="BX512" s="63" t="n"/>
      <c r="BY512" s="76" t="n"/>
      <c r="BZ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72" t="n"/>
      <c r="AC513" s="66" t="n"/>
      <c r="AD513" s="72" t="n"/>
      <c r="AE513" s="63" t="n"/>
      <c r="AF513" s="63" t="inlineStr">
        <is>
          <t>partial</t>
        </is>
      </c>
      <c r="AG513" s="63" t="inlineStr">
        <is>
          <t>2026-08-06</t>
        </is>
      </c>
      <c r="AH513" s="63" t="inlineStr">
        <is>
          <t>China International Capital Corporation Hong Kong Securities Limited</t>
        </is>
      </c>
      <c r="AI513" s="63" t="inlineStr">
        <is>
          <t>China International</t>
        </is>
      </c>
      <c r="AJ513" s="73" t="n">
        <v>0</v>
      </c>
      <c r="AK513" s="72" t="n">
        <v>11.46</v>
      </c>
      <c r="AL513" s="72" t="n">
        <v>-10.28</v>
      </c>
      <c r="AM513" s="72" t="n">
        <v>-9.66</v>
      </c>
      <c r="AN513" s="72" t="n">
        <v>-0.12</v>
      </c>
      <c r="AO513" s="72" t="n"/>
      <c r="AP513" s="72" t="n">
        <v>-9.66</v>
      </c>
      <c r="AQ513" s="72" t="n">
        <v>-0.12</v>
      </c>
      <c r="AR513" s="72" t="n"/>
      <c r="AS513" s="72" t="n">
        <v>-7.38</v>
      </c>
      <c r="AT513" s="72" t="n">
        <v>-4</v>
      </c>
      <c r="AU513" s="72" t="n"/>
      <c r="AV513" s="72" t="n">
        <v>-4.14</v>
      </c>
      <c r="AW513" s="72" t="n">
        <v>3.88</v>
      </c>
      <c r="AX513" s="72" t="n">
        <v>4.02</v>
      </c>
      <c r="AY513" s="63" t="inlineStr">
        <is>
          <t>HSTECH (Hang Seng TECH ETF)</t>
        </is>
      </c>
      <c r="AZ513" s="72" t="n">
        <v>-7.43</v>
      </c>
      <c r="BA513" s="64" t="inlineStr">
        <is>
          <t>2026-08-31</t>
        </is>
      </c>
      <c r="BB513" s="65" t="n">
        <v>11427.1</v>
      </c>
      <c r="BC513" s="68" t="n">
        <v>513.1</v>
      </c>
      <c r="BD513" s="63" t="inlineStr">
        <is>
          <t>Y</t>
        </is>
      </c>
      <c r="BE513" s="74" t="n">
        <v>140.7</v>
      </c>
      <c r="BF513" s="74" t="n">
        <v>77.3</v>
      </c>
      <c r="BG513" s="74" t="n">
        <v>87.3</v>
      </c>
      <c r="BH513" s="74" t="n">
        <v>6.3</v>
      </c>
      <c r="BI513" s="75">
        <f>IF('BBG Verify'!S513="","not filed — run on terminal",'BBG Verify'!S513)</f>
        <v/>
      </c>
      <c r="BJ513" s="76" t="inlineStr">
        <is>
          <t>Y</t>
        </is>
      </c>
      <c r="BK513" s="63" t="inlineStr">
        <is>
          <t>688249.SS</t>
        </is>
      </c>
      <c r="BL513" s="72" t="n">
        <v>132.6</v>
      </c>
      <c r="BM513" s="66" t="n">
        <v>75.1297</v>
      </c>
      <c r="BN513" s="80" t="n">
        <v>0.5113</v>
      </c>
      <c r="BO513" s="68" t="n">
        <v>101100.2</v>
      </c>
      <c r="BP513" s="75">
        <f>IF('BBG Verify'!Q513="","run on terminal",'BBG Verify'!Q513)</f>
        <v/>
      </c>
      <c r="BQ513" s="75">
        <f>IF('BBG Verify'!R513="","run on terminal",'BBG Verify'!R513)</f>
        <v/>
      </c>
      <c r="BR513" s="76" t="inlineStr">
        <is>
          <t>CICC</t>
        </is>
      </c>
      <c r="BS513" s="63" t="inlineStr">
        <is>
          <t>China International Capital Corporation Hong Kong Securities Limited</t>
        </is>
      </c>
      <c r="BT513" s="63" t="inlineStr">
        <is>
          <t>BOCI Asia Limited; ICBC International Securities Limited; Futu Securities International (Hong Kong) Limited</t>
        </is>
      </c>
      <c r="BU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V513" s="78">
        <f>HYPERLINK("https://www1.hkexnews.hk/listedco/listconews/sehk/2026/0630/2026063000123.pdf","prospectus")</f>
        <v/>
      </c>
      <c r="BW513" s="78">
        <f>HYPERLINK("https://www1.hkexnews.hk/listedco/listconews/sehk/2026/0709/2026070901289.pdf","allotment")</f>
        <v/>
      </c>
      <c r="BX513" s="78">
        <f>HYPERLINK("https://www1.hkexnews.hk/listedco/listconews/sehk/2026/0806/2026080602039.pdf","stabilisation")</f>
        <v/>
      </c>
      <c r="BY513" s="76" t="n"/>
      <c r="BZ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72" t="n"/>
      <c r="AC514" s="66" t="n"/>
      <c r="AD514" s="72" t="n"/>
      <c r="AE514" s="63" t="n"/>
      <c r="AF514" s="63" t="n"/>
      <c r="AG514" s="63" t="n"/>
      <c r="AH514" s="63" t="inlineStr">
        <is>
          <t>Goldman Sachs</t>
        </is>
      </c>
      <c r="AI514" s="63" t="inlineStr">
        <is>
          <t>Goldman Sachs</t>
        </is>
      </c>
      <c r="AJ514" s="73" t="n">
        <v>-2.04</v>
      </c>
      <c r="AK514" s="72" t="n">
        <v>-0.92</v>
      </c>
      <c r="AL514" s="72" t="n">
        <v>-1.13</v>
      </c>
      <c r="AM514" s="72" t="n">
        <v>17.45</v>
      </c>
      <c r="AN514" s="72" t="n">
        <v>6.12</v>
      </c>
      <c r="AO514" s="72" t="n"/>
      <c r="AP514" s="72" t="n">
        <v>19.9</v>
      </c>
      <c r="AQ514" s="72" t="n">
        <v>8.33</v>
      </c>
      <c r="AR514" s="72" t="n"/>
      <c r="AS514" s="72" t="n">
        <v>18.16</v>
      </c>
      <c r="AT514" s="72" t="n">
        <v>11.28</v>
      </c>
      <c r="AU514" s="72" t="n"/>
      <c r="AV514" s="72" t="n">
        <v>12.48</v>
      </c>
      <c r="AW514" s="72" t="n">
        <v>-5.16</v>
      </c>
      <c r="AX514" s="72" t="n">
        <v>-4.15</v>
      </c>
      <c r="AY514" s="63" t="inlineStr">
        <is>
          <t>HSTECH (Hang Seng TECH ETF)</t>
        </is>
      </c>
      <c r="AZ514" s="72" t="n">
        <v>5</v>
      </c>
      <c r="BA514" s="64" t="inlineStr">
        <is>
          <t>2026-08-31</t>
        </is>
      </c>
      <c r="BB514" s="65" t="n">
        <v>42063.9</v>
      </c>
      <c r="BC514" s="68" t="n">
        <v>11871.7</v>
      </c>
      <c r="BD514" s="63" t="inlineStr">
        <is>
          <t>Y</t>
        </is>
      </c>
      <c r="BE514" s="74" t="n">
        <v>97.2</v>
      </c>
      <c r="BF514" s="74" t="n">
        <v>85.09999999999999</v>
      </c>
      <c r="BG514" s="74" t="n">
        <v>112.4</v>
      </c>
      <c r="BH514" s="74" t="n">
        <v>27.4</v>
      </c>
      <c r="BI514" s="75">
        <f>IF('BBG Verify'!S514="","not filed — run on terminal",'BBG Verify'!S514)</f>
        <v/>
      </c>
      <c r="BJ514" s="76" t="inlineStr">
        <is>
          <t>Y</t>
        </is>
      </c>
      <c r="BK514" s="63" t="inlineStr">
        <is>
          <t>300308.SZ</t>
        </is>
      </c>
      <c r="BL514" s="72" t="n">
        <v>12.36</v>
      </c>
      <c r="BM514" s="66" t="n">
        <v>1101.1724</v>
      </c>
      <c r="BN514" s="80" t="n">
        <v>-0.035</v>
      </c>
      <c r="BO514" s="68" t="n">
        <v>1170937.5</v>
      </c>
      <c r="BP514" s="75">
        <f>IF('BBG Verify'!Q514="","run on terminal",'BBG Verify'!Q514)</f>
        <v/>
      </c>
      <c r="BQ514" s="75">
        <f>IF('BBG Verify'!R514="","run on terminal",'BBG Verify'!R514)</f>
        <v/>
      </c>
      <c r="BR514" s="76" t="inlineStr">
        <is>
          <t>Goldman Sachs; CICC; Morgan Stanley; GF Securities (Hong Kong)</t>
        </is>
      </c>
      <c r="BS514" s="63" t="inlineStr">
        <is>
          <t>China International Capital Corporation Hong Kong Securities Limited; Morgan Stanley Asia Limited; Goldman Sachs (Asia) L.L.C.; GF Capital (Hong Kong) Limited</t>
        </is>
      </c>
      <c r="BT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V514" s="63" t="n"/>
      <c r="BW514" s="78">
        <f>HYPERLINK("https://www1.hkexnews.hk/listedco/listconews/sehk/2026/0729/2026072901629.pdf","allotment")</f>
        <v/>
      </c>
      <c r="BX514" s="63" t="n"/>
      <c r="BY514" s="76" t="n"/>
      <c r="BZ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no grey-market headline on file for this deal — AAStocks publishes one per listing but keeps only recent items on the stock's news page, and no public archive of past evening sessions exists; captured from this run onward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72" t="n">
        <v>60.3</v>
      </c>
      <c r="AC515" s="66" t="n">
        <v>16.7</v>
      </c>
      <c r="AD515" s="72" t="n">
        <v>2.38</v>
      </c>
      <c r="AE515" s="63" t="inlineStr">
        <is>
          <t>Y</t>
        </is>
      </c>
      <c r="AF515" s="63" t="n"/>
      <c r="AG515" s="63" t="n"/>
      <c r="AH515" s="63" t="inlineStr">
        <is>
          <t>Haitong International Securities Company Limited</t>
        </is>
      </c>
      <c r="AI515" s="63" t="inlineStr">
        <is>
          <t>Haitong</t>
        </is>
      </c>
      <c r="AJ515" s="73" t="n">
        <v>64.11</v>
      </c>
      <c r="AK515" s="72" t="n">
        <v>62.19</v>
      </c>
      <c r="AL515" s="72" t="n">
        <v>1.18</v>
      </c>
      <c r="AM515" s="72" t="n">
        <v>45.3</v>
      </c>
      <c r="AN515" s="72" t="n"/>
      <c r="AO515" s="72" t="n"/>
      <c r="AP515" s="72" t="n">
        <v>-11.46</v>
      </c>
      <c r="AQ515" s="72" t="n"/>
      <c r="AR515" s="72" t="n"/>
      <c r="AS515" s="72" t="n">
        <v>47.27</v>
      </c>
      <c r="AT515" s="72" t="n"/>
      <c r="AU515" s="72" t="n"/>
      <c r="AV515" s="72" t="n"/>
      <c r="AW515" s="72" t="n"/>
      <c r="AX515" s="72" t="n"/>
      <c r="AY515" s="63" t="inlineStr">
        <is>
          <t>Hang Seng Commerce &amp; Industry sub-index</t>
        </is>
      </c>
      <c r="AZ515" s="72" t="n">
        <v>39.44</v>
      </c>
      <c r="BA515" s="64" t="inlineStr">
        <is>
          <t>2026-08-31</t>
        </is>
      </c>
      <c r="BB515" s="65" t="n">
        <v>676</v>
      </c>
      <c r="BC515" s="68" t="n">
        <v>-208.5</v>
      </c>
      <c r="BD515" s="63" t="inlineStr">
        <is>
          <t>N</t>
        </is>
      </c>
      <c r="BE515" s="63" t="inlineStr">
        <is>
          <t>n/m</t>
        </is>
      </c>
      <c r="BF515" s="74" t="n"/>
      <c r="BG515" s="74" t="n"/>
      <c r="BH515" s="74" t="n">
        <v>9.199999999999999</v>
      </c>
      <c r="BI515" s="75">
        <f>IF('BBG Verify'!S515="","not filed — run on terminal",'BBG Verify'!S515)</f>
        <v/>
      </c>
      <c r="BJ515" s="76" t="inlineStr">
        <is>
          <t>N</t>
        </is>
      </c>
      <c r="BK515" s="77">
        <f>IF('BBG Verify'!K515="","not filed — run on terminal",'BBG Verify'!K515)</f>
        <v/>
      </c>
      <c r="BL515" s="63" t="inlineStr">
        <is>
          <t>N/A</t>
        </is>
      </c>
      <c r="BM515" s="63" t="inlineStr">
        <is>
          <t>N/A</t>
        </is>
      </c>
      <c r="BN515" s="63" t="inlineStr">
        <is>
          <t>N/A</t>
        </is>
      </c>
      <c r="BO515" s="63" t="inlineStr">
        <is>
          <t>N/A</t>
        </is>
      </c>
      <c r="BP515" s="63" t="inlineStr">
        <is>
          <t>N/A</t>
        </is>
      </c>
      <c r="BQ515" s="63" t="inlineStr">
        <is>
          <t>N/A</t>
        </is>
      </c>
      <c r="BR515" s="76" t="inlineStr">
        <is>
          <t>Haitong International Capital Limited; BOCI Asia Limited</t>
        </is>
      </c>
      <c r="BS515" s="63" t="inlineStr">
        <is>
          <t>Haitong International Capital Limited; BOCI Asia Limited</t>
        </is>
      </c>
      <c r="BT515" s="63" t="inlineStr">
        <is>
          <t>Haitong International Securities Company Limited; BOCI Asia Limited; SDIC Securities (Hong Kong) Limited; Orient Securities (Hong Kong) Limited; TradeMaster Securities (Hong Kong) Limited; SPDB International Capital Limited</t>
        </is>
      </c>
      <c r="BU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V515" s="78">
        <f>HYPERLINK("https://www1.hkexnews.hk/listedco/listconews/sehk/2026/0730/2026073000009.pdf","prospectus")</f>
        <v/>
      </c>
      <c r="BW515" s="78">
        <f>HYPERLINK("https://www1.hkexnews.hk/listedco/listconews/sehk/2026/0806/2026080602047.pdf","allotment")</f>
        <v/>
      </c>
      <c r="BX515" s="63" t="n"/>
      <c r="BY515" s="76" t="n"/>
      <c r="BZ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72" t="n">
        <v>-0.3</v>
      </c>
      <c r="AC516" s="66" t="n">
        <v>99.75</v>
      </c>
      <c r="AD516" s="72" t="n">
        <v>0.3</v>
      </c>
      <c r="AE516" s="63" t="inlineStr">
        <is>
          <t>Y</t>
        </is>
      </c>
      <c r="AF516" s="63" t="n"/>
      <c r="AG516" s="63" t="inlineStr">
        <is>
          <t>2026-09-19</t>
        </is>
      </c>
      <c r="AH516" s="63" t="inlineStr">
        <is>
          <t>Guotai Junan Securities</t>
        </is>
      </c>
      <c r="AI516" s="63" t="inlineStr">
        <is>
          <t>Guotai Junan</t>
        </is>
      </c>
      <c r="AJ516" s="73" t="n">
        <v>0</v>
      </c>
      <c r="AK516" s="72" t="n">
        <v>0</v>
      </c>
      <c r="AL516" s="72" t="n">
        <v>0</v>
      </c>
      <c r="AM516" s="72" t="n">
        <v>0</v>
      </c>
      <c r="AN516" s="72" t="n"/>
      <c r="AO516" s="72" t="n"/>
      <c r="AP516" s="72" t="n">
        <v>0</v>
      </c>
      <c r="AQ516" s="72" t="n"/>
      <c r="AR516" s="72" t="n"/>
      <c r="AS516" s="72" t="n"/>
      <c r="AT516" s="72" t="n"/>
      <c r="AU516" s="72" t="n"/>
      <c r="AV516" s="72" t="n"/>
      <c r="AW516" s="72" t="n"/>
      <c r="AX516" s="72" t="n"/>
      <c r="AY516" s="63" t="inlineStr">
        <is>
          <t>HSTECH (Hang Seng TECH ETF)</t>
        </is>
      </c>
      <c r="AZ516" s="72" t="n">
        <v>1.5</v>
      </c>
      <c r="BA516" s="64" t="inlineStr">
        <is>
          <t>2026-08-31</t>
        </is>
      </c>
      <c r="BB516" s="65" t="n">
        <v>5215</v>
      </c>
      <c r="BC516" s="68" t="n">
        <v>414</v>
      </c>
      <c r="BD516" s="63" t="inlineStr">
        <is>
          <t>Y</t>
        </is>
      </c>
      <c r="BE516" s="74" t="n">
        <v>124.4</v>
      </c>
      <c r="BF516" s="74" t="n"/>
      <c r="BG516" s="74" t="n"/>
      <c r="BH516" s="74" t="n">
        <v>9.9</v>
      </c>
      <c r="BI516" s="75">
        <f>IF('BBG Verify'!S516="","not filed — run on terminal",'BBG Verify'!S516)</f>
        <v/>
      </c>
      <c r="BJ516" s="76" t="inlineStr">
        <is>
          <t>Y</t>
        </is>
      </c>
      <c r="BK516" s="63" t="inlineStr">
        <is>
          <t>300223.SZ</t>
        </is>
      </c>
      <c r="BL516" s="72" t="n">
        <v>55.89</v>
      </c>
      <c r="BM516" s="66" t="n">
        <v>155.8899</v>
      </c>
      <c r="BN516" s="80" t="n">
        <v>0.6072</v>
      </c>
      <c r="BO516" s="68" t="n">
        <v>84098.5</v>
      </c>
      <c r="BP516" s="75">
        <f>IF('BBG Verify'!Q516="","run on terminal",'BBG Verify'!Q516)</f>
        <v/>
      </c>
      <c r="BQ516" s="75">
        <f>IF('BBG Verify'!R516="","run on terminal",'BBG Verify'!R516)</f>
        <v/>
      </c>
      <c r="BR516" s="76" t="inlineStr">
        <is>
          <t>Guotai Junan Capital Limited</t>
        </is>
      </c>
      <c r="BS516" s="63" t="inlineStr">
        <is>
          <t>Guotai Junan Capital Limited</t>
        </is>
      </c>
      <c r="BT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78">
        <f>HYPERLINK("https://www1.hkexnews.hk/listedco/listconews/sehk/2026/0817/2026081700003.pdf","prospectus")</f>
        <v/>
      </c>
      <c r="BW516" s="78">
        <f>HYPERLINK("https://www1.hkexnews.hk/listedco/listconews/sehk/2026/0824/2026082401907.pdf","allotment")</f>
        <v/>
      </c>
      <c r="BX516" s="63" t="n"/>
      <c r="BY516" s="76" t="n"/>
      <c r="BZ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72" t="n">
        <v>-13.1</v>
      </c>
      <c r="AC517" s="66" t="n">
        <v>42.2</v>
      </c>
      <c r="AD517" s="72" t="n">
        <v>14.94</v>
      </c>
      <c r="AE517" s="63" t="inlineStr">
        <is>
          <t>Y</t>
        </is>
      </c>
      <c r="AF517" s="63" t="n"/>
      <c r="AG517" s="63" t="inlineStr">
        <is>
          <t>2026-09-26</t>
        </is>
      </c>
      <c r="AH517" s="63" t="inlineStr">
        <is>
          <t>Goldman Sachs</t>
        </is>
      </c>
      <c r="AI517" s="63" t="inlineStr">
        <is>
          <t>Goldman Sachs</t>
        </is>
      </c>
      <c r="AJ517" s="73" t="n">
        <v>-0.12</v>
      </c>
      <c r="AK517" s="72" t="n">
        <v>0</v>
      </c>
      <c r="AL517" s="72" t="n">
        <v>-0.12</v>
      </c>
      <c r="AM517" s="72" t="n"/>
      <c r="AN517" s="72" t="n"/>
      <c r="AO517" s="72" t="n"/>
      <c r="AP517" s="72" t="n"/>
      <c r="AQ517" s="72" t="n"/>
      <c r="AR517" s="72" t="n"/>
      <c r="AS517" s="72" t="n"/>
      <c r="AT517" s="72" t="n"/>
      <c r="AU517" s="72" t="n"/>
      <c r="AV517" s="72" t="n"/>
      <c r="AW517" s="72" t="n"/>
      <c r="AX517" s="72" t="n"/>
      <c r="AY517" s="63" t="inlineStr">
        <is>
          <t>Hang Seng Commerce &amp; Industry sub-index</t>
        </is>
      </c>
      <c r="AZ517" s="72" t="n">
        <v>-5.27</v>
      </c>
      <c r="BA517" s="64" t="inlineStr">
        <is>
          <t>2026-09-02</t>
        </is>
      </c>
      <c r="BB517" s="65" t="n">
        <v>326406.6</v>
      </c>
      <c r="BC517" s="68" t="n">
        <v>16099.2</v>
      </c>
      <c r="BD517" s="63" t="inlineStr">
        <is>
          <t>Y</t>
        </is>
      </c>
      <c r="BE517" s="74" t="n">
        <v>12.8</v>
      </c>
      <c r="BF517" s="74" t="n"/>
      <c r="BG517" s="74" t="n"/>
      <c r="BH517" s="74" t="n">
        <v>0.6</v>
      </c>
      <c r="BI517" s="75">
        <f>IF('BBG Verify'!S517="","not filed — run on terminal",'BBG Verify'!S517)</f>
        <v/>
      </c>
      <c r="BJ517" s="76" t="inlineStr">
        <is>
          <t>N</t>
        </is>
      </c>
      <c r="BK517" s="77">
        <f>IF('BBG Verify'!K517="","not filed — run on terminal",'BBG Verify'!K517)</f>
        <v/>
      </c>
      <c r="BL517" s="63" t="inlineStr">
        <is>
          <t>N/A</t>
        </is>
      </c>
      <c r="BM517" s="63" t="inlineStr">
        <is>
          <t>N/A</t>
        </is>
      </c>
      <c r="BN517" s="63" t="inlineStr">
        <is>
          <t>N/A</t>
        </is>
      </c>
      <c r="BO517" s="63" t="inlineStr">
        <is>
          <t>N/A</t>
        </is>
      </c>
      <c r="BP517" s="63" t="inlineStr">
        <is>
          <t>N/A</t>
        </is>
      </c>
      <c r="BQ517" s="63" t="inlineStr">
        <is>
          <t>N/A</t>
        </is>
      </c>
      <c r="BR517" s="76" t="inlineStr">
        <is>
          <t>Goldman Sachs (Asia) L.L.C; Morgan Stanley Asia Limited; J.P. Morgan Securities (Far East) Limited</t>
        </is>
      </c>
      <c r="BS517" s="63" t="inlineStr">
        <is>
          <t>Morgan Stanley Asia Limited; J.P. Morgan Securities (Far East) Limited; Goldman Sachs (Asia) L.L.C.</t>
        </is>
      </c>
      <c r="BT517" s="63" t="inlineStr">
        <is>
          <t>UBS AG Hong Kong Branch; Merrill Lynch (Asia Pacific) Limited; Cantabria Spain East West Bank, Hong Kong Branch</t>
        </is>
      </c>
      <c r="BU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V517" s="78">
        <f>HYPERLINK("https://www1.hkexnews.hk/listedco/listconews/sehk/2026/0824/2026082400019.pdf","prospectus")</f>
        <v/>
      </c>
      <c r="BW517" s="78">
        <f>HYPERLINK("https://www1.hkexnews.hk/listedco/listconews/sehk/2026/0831/2026083102409.pdf","allotment")</f>
        <v/>
      </c>
      <c r="BX517" s="63" t="n"/>
      <c r="BY517" s="76" t="n"/>
      <c r="BZ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72" t="n">
        <v>-1.1</v>
      </c>
      <c r="AC518" s="66" t="n">
        <v>100.6</v>
      </c>
      <c r="AD518" s="72" t="n">
        <v>-0.78</v>
      </c>
      <c r="AE518" s="63" t="inlineStr">
        <is>
          <t>Y</t>
        </is>
      </c>
      <c r="AF518" s="63" t="n"/>
      <c r="AG518" s="63" t="inlineStr">
        <is>
          <t>2026-09-26</t>
        </is>
      </c>
      <c r="AH518" s="63" t="inlineStr">
        <is>
          <t>CLSA Limited</t>
        </is>
      </c>
      <c r="AI518" s="63" t="inlineStr">
        <is>
          <t>CLSA</t>
        </is>
      </c>
      <c r="AJ518" s="73" t="n">
        <v>-1.87</v>
      </c>
      <c r="AK518" s="72" t="n">
        <v>0</v>
      </c>
      <c r="AL518" s="72" t="n">
        <v>-1.87</v>
      </c>
      <c r="AM518" s="72" t="n"/>
      <c r="AN518" s="72" t="n"/>
      <c r="AO518" s="72" t="n"/>
      <c r="AP518" s="72" t="n"/>
      <c r="AQ518" s="72" t="n"/>
      <c r="AR518" s="72" t="n"/>
      <c r="AS518" s="72" t="n"/>
      <c r="AT518" s="72" t="n"/>
      <c r="AU518" s="72" t="n"/>
      <c r="AV518" s="72" t="n"/>
      <c r="AW518" s="72" t="n"/>
      <c r="AX518" s="72" t="n"/>
      <c r="AY518" s="63" t="inlineStr">
        <is>
          <t>HSTECH (Hang Seng TECH ETF)</t>
        </is>
      </c>
      <c r="AZ518" s="72" t="n">
        <v>-3.39</v>
      </c>
      <c r="BA518" s="64" t="inlineStr">
        <is>
          <t>2026-09-02</t>
        </is>
      </c>
      <c r="BB518" s="65" t="n">
        <v>427.6</v>
      </c>
      <c r="BC518" s="68" t="n">
        <v>-396.2</v>
      </c>
      <c r="BD518" s="63" t="inlineStr">
        <is>
          <t>N</t>
        </is>
      </c>
      <c r="BE518" s="63" t="inlineStr">
        <is>
          <t>n/m</t>
        </is>
      </c>
      <c r="BF518" s="74" t="n"/>
      <c r="BG518" s="74" t="n"/>
      <c r="BH518" s="74" t="n">
        <v>29.7</v>
      </c>
      <c r="BI518" s="75">
        <f>IF('BBG Verify'!S518="","not filed — run on terminal",'BBG Verify'!S518)</f>
        <v/>
      </c>
      <c r="BJ518" s="76" t="inlineStr">
        <is>
          <t>N</t>
        </is>
      </c>
      <c r="BK518" s="77">
        <f>IF('BBG Verify'!K518="","not filed — run on terminal",'BBG Verify'!K518)</f>
        <v/>
      </c>
      <c r="BL518" s="63" t="inlineStr">
        <is>
          <t>N/A</t>
        </is>
      </c>
      <c r="BM518" s="63" t="inlineStr">
        <is>
          <t>N/A</t>
        </is>
      </c>
      <c r="BN518" s="63" t="inlineStr">
        <is>
          <t>N/A</t>
        </is>
      </c>
      <c r="BO518" s="63" t="inlineStr">
        <is>
          <t>N/A</t>
        </is>
      </c>
      <c r="BP518" s="63" t="inlineStr">
        <is>
          <t>N/A</t>
        </is>
      </c>
      <c r="BQ518" s="63" t="inlineStr">
        <is>
          <t>N/A</t>
        </is>
      </c>
      <c r="BR518" s="76" t="inlineStr">
        <is>
          <t>China Securities (International) Corporate Finance Company Limited; CITIC Securities (Hong Kong) Limited</t>
        </is>
      </c>
      <c r="BS518" s="63" t="inlineStr">
        <is>
          <t>CITIC Securities (Hong Kong) Limited; China Securities (International) Corporate Finance Company Limited</t>
        </is>
      </c>
      <c r="BT518" s="63" t="inlineStr">
        <is>
          <t>Tiger Brokers (HK) Global Limited</t>
        </is>
      </c>
      <c r="BU518" s="63" t="inlineStr">
        <is>
          <t>CLSA Limited; China Securities (International) Corporate Finance Company Limited; Daiwa Capital Markets Hong Kong Limited; Futu Securities International (Hong Kong) Limited; Macquarie Capital Limited; Tiger Brokers (HK) Global Limited</t>
        </is>
      </c>
      <c r="BV518" s="78">
        <f>HYPERLINK("https://www1.hkexnews.hk/listedco/listconews/sehk/2026/0824/2026082400017.pdf","prospectus")</f>
        <v/>
      </c>
      <c r="BW518" s="78">
        <f>HYPERLINK("https://www1.hkexnews.hk/listedco/listconews/sehk/2026/0831/2026083102433.pdf","allotment")</f>
        <v/>
      </c>
      <c r="BX518" s="63" t="n"/>
      <c r="BY518" s="76" t="n"/>
      <c r="BZ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BZ518"/>
  <mergeCells count="8">
    <mergeCell ref="A3:H3"/>
    <mergeCell ref="AJ3:BA3"/>
    <mergeCell ref="BY3:BZ3"/>
    <mergeCell ref="S3:AI3"/>
    <mergeCell ref="BJ3:BQ3"/>
    <mergeCell ref="I3:R3"/>
    <mergeCell ref="BB3:BI3"/>
    <mergeCell ref="BR3:BX3"/>
  </mergeCells>
  <conditionalFormatting sqref="A5:BZ518">
    <cfRule type="expression" priority="20" dxfId="2" stopIfTrue="0">
      <formula>MOD(ROW(),2)=0</formula>
    </cfRule>
  </conditionalFormatting>
  <conditionalFormatting sqref="AJ5:AJ518">
    <cfRule type="colorScale" priority="1">
      <colorScale>
        <cfvo type="num" val="-60"/>
        <cfvo type="num" val="0"/>
        <cfvo type="num" val="60"/>
        <color rgb="00F8696B"/>
        <color rgb="00FFFFFF"/>
        <color rgb="0063BE7B"/>
      </colorScale>
    </cfRule>
  </conditionalFormatting>
  <conditionalFormatting sqref="AK5:AK518">
    <cfRule type="colorScale" priority="2">
      <colorScale>
        <cfvo type="num" val="-60"/>
        <cfvo type="num" val="0"/>
        <cfvo type="num" val="60"/>
        <color rgb="00F8696B"/>
        <color rgb="00FFFFFF"/>
        <color rgb="0063BE7B"/>
      </colorScale>
    </cfRule>
  </conditionalFormatting>
  <conditionalFormatting sqref="AL5:AL518">
    <cfRule type="colorScale" priority="3">
      <colorScale>
        <cfvo type="num" val="-60"/>
        <cfvo type="num" val="0"/>
        <cfvo type="num" val="60"/>
        <color rgb="00F8696B"/>
        <color rgb="00FFFFFF"/>
        <color rgb="0063BE7B"/>
      </colorScale>
    </cfRule>
  </conditionalFormatting>
  <conditionalFormatting sqref="AM5:AM518">
    <cfRule type="colorScale" priority="4">
      <colorScale>
        <cfvo type="num" val="-60"/>
        <cfvo type="num" val="0"/>
        <cfvo type="num" val="60"/>
        <color rgb="00F8696B"/>
        <color rgb="00FFFFFF"/>
        <color rgb="0063BE7B"/>
      </colorScale>
    </cfRule>
  </conditionalFormatting>
  <conditionalFormatting sqref="AN5:AN518">
    <cfRule type="colorScale" priority="5">
      <colorScale>
        <cfvo type="num" val="-60"/>
        <cfvo type="num" val="0"/>
        <cfvo type="num" val="60"/>
        <color rgb="00F8696B"/>
        <color rgb="00FFFFFF"/>
        <color rgb="0063BE7B"/>
      </colorScale>
    </cfRule>
  </conditionalFormatting>
  <conditionalFormatting sqref="AO5:AO518">
    <cfRule type="colorScale" priority="6">
      <colorScale>
        <cfvo type="num" val="-60"/>
        <cfvo type="num" val="0"/>
        <cfvo type="num" val="60"/>
        <color rgb="00F8696B"/>
        <color rgb="00FFFFFF"/>
        <color rgb="0063BE7B"/>
      </colorScale>
    </cfRule>
  </conditionalFormatting>
  <conditionalFormatting sqref="AP5:AP518">
    <cfRule type="colorScale" priority="7">
      <colorScale>
        <cfvo type="num" val="-60"/>
        <cfvo type="num" val="0"/>
        <cfvo type="num" val="60"/>
        <color rgb="00F8696B"/>
        <color rgb="00FFFFFF"/>
        <color rgb="0063BE7B"/>
      </colorScale>
    </cfRule>
  </conditionalFormatting>
  <conditionalFormatting sqref="AQ5:AQ518">
    <cfRule type="colorScale" priority="8">
      <colorScale>
        <cfvo type="num" val="-60"/>
        <cfvo type="num" val="0"/>
        <cfvo type="num" val="60"/>
        <color rgb="00F8696B"/>
        <color rgb="00FFFFFF"/>
        <color rgb="0063BE7B"/>
      </colorScale>
    </cfRule>
  </conditionalFormatting>
  <conditionalFormatting sqref="AR5:AR518">
    <cfRule type="colorScale" priority="9">
      <colorScale>
        <cfvo type="num" val="-60"/>
        <cfvo type="num" val="0"/>
        <cfvo type="num" val="60"/>
        <color rgb="00F8696B"/>
        <color rgb="00FFFFFF"/>
        <color rgb="0063BE7B"/>
      </colorScale>
    </cfRule>
  </conditionalFormatting>
  <conditionalFormatting sqref="AT5:AT518">
    <cfRule type="colorScale" priority="10">
      <colorScale>
        <cfvo type="num" val="-60"/>
        <cfvo type="num" val="0"/>
        <cfvo type="num" val="60"/>
        <color rgb="00F8696B"/>
        <color rgb="00FFFFFF"/>
        <color rgb="0063BE7B"/>
      </colorScale>
    </cfRule>
  </conditionalFormatting>
  <conditionalFormatting sqref="AV5:AV518">
    <cfRule type="colorScale" priority="11">
      <colorScale>
        <cfvo type="num" val="-60"/>
        <cfvo type="num" val="0"/>
        <cfvo type="num" val="60"/>
        <color rgb="00F8696B"/>
        <color rgb="00FFFFFF"/>
        <color rgb="0063BE7B"/>
      </colorScale>
    </cfRule>
  </conditionalFormatting>
  <conditionalFormatting sqref="AZ5:AZ518">
    <cfRule type="colorScale" priority="12">
      <colorScale>
        <cfvo type="num" val="-60"/>
        <cfvo type="num" val="0"/>
        <cfvo type="num" val="60"/>
        <color rgb="00F8696B"/>
        <color rgb="00FFFFFF"/>
        <color rgb="0063BE7B"/>
      </colorScale>
    </cfRule>
  </conditionalFormatting>
  <conditionalFormatting sqref="BL5:BL518">
    <cfRule type="colorScale" priority="13">
      <colorScale>
        <cfvo type="num" val="-60"/>
        <cfvo type="num" val="0"/>
        <cfvo type="num" val="60"/>
        <color rgb="00F8696B"/>
        <color rgb="00FFFFFF"/>
        <color rgb="0063BE7B"/>
      </colorScale>
    </cfRule>
  </conditionalFormatting>
  <conditionalFormatting sqref="BN5:BN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2" t="n"/>
      <c r="W6" s="72"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2" t="n"/>
      <c r="W7" s="72"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2" t="n"/>
      <c r="W8" s="72"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2" t="n"/>
      <c r="W9" s="72"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2" t="n"/>
      <c r="W10" s="72"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2" t="n"/>
      <c r="W14" s="72"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2" t="n"/>
      <c r="W15" s="72"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2" t="n"/>
      <c r="W16" s="72"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2" t="n"/>
      <c r="W17" s="72"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Database!AF5</f>
        <v/>
      </c>
      <c r="J5" s="24">
        <f>IFERROR(BDP(Database!$A5&amp;" HK Equity","PE_RATIO"),"")</f>
        <v/>
      </c>
      <c r="K5" s="10">
        <f>IFERROR(BDP(Database!$A5&amp;" HK Equity","A/H_SHARE_CONVERSION"),"")</f>
        <v/>
      </c>
      <c r="L5" s="16">
        <f>IF(Database!BK5="","(none found)",Database!BK5)</f>
        <v/>
      </c>
      <c r="M5" s="18">
        <f>IFERROR(BDH(Database!$A5&amp;" HK Equity","CUR_MKT_CAP",Database!$H5,Database!$H5),"")</f>
        <v/>
      </c>
      <c r="N5" s="97">
        <f>Database!Q5</f>
        <v/>
      </c>
      <c r="O5" s="24">
        <f>IFERROR(BDH(Database!$A5&amp;" HK Equity","PE_RATIO",Database!$H5,Database!$H5),"")</f>
        <v/>
      </c>
      <c r="P5" s="101">
        <f>IF(Database!BE5="","(n/m or not derivable)",Database!BE5)</f>
        <v/>
      </c>
      <c r="Q5" s="24">
        <f>IF(Database!BK5="","",IFERROR(BDH(LEFT(Database!BK5,FIND(".",Database!BK5)-1)&amp;" CH Equity","PE_RATIO",Database!$H5,Database!$H5),""))</f>
        <v/>
      </c>
      <c r="R5" s="24">
        <f>IF(Database!BK5="","",IFERROR(BDH("HSAHP Index","PX_LAST",Database!$H5,Database!$H5),""))</f>
        <v/>
      </c>
      <c r="S5" s="24">
        <f>IFERROR(BDP(Database!$A5&amp;" HK Equity","PX_TO_SALES_RATIO"),"")</f>
        <v/>
      </c>
      <c r="T5" s="18">
        <f>IF(Database!BK5="","",IFERROR(BDP(LEFT(Database!BK5,FIND(".",Database!BK5)-1)&amp;"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Database!AF6</f>
        <v/>
      </c>
      <c r="J6" s="24">
        <f>IFERROR(BDP(Database!$A6&amp;" HK Equity","PE_RATIO"),"")</f>
        <v/>
      </c>
      <c r="K6" s="10">
        <f>IFERROR(BDP(Database!$A6&amp;" HK Equity","A/H_SHARE_CONVERSION"),"")</f>
        <v/>
      </c>
      <c r="L6" s="16">
        <f>IF(Database!BK6="","(none found)",Database!BK6)</f>
        <v/>
      </c>
      <c r="M6" s="18">
        <f>IFERROR(BDH(Database!$A6&amp;" HK Equity","CUR_MKT_CAP",Database!$H6,Database!$H6),"")</f>
        <v/>
      </c>
      <c r="N6" s="97">
        <f>Database!Q6</f>
        <v/>
      </c>
      <c r="O6" s="24">
        <f>IFERROR(BDH(Database!$A6&amp;" HK Equity","PE_RATIO",Database!$H6,Database!$H6),"")</f>
        <v/>
      </c>
      <c r="P6" s="101">
        <f>IF(Database!BE6="","(n/m or not derivable)",Database!BE6)</f>
        <v/>
      </c>
      <c r="Q6" s="24">
        <f>IF(Database!BK6="","",IFERROR(BDH(LEFT(Database!BK6,FIND(".",Database!BK6)-1)&amp;" CH Equity","PE_RATIO",Database!$H6,Database!$H6),""))</f>
        <v/>
      </c>
      <c r="R6" s="24">
        <f>IF(Database!BK6="","",IFERROR(BDH("HSAHP Index","PX_LAST",Database!$H6,Database!$H6),""))</f>
        <v/>
      </c>
      <c r="S6" s="24">
        <f>IFERROR(BDP(Database!$A6&amp;" HK Equity","PX_TO_SALES_RATIO"),"")</f>
        <v/>
      </c>
      <c r="T6" s="18">
        <f>IF(Database!BK6="","",IFERROR(BDP(LEFT(Database!BK6,FIND(".",Database!BK6)-1)&amp;"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Database!AF7</f>
        <v/>
      </c>
      <c r="J7" s="24">
        <f>IFERROR(BDP(Database!$A7&amp;" HK Equity","PE_RATIO"),"")</f>
        <v/>
      </c>
      <c r="K7" s="10">
        <f>IFERROR(BDP(Database!$A7&amp;" HK Equity","A/H_SHARE_CONVERSION"),"")</f>
        <v/>
      </c>
      <c r="L7" s="16">
        <f>IF(Database!BK7="","(none found)",Database!BK7)</f>
        <v/>
      </c>
      <c r="M7" s="18">
        <f>IFERROR(BDH(Database!$A7&amp;" HK Equity","CUR_MKT_CAP",Database!$H7,Database!$H7),"")</f>
        <v/>
      </c>
      <c r="N7" s="97">
        <f>Database!Q7</f>
        <v/>
      </c>
      <c r="O7" s="24">
        <f>IFERROR(BDH(Database!$A7&amp;" HK Equity","PE_RATIO",Database!$H7,Database!$H7),"")</f>
        <v/>
      </c>
      <c r="P7" s="101">
        <f>IF(Database!BE7="","(n/m or not derivable)",Database!BE7)</f>
        <v/>
      </c>
      <c r="Q7" s="24">
        <f>IF(Database!BK7="","",IFERROR(BDH(LEFT(Database!BK7,FIND(".",Database!BK7)-1)&amp;" CH Equity","PE_RATIO",Database!$H7,Database!$H7),""))</f>
        <v/>
      </c>
      <c r="R7" s="24">
        <f>IF(Database!BK7="","",IFERROR(BDH("HSAHP Index","PX_LAST",Database!$H7,Database!$H7),""))</f>
        <v/>
      </c>
      <c r="S7" s="24">
        <f>IFERROR(BDP(Database!$A7&amp;" HK Equity","PX_TO_SALES_RATIO"),"")</f>
        <v/>
      </c>
      <c r="T7" s="18">
        <f>IF(Database!BK7="","",IFERROR(BDP(LEFT(Database!BK7,FIND(".",Database!BK7)-1)&amp;"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Database!AF8</f>
        <v/>
      </c>
      <c r="J8" s="24">
        <f>IFERROR(BDP(Database!$A8&amp;" HK Equity","PE_RATIO"),"")</f>
        <v/>
      </c>
      <c r="K8" s="10">
        <f>IFERROR(BDP(Database!$A8&amp;" HK Equity","A/H_SHARE_CONVERSION"),"")</f>
        <v/>
      </c>
      <c r="L8" s="16">
        <f>IF(Database!BK8="","(none found)",Database!BK8)</f>
        <v/>
      </c>
      <c r="M8" s="18">
        <f>IFERROR(BDH(Database!$A8&amp;" HK Equity","CUR_MKT_CAP",Database!$H8,Database!$H8),"")</f>
        <v/>
      </c>
      <c r="N8" s="97">
        <f>Database!Q8</f>
        <v/>
      </c>
      <c r="O8" s="24">
        <f>IFERROR(BDH(Database!$A8&amp;" HK Equity","PE_RATIO",Database!$H8,Database!$H8),"")</f>
        <v/>
      </c>
      <c r="P8" s="101">
        <f>IF(Database!BE8="","(n/m or not derivable)",Database!BE8)</f>
        <v/>
      </c>
      <c r="Q8" s="24">
        <f>IF(Database!BK8="","",IFERROR(BDH(LEFT(Database!BK8,FIND(".",Database!BK8)-1)&amp;" CH Equity","PE_RATIO",Database!$H8,Database!$H8),""))</f>
        <v/>
      </c>
      <c r="R8" s="24">
        <f>IF(Database!BK8="","",IFERROR(BDH("HSAHP Index","PX_LAST",Database!$H8,Database!$H8),""))</f>
        <v/>
      </c>
      <c r="S8" s="24">
        <f>IFERROR(BDP(Database!$A8&amp;" HK Equity","PX_TO_SALES_RATIO"),"")</f>
        <v/>
      </c>
      <c r="T8" s="18">
        <f>IF(Database!BK8="","",IFERROR(BDP(LEFT(Database!BK8,FIND(".",Database!BK8)-1)&amp;"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Database!AF9</f>
        <v/>
      </c>
      <c r="J9" s="24">
        <f>IFERROR(BDP(Database!$A9&amp;" HK Equity","PE_RATIO"),"")</f>
        <v/>
      </c>
      <c r="K9" s="10">
        <f>IFERROR(BDP(Database!$A9&amp;" HK Equity","A/H_SHARE_CONVERSION"),"")</f>
        <v/>
      </c>
      <c r="L9" s="16">
        <f>IF(Database!BK9="","(none found)",Database!BK9)</f>
        <v/>
      </c>
      <c r="M9" s="18">
        <f>IFERROR(BDH(Database!$A9&amp;" HK Equity","CUR_MKT_CAP",Database!$H9,Database!$H9),"")</f>
        <v/>
      </c>
      <c r="N9" s="97">
        <f>Database!Q9</f>
        <v/>
      </c>
      <c r="O9" s="24">
        <f>IFERROR(BDH(Database!$A9&amp;" HK Equity","PE_RATIO",Database!$H9,Database!$H9),"")</f>
        <v/>
      </c>
      <c r="P9" s="101">
        <f>IF(Database!BE9="","(n/m or not derivable)",Database!BE9)</f>
        <v/>
      </c>
      <c r="Q9" s="24">
        <f>IF(Database!BK9="","",IFERROR(BDH(LEFT(Database!BK9,FIND(".",Database!BK9)-1)&amp;" CH Equity","PE_RATIO",Database!$H9,Database!$H9),""))</f>
        <v/>
      </c>
      <c r="R9" s="24">
        <f>IF(Database!BK9="","",IFERROR(BDH("HSAHP Index","PX_LAST",Database!$H9,Database!$H9),""))</f>
        <v/>
      </c>
      <c r="S9" s="24">
        <f>IFERROR(BDP(Database!$A9&amp;" HK Equity","PX_TO_SALES_RATIO"),"")</f>
        <v/>
      </c>
      <c r="T9" s="18">
        <f>IF(Database!BK9="","",IFERROR(BDP(LEFT(Database!BK9,FIND(".",Database!BK9)-1)&amp;"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Database!AF10</f>
        <v/>
      </c>
      <c r="J10" s="24">
        <f>IFERROR(BDP(Database!$A10&amp;" HK Equity","PE_RATIO"),"")</f>
        <v/>
      </c>
      <c r="K10" s="10">
        <f>IFERROR(BDP(Database!$A10&amp;" HK Equity","A/H_SHARE_CONVERSION"),"")</f>
        <v/>
      </c>
      <c r="L10" s="16">
        <f>IF(Database!BK10="","(none found)",Database!BK10)</f>
        <v/>
      </c>
      <c r="M10" s="18">
        <f>IFERROR(BDH(Database!$A10&amp;" HK Equity","CUR_MKT_CAP",Database!$H10,Database!$H10),"")</f>
        <v/>
      </c>
      <c r="N10" s="97">
        <f>Database!Q10</f>
        <v/>
      </c>
      <c r="O10" s="24">
        <f>IFERROR(BDH(Database!$A10&amp;" HK Equity","PE_RATIO",Database!$H10,Database!$H10),"")</f>
        <v/>
      </c>
      <c r="P10" s="101">
        <f>IF(Database!BE10="","(n/m or not derivable)",Database!BE10)</f>
        <v/>
      </c>
      <c r="Q10" s="24">
        <f>IF(Database!BK10="","",IFERROR(BDH(LEFT(Database!BK10,FIND(".",Database!BK10)-1)&amp;" CH Equity","PE_RATIO",Database!$H10,Database!$H10),""))</f>
        <v/>
      </c>
      <c r="R10" s="24">
        <f>IF(Database!BK10="","",IFERROR(BDH("HSAHP Index","PX_LAST",Database!$H10,Database!$H10),""))</f>
        <v/>
      </c>
      <c r="S10" s="24">
        <f>IFERROR(BDP(Database!$A10&amp;" HK Equity","PX_TO_SALES_RATIO"),"")</f>
        <v/>
      </c>
      <c r="T10" s="18">
        <f>IF(Database!BK10="","",IFERROR(BDP(LEFT(Database!BK10,FIND(".",Database!BK10)-1)&amp;"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Database!AF11</f>
        <v/>
      </c>
      <c r="J11" s="24">
        <f>IFERROR(BDP(Database!$A11&amp;" HK Equity","PE_RATIO"),"")</f>
        <v/>
      </c>
      <c r="K11" s="10">
        <f>IFERROR(BDP(Database!$A11&amp;" HK Equity","A/H_SHARE_CONVERSION"),"")</f>
        <v/>
      </c>
      <c r="L11" s="16">
        <f>IF(Database!BK11="","(none found)",Database!BK11)</f>
        <v/>
      </c>
      <c r="M11" s="18">
        <f>IFERROR(BDH(Database!$A11&amp;" HK Equity","CUR_MKT_CAP",Database!$H11,Database!$H11),"")</f>
        <v/>
      </c>
      <c r="N11" s="97">
        <f>Database!Q11</f>
        <v/>
      </c>
      <c r="O11" s="24">
        <f>IFERROR(BDH(Database!$A11&amp;" HK Equity","PE_RATIO",Database!$H11,Database!$H11),"")</f>
        <v/>
      </c>
      <c r="P11" s="101">
        <f>IF(Database!BE11="","(n/m or not derivable)",Database!BE11)</f>
        <v/>
      </c>
      <c r="Q11" s="24">
        <f>IF(Database!BK11="","",IFERROR(BDH(LEFT(Database!BK11,FIND(".",Database!BK11)-1)&amp;" CH Equity","PE_RATIO",Database!$H11,Database!$H11),""))</f>
        <v/>
      </c>
      <c r="R11" s="24">
        <f>IF(Database!BK11="","",IFERROR(BDH("HSAHP Index","PX_LAST",Database!$H11,Database!$H11),""))</f>
        <v/>
      </c>
      <c r="S11" s="24">
        <f>IFERROR(BDP(Database!$A11&amp;" HK Equity","PX_TO_SALES_RATIO"),"")</f>
        <v/>
      </c>
      <c r="T11" s="18">
        <f>IF(Database!BK11="","",IFERROR(BDP(LEFT(Database!BK11,FIND(".",Database!BK11)-1)&amp;"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Database!AF12</f>
        <v/>
      </c>
      <c r="J12" s="24">
        <f>IFERROR(BDP(Database!$A12&amp;" HK Equity","PE_RATIO"),"")</f>
        <v/>
      </c>
      <c r="K12" s="10">
        <f>IFERROR(BDP(Database!$A12&amp;" HK Equity","A/H_SHARE_CONVERSION"),"")</f>
        <v/>
      </c>
      <c r="L12" s="16">
        <f>IF(Database!BK12="","(none found)",Database!BK12)</f>
        <v/>
      </c>
      <c r="M12" s="18">
        <f>IFERROR(BDH(Database!$A12&amp;" HK Equity","CUR_MKT_CAP",Database!$H12,Database!$H12),"")</f>
        <v/>
      </c>
      <c r="N12" s="97">
        <f>Database!Q12</f>
        <v/>
      </c>
      <c r="O12" s="24">
        <f>IFERROR(BDH(Database!$A12&amp;" HK Equity","PE_RATIO",Database!$H12,Database!$H12),"")</f>
        <v/>
      </c>
      <c r="P12" s="101">
        <f>IF(Database!BE12="","(n/m or not derivable)",Database!BE12)</f>
        <v/>
      </c>
      <c r="Q12" s="24">
        <f>IF(Database!BK12="","",IFERROR(BDH(LEFT(Database!BK12,FIND(".",Database!BK12)-1)&amp;" CH Equity","PE_RATIO",Database!$H12,Database!$H12),""))</f>
        <v/>
      </c>
      <c r="R12" s="24">
        <f>IF(Database!BK12="","",IFERROR(BDH("HSAHP Index","PX_LAST",Database!$H12,Database!$H12),""))</f>
        <v/>
      </c>
      <c r="S12" s="24">
        <f>IFERROR(BDP(Database!$A12&amp;" HK Equity","PX_TO_SALES_RATIO"),"")</f>
        <v/>
      </c>
      <c r="T12" s="18">
        <f>IF(Database!BK12="","",IFERROR(BDP(LEFT(Database!BK12,FIND(".",Database!BK12)-1)&amp;"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Database!AF13</f>
        <v/>
      </c>
      <c r="J13" s="24">
        <f>IFERROR(BDP(Database!$A13&amp;" HK Equity","PE_RATIO"),"")</f>
        <v/>
      </c>
      <c r="K13" s="10">
        <f>IFERROR(BDP(Database!$A13&amp;" HK Equity","A/H_SHARE_CONVERSION"),"")</f>
        <v/>
      </c>
      <c r="L13" s="16">
        <f>IF(Database!BK13="","(none found)",Database!BK13)</f>
        <v/>
      </c>
      <c r="M13" s="18">
        <f>IFERROR(BDH(Database!$A13&amp;" HK Equity","CUR_MKT_CAP",Database!$H13,Database!$H13),"")</f>
        <v/>
      </c>
      <c r="N13" s="97">
        <f>Database!Q13</f>
        <v/>
      </c>
      <c r="O13" s="24">
        <f>IFERROR(BDH(Database!$A13&amp;" HK Equity","PE_RATIO",Database!$H13,Database!$H13),"")</f>
        <v/>
      </c>
      <c r="P13" s="101">
        <f>IF(Database!BE13="","(n/m or not derivable)",Database!BE13)</f>
        <v/>
      </c>
      <c r="Q13" s="24">
        <f>IF(Database!BK13="","",IFERROR(BDH(LEFT(Database!BK13,FIND(".",Database!BK13)-1)&amp;" CH Equity","PE_RATIO",Database!$H13,Database!$H13),""))</f>
        <v/>
      </c>
      <c r="R13" s="24">
        <f>IF(Database!BK13="","",IFERROR(BDH("HSAHP Index","PX_LAST",Database!$H13,Database!$H13),""))</f>
        <v/>
      </c>
      <c r="S13" s="24">
        <f>IFERROR(BDP(Database!$A13&amp;" HK Equity","PX_TO_SALES_RATIO"),"")</f>
        <v/>
      </c>
      <c r="T13" s="18">
        <f>IF(Database!BK13="","",IFERROR(BDP(LEFT(Database!BK13,FIND(".",Database!BK13)-1)&amp;"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Database!AF14</f>
        <v/>
      </c>
      <c r="J14" s="24">
        <f>IFERROR(BDP(Database!$A14&amp;" HK Equity","PE_RATIO"),"")</f>
        <v/>
      </c>
      <c r="K14" s="10">
        <f>IFERROR(BDP(Database!$A14&amp;" HK Equity","A/H_SHARE_CONVERSION"),"")</f>
        <v/>
      </c>
      <c r="L14" s="16">
        <f>IF(Database!BK14="","(none found)",Database!BK14)</f>
        <v/>
      </c>
      <c r="M14" s="18">
        <f>IFERROR(BDH(Database!$A14&amp;" HK Equity","CUR_MKT_CAP",Database!$H14,Database!$H14),"")</f>
        <v/>
      </c>
      <c r="N14" s="97">
        <f>Database!Q14</f>
        <v/>
      </c>
      <c r="O14" s="24">
        <f>IFERROR(BDH(Database!$A14&amp;" HK Equity","PE_RATIO",Database!$H14,Database!$H14),"")</f>
        <v/>
      </c>
      <c r="P14" s="101">
        <f>IF(Database!BE14="","(n/m or not derivable)",Database!BE14)</f>
        <v/>
      </c>
      <c r="Q14" s="24">
        <f>IF(Database!BK14="","",IFERROR(BDH(LEFT(Database!BK14,FIND(".",Database!BK14)-1)&amp;" CH Equity","PE_RATIO",Database!$H14,Database!$H14),""))</f>
        <v/>
      </c>
      <c r="R14" s="24">
        <f>IF(Database!BK14="","",IFERROR(BDH("HSAHP Index","PX_LAST",Database!$H14,Database!$H14),""))</f>
        <v/>
      </c>
      <c r="S14" s="24">
        <f>IFERROR(BDP(Database!$A14&amp;" HK Equity","PX_TO_SALES_RATIO"),"")</f>
        <v/>
      </c>
      <c r="T14" s="18">
        <f>IF(Database!BK14="","",IFERROR(BDP(LEFT(Database!BK14,FIND(".",Database!BK14)-1)&amp;"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Database!AF15</f>
        <v/>
      </c>
      <c r="J15" s="24">
        <f>IFERROR(BDP(Database!$A15&amp;" HK Equity","PE_RATIO"),"")</f>
        <v/>
      </c>
      <c r="K15" s="10">
        <f>IFERROR(BDP(Database!$A15&amp;" HK Equity","A/H_SHARE_CONVERSION"),"")</f>
        <v/>
      </c>
      <c r="L15" s="16">
        <f>IF(Database!BK15="","(none found)",Database!BK15)</f>
        <v/>
      </c>
      <c r="M15" s="18">
        <f>IFERROR(BDH(Database!$A15&amp;" HK Equity","CUR_MKT_CAP",Database!$H15,Database!$H15),"")</f>
        <v/>
      </c>
      <c r="N15" s="97">
        <f>Database!Q15</f>
        <v/>
      </c>
      <c r="O15" s="24">
        <f>IFERROR(BDH(Database!$A15&amp;" HK Equity","PE_RATIO",Database!$H15,Database!$H15),"")</f>
        <v/>
      </c>
      <c r="P15" s="101">
        <f>IF(Database!BE15="","(n/m or not derivable)",Database!BE15)</f>
        <v/>
      </c>
      <c r="Q15" s="24">
        <f>IF(Database!BK15="","",IFERROR(BDH(LEFT(Database!BK15,FIND(".",Database!BK15)-1)&amp;" CH Equity","PE_RATIO",Database!$H15,Database!$H15),""))</f>
        <v/>
      </c>
      <c r="R15" s="24">
        <f>IF(Database!BK15="","",IFERROR(BDH("HSAHP Index","PX_LAST",Database!$H15,Database!$H15),""))</f>
        <v/>
      </c>
      <c r="S15" s="24">
        <f>IFERROR(BDP(Database!$A15&amp;" HK Equity","PX_TO_SALES_RATIO"),"")</f>
        <v/>
      </c>
      <c r="T15" s="18">
        <f>IF(Database!BK15="","",IFERROR(BDP(LEFT(Database!BK15,FIND(".",Database!BK15)-1)&amp;"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Database!AF16</f>
        <v/>
      </c>
      <c r="J16" s="24">
        <f>IFERROR(BDP(Database!$A16&amp;" HK Equity","PE_RATIO"),"")</f>
        <v/>
      </c>
      <c r="K16" s="10">
        <f>IFERROR(BDP(Database!$A16&amp;" HK Equity","A/H_SHARE_CONVERSION"),"")</f>
        <v/>
      </c>
      <c r="L16" s="16">
        <f>IF(Database!BK16="","(none found)",Database!BK16)</f>
        <v/>
      </c>
      <c r="M16" s="18">
        <f>IFERROR(BDH(Database!$A16&amp;" HK Equity","CUR_MKT_CAP",Database!$H16,Database!$H16),"")</f>
        <v/>
      </c>
      <c r="N16" s="97">
        <f>Database!Q16</f>
        <v/>
      </c>
      <c r="O16" s="24">
        <f>IFERROR(BDH(Database!$A16&amp;" HK Equity","PE_RATIO",Database!$H16,Database!$H16),"")</f>
        <v/>
      </c>
      <c r="P16" s="101">
        <f>IF(Database!BE16="","(n/m or not derivable)",Database!BE16)</f>
        <v/>
      </c>
      <c r="Q16" s="24">
        <f>IF(Database!BK16="","",IFERROR(BDH(LEFT(Database!BK16,FIND(".",Database!BK16)-1)&amp;" CH Equity","PE_RATIO",Database!$H16,Database!$H16),""))</f>
        <v/>
      </c>
      <c r="R16" s="24">
        <f>IF(Database!BK16="","",IFERROR(BDH("HSAHP Index","PX_LAST",Database!$H16,Database!$H16),""))</f>
        <v/>
      </c>
      <c r="S16" s="24">
        <f>IFERROR(BDP(Database!$A16&amp;" HK Equity","PX_TO_SALES_RATIO"),"")</f>
        <v/>
      </c>
      <c r="T16" s="18">
        <f>IF(Database!BK16="","",IFERROR(BDP(LEFT(Database!BK16,FIND(".",Database!BK16)-1)&amp;"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Database!AF17</f>
        <v/>
      </c>
      <c r="J17" s="24">
        <f>IFERROR(BDP(Database!$A17&amp;" HK Equity","PE_RATIO"),"")</f>
        <v/>
      </c>
      <c r="K17" s="10">
        <f>IFERROR(BDP(Database!$A17&amp;" HK Equity","A/H_SHARE_CONVERSION"),"")</f>
        <v/>
      </c>
      <c r="L17" s="16">
        <f>IF(Database!BK17="","(none found)",Database!BK17)</f>
        <v/>
      </c>
      <c r="M17" s="18">
        <f>IFERROR(BDH(Database!$A17&amp;" HK Equity","CUR_MKT_CAP",Database!$H17,Database!$H17),"")</f>
        <v/>
      </c>
      <c r="N17" s="97">
        <f>Database!Q17</f>
        <v/>
      </c>
      <c r="O17" s="24">
        <f>IFERROR(BDH(Database!$A17&amp;" HK Equity","PE_RATIO",Database!$H17,Database!$H17),"")</f>
        <v/>
      </c>
      <c r="P17" s="101">
        <f>IF(Database!BE17="","(n/m or not derivable)",Database!BE17)</f>
        <v/>
      </c>
      <c r="Q17" s="24">
        <f>IF(Database!BK17="","",IFERROR(BDH(LEFT(Database!BK17,FIND(".",Database!BK17)-1)&amp;" CH Equity","PE_RATIO",Database!$H17,Database!$H17),""))</f>
        <v/>
      </c>
      <c r="R17" s="24">
        <f>IF(Database!BK17="","",IFERROR(BDH("HSAHP Index","PX_LAST",Database!$H17,Database!$H17),""))</f>
        <v/>
      </c>
      <c r="S17" s="24">
        <f>IFERROR(BDP(Database!$A17&amp;" HK Equity","PX_TO_SALES_RATIO"),"")</f>
        <v/>
      </c>
      <c r="T17" s="18">
        <f>IF(Database!BK17="","",IFERROR(BDP(LEFT(Database!BK17,FIND(".",Database!BK17)-1)&amp;"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Database!AF18</f>
        <v/>
      </c>
      <c r="J18" s="24">
        <f>IFERROR(BDP(Database!$A18&amp;" HK Equity","PE_RATIO"),"")</f>
        <v/>
      </c>
      <c r="K18" s="10">
        <f>IFERROR(BDP(Database!$A18&amp;" HK Equity","A/H_SHARE_CONVERSION"),"")</f>
        <v/>
      </c>
      <c r="L18" s="16">
        <f>IF(Database!BK18="","(none found)",Database!BK18)</f>
        <v/>
      </c>
      <c r="M18" s="18">
        <f>IFERROR(BDH(Database!$A18&amp;" HK Equity","CUR_MKT_CAP",Database!$H18,Database!$H18),"")</f>
        <v/>
      </c>
      <c r="N18" s="97">
        <f>Database!Q18</f>
        <v/>
      </c>
      <c r="O18" s="24">
        <f>IFERROR(BDH(Database!$A18&amp;" HK Equity","PE_RATIO",Database!$H18,Database!$H18),"")</f>
        <v/>
      </c>
      <c r="P18" s="101">
        <f>IF(Database!BE18="","(n/m or not derivable)",Database!BE18)</f>
        <v/>
      </c>
      <c r="Q18" s="24">
        <f>IF(Database!BK18="","",IFERROR(BDH(LEFT(Database!BK18,FIND(".",Database!BK18)-1)&amp;" CH Equity","PE_RATIO",Database!$H18,Database!$H18),""))</f>
        <v/>
      </c>
      <c r="R18" s="24">
        <f>IF(Database!BK18="","",IFERROR(BDH("HSAHP Index","PX_LAST",Database!$H18,Database!$H18),""))</f>
        <v/>
      </c>
      <c r="S18" s="24">
        <f>IFERROR(BDP(Database!$A18&amp;" HK Equity","PX_TO_SALES_RATIO"),"")</f>
        <v/>
      </c>
      <c r="T18" s="18">
        <f>IF(Database!BK18="","",IFERROR(BDP(LEFT(Database!BK18,FIND(".",Database!BK18)-1)&amp;"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Database!AF19</f>
        <v/>
      </c>
      <c r="J19" s="24">
        <f>IFERROR(BDP(Database!$A19&amp;" HK Equity","PE_RATIO"),"")</f>
        <v/>
      </c>
      <c r="K19" s="10">
        <f>IFERROR(BDP(Database!$A19&amp;" HK Equity","A/H_SHARE_CONVERSION"),"")</f>
        <v/>
      </c>
      <c r="L19" s="16">
        <f>IF(Database!BK19="","(none found)",Database!BK19)</f>
        <v/>
      </c>
      <c r="M19" s="18">
        <f>IFERROR(BDH(Database!$A19&amp;" HK Equity","CUR_MKT_CAP",Database!$H19,Database!$H19),"")</f>
        <v/>
      </c>
      <c r="N19" s="97">
        <f>Database!Q19</f>
        <v/>
      </c>
      <c r="O19" s="24">
        <f>IFERROR(BDH(Database!$A19&amp;" HK Equity","PE_RATIO",Database!$H19,Database!$H19),"")</f>
        <v/>
      </c>
      <c r="P19" s="101">
        <f>IF(Database!BE19="","(n/m or not derivable)",Database!BE19)</f>
        <v/>
      </c>
      <c r="Q19" s="24">
        <f>IF(Database!BK19="","",IFERROR(BDH(LEFT(Database!BK19,FIND(".",Database!BK19)-1)&amp;" CH Equity","PE_RATIO",Database!$H19,Database!$H19),""))</f>
        <v/>
      </c>
      <c r="R19" s="24">
        <f>IF(Database!BK19="","",IFERROR(BDH("HSAHP Index","PX_LAST",Database!$H19,Database!$H19),""))</f>
        <v/>
      </c>
      <c r="S19" s="24">
        <f>IFERROR(BDP(Database!$A19&amp;" HK Equity","PX_TO_SALES_RATIO"),"")</f>
        <v/>
      </c>
      <c r="T19" s="18">
        <f>IF(Database!BK19="","",IFERROR(BDP(LEFT(Database!BK19,FIND(".",Database!BK19)-1)&amp;"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Database!AF20</f>
        <v/>
      </c>
      <c r="J20" s="24">
        <f>IFERROR(BDP(Database!$A20&amp;" HK Equity","PE_RATIO"),"")</f>
        <v/>
      </c>
      <c r="K20" s="10">
        <f>IFERROR(BDP(Database!$A20&amp;" HK Equity","A/H_SHARE_CONVERSION"),"")</f>
        <v/>
      </c>
      <c r="L20" s="16">
        <f>IF(Database!BK20="","(none found)",Database!BK20)</f>
        <v/>
      </c>
      <c r="M20" s="18">
        <f>IFERROR(BDH(Database!$A20&amp;" HK Equity","CUR_MKT_CAP",Database!$H20,Database!$H20),"")</f>
        <v/>
      </c>
      <c r="N20" s="97">
        <f>Database!Q20</f>
        <v/>
      </c>
      <c r="O20" s="24">
        <f>IFERROR(BDH(Database!$A20&amp;" HK Equity","PE_RATIO",Database!$H20,Database!$H20),"")</f>
        <v/>
      </c>
      <c r="P20" s="101">
        <f>IF(Database!BE20="","(n/m or not derivable)",Database!BE20)</f>
        <v/>
      </c>
      <c r="Q20" s="24">
        <f>IF(Database!BK20="","",IFERROR(BDH(LEFT(Database!BK20,FIND(".",Database!BK20)-1)&amp;" CH Equity","PE_RATIO",Database!$H20,Database!$H20),""))</f>
        <v/>
      </c>
      <c r="R20" s="24">
        <f>IF(Database!BK20="","",IFERROR(BDH("HSAHP Index","PX_LAST",Database!$H20,Database!$H20),""))</f>
        <v/>
      </c>
      <c r="S20" s="24">
        <f>IFERROR(BDP(Database!$A20&amp;" HK Equity","PX_TO_SALES_RATIO"),"")</f>
        <v/>
      </c>
      <c r="T20" s="18">
        <f>IF(Database!BK20="","",IFERROR(BDP(LEFT(Database!BK20,FIND(".",Database!BK20)-1)&amp;"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Database!AF21</f>
        <v/>
      </c>
      <c r="J21" s="24">
        <f>IFERROR(BDP(Database!$A21&amp;" HK Equity","PE_RATIO"),"")</f>
        <v/>
      </c>
      <c r="K21" s="10">
        <f>IFERROR(BDP(Database!$A21&amp;" HK Equity","A/H_SHARE_CONVERSION"),"")</f>
        <v/>
      </c>
      <c r="L21" s="16">
        <f>IF(Database!BK21="","(none found)",Database!BK21)</f>
        <v/>
      </c>
      <c r="M21" s="18">
        <f>IFERROR(BDH(Database!$A21&amp;" HK Equity","CUR_MKT_CAP",Database!$H21,Database!$H21),"")</f>
        <v/>
      </c>
      <c r="N21" s="97">
        <f>Database!Q21</f>
        <v/>
      </c>
      <c r="O21" s="24">
        <f>IFERROR(BDH(Database!$A21&amp;" HK Equity","PE_RATIO",Database!$H21,Database!$H21),"")</f>
        <v/>
      </c>
      <c r="P21" s="101">
        <f>IF(Database!BE21="","(n/m or not derivable)",Database!BE21)</f>
        <v/>
      </c>
      <c r="Q21" s="24">
        <f>IF(Database!BK21="","",IFERROR(BDH(LEFT(Database!BK21,FIND(".",Database!BK21)-1)&amp;" CH Equity","PE_RATIO",Database!$H21,Database!$H21),""))</f>
        <v/>
      </c>
      <c r="R21" s="24">
        <f>IF(Database!BK21="","",IFERROR(BDH("HSAHP Index","PX_LAST",Database!$H21,Database!$H21),""))</f>
        <v/>
      </c>
      <c r="S21" s="24">
        <f>IFERROR(BDP(Database!$A21&amp;" HK Equity","PX_TO_SALES_RATIO"),"")</f>
        <v/>
      </c>
      <c r="T21" s="18">
        <f>IF(Database!BK21="","",IFERROR(BDP(LEFT(Database!BK21,FIND(".",Database!BK21)-1)&amp;"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Database!AF22</f>
        <v/>
      </c>
      <c r="J22" s="24">
        <f>IFERROR(BDP(Database!$A22&amp;" HK Equity","PE_RATIO"),"")</f>
        <v/>
      </c>
      <c r="K22" s="10">
        <f>IFERROR(BDP(Database!$A22&amp;" HK Equity","A/H_SHARE_CONVERSION"),"")</f>
        <v/>
      </c>
      <c r="L22" s="16">
        <f>IF(Database!BK22="","(none found)",Database!BK22)</f>
        <v/>
      </c>
      <c r="M22" s="18">
        <f>IFERROR(BDH(Database!$A22&amp;" HK Equity","CUR_MKT_CAP",Database!$H22,Database!$H22),"")</f>
        <v/>
      </c>
      <c r="N22" s="97">
        <f>Database!Q22</f>
        <v/>
      </c>
      <c r="O22" s="24">
        <f>IFERROR(BDH(Database!$A22&amp;" HK Equity","PE_RATIO",Database!$H22,Database!$H22),"")</f>
        <v/>
      </c>
      <c r="P22" s="101">
        <f>IF(Database!BE22="","(n/m or not derivable)",Database!BE22)</f>
        <v/>
      </c>
      <c r="Q22" s="24">
        <f>IF(Database!BK22="","",IFERROR(BDH(LEFT(Database!BK22,FIND(".",Database!BK22)-1)&amp;" CH Equity","PE_RATIO",Database!$H22,Database!$H22),""))</f>
        <v/>
      </c>
      <c r="R22" s="24">
        <f>IF(Database!BK22="","",IFERROR(BDH("HSAHP Index","PX_LAST",Database!$H22,Database!$H22),""))</f>
        <v/>
      </c>
      <c r="S22" s="24">
        <f>IFERROR(BDP(Database!$A22&amp;" HK Equity","PX_TO_SALES_RATIO"),"")</f>
        <v/>
      </c>
      <c r="T22" s="18">
        <f>IF(Database!BK22="","",IFERROR(BDP(LEFT(Database!BK22,FIND(".",Database!BK22)-1)&amp;"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Database!AF23</f>
        <v/>
      </c>
      <c r="J23" s="24">
        <f>IFERROR(BDP(Database!$A23&amp;" HK Equity","PE_RATIO"),"")</f>
        <v/>
      </c>
      <c r="K23" s="10">
        <f>IFERROR(BDP(Database!$A23&amp;" HK Equity","A/H_SHARE_CONVERSION"),"")</f>
        <v/>
      </c>
      <c r="L23" s="16">
        <f>IF(Database!BK23="","(none found)",Database!BK23)</f>
        <v/>
      </c>
      <c r="M23" s="18">
        <f>IFERROR(BDH(Database!$A23&amp;" HK Equity","CUR_MKT_CAP",Database!$H23,Database!$H23),"")</f>
        <v/>
      </c>
      <c r="N23" s="97">
        <f>Database!Q23</f>
        <v/>
      </c>
      <c r="O23" s="24">
        <f>IFERROR(BDH(Database!$A23&amp;" HK Equity","PE_RATIO",Database!$H23,Database!$H23),"")</f>
        <v/>
      </c>
      <c r="P23" s="101">
        <f>IF(Database!BE23="","(n/m or not derivable)",Database!BE23)</f>
        <v/>
      </c>
      <c r="Q23" s="24">
        <f>IF(Database!BK23="","",IFERROR(BDH(LEFT(Database!BK23,FIND(".",Database!BK23)-1)&amp;" CH Equity","PE_RATIO",Database!$H23,Database!$H23),""))</f>
        <v/>
      </c>
      <c r="R23" s="24">
        <f>IF(Database!BK23="","",IFERROR(BDH("HSAHP Index","PX_LAST",Database!$H23,Database!$H23),""))</f>
        <v/>
      </c>
      <c r="S23" s="24">
        <f>IFERROR(BDP(Database!$A23&amp;" HK Equity","PX_TO_SALES_RATIO"),"")</f>
        <v/>
      </c>
      <c r="T23" s="18">
        <f>IF(Database!BK23="","",IFERROR(BDP(LEFT(Database!BK23,FIND(".",Database!BK23)-1)&amp;"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Database!AF24</f>
        <v/>
      </c>
      <c r="J24" s="24">
        <f>IFERROR(BDP(Database!$A24&amp;" HK Equity","PE_RATIO"),"")</f>
        <v/>
      </c>
      <c r="K24" s="10">
        <f>IFERROR(BDP(Database!$A24&amp;" HK Equity","A/H_SHARE_CONVERSION"),"")</f>
        <v/>
      </c>
      <c r="L24" s="16">
        <f>IF(Database!BK24="","(none found)",Database!BK24)</f>
        <v/>
      </c>
      <c r="M24" s="18">
        <f>IFERROR(BDH(Database!$A24&amp;" HK Equity","CUR_MKT_CAP",Database!$H24,Database!$H24),"")</f>
        <v/>
      </c>
      <c r="N24" s="97">
        <f>Database!Q24</f>
        <v/>
      </c>
      <c r="O24" s="24">
        <f>IFERROR(BDH(Database!$A24&amp;" HK Equity","PE_RATIO",Database!$H24,Database!$H24),"")</f>
        <v/>
      </c>
      <c r="P24" s="101">
        <f>IF(Database!BE24="","(n/m or not derivable)",Database!BE24)</f>
        <v/>
      </c>
      <c r="Q24" s="24">
        <f>IF(Database!BK24="","",IFERROR(BDH(LEFT(Database!BK24,FIND(".",Database!BK24)-1)&amp;" CH Equity","PE_RATIO",Database!$H24,Database!$H24),""))</f>
        <v/>
      </c>
      <c r="R24" s="24">
        <f>IF(Database!BK24="","",IFERROR(BDH("HSAHP Index","PX_LAST",Database!$H24,Database!$H24),""))</f>
        <v/>
      </c>
      <c r="S24" s="24">
        <f>IFERROR(BDP(Database!$A24&amp;" HK Equity","PX_TO_SALES_RATIO"),"")</f>
        <v/>
      </c>
      <c r="T24" s="18">
        <f>IF(Database!BK24="","",IFERROR(BDP(LEFT(Database!BK24,FIND(".",Database!BK24)-1)&amp;"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Database!AF25</f>
        <v/>
      </c>
      <c r="J25" s="24">
        <f>IFERROR(BDP(Database!$A25&amp;" HK Equity","PE_RATIO"),"")</f>
        <v/>
      </c>
      <c r="K25" s="10">
        <f>IFERROR(BDP(Database!$A25&amp;" HK Equity","A/H_SHARE_CONVERSION"),"")</f>
        <v/>
      </c>
      <c r="L25" s="16">
        <f>IF(Database!BK25="","(none found)",Database!BK25)</f>
        <v/>
      </c>
      <c r="M25" s="18">
        <f>IFERROR(BDH(Database!$A25&amp;" HK Equity","CUR_MKT_CAP",Database!$H25,Database!$H25),"")</f>
        <v/>
      </c>
      <c r="N25" s="97">
        <f>Database!Q25</f>
        <v/>
      </c>
      <c r="O25" s="24">
        <f>IFERROR(BDH(Database!$A25&amp;" HK Equity","PE_RATIO",Database!$H25,Database!$H25),"")</f>
        <v/>
      </c>
      <c r="P25" s="101">
        <f>IF(Database!BE25="","(n/m or not derivable)",Database!BE25)</f>
        <v/>
      </c>
      <c r="Q25" s="24">
        <f>IF(Database!BK25="","",IFERROR(BDH(LEFT(Database!BK25,FIND(".",Database!BK25)-1)&amp;" CH Equity","PE_RATIO",Database!$H25,Database!$H25),""))</f>
        <v/>
      </c>
      <c r="R25" s="24">
        <f>IF(Database!BK25="","",IFERROR(BDH("HSAHP Index","PX_LAST",Database!$H25,Database!$H25),""))</f>
        <v/>
      </c>
      <c r="S25" s="24">
        <f>IFERROR(BDP(Database!$A25&amp;" HK Equity","PX_TO_SALES_RATIO"),"")</f>
        <v/>
      </c>
      <c r="T25" s="18">
        <f>IF(Database!BK25="","",IFERROR(BDP(LEFT(Database!BK25,FIND(".",Database!BK25)-1)&amp;"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Database!AF26</f>
        <v/>
      </c>
      <c r="J26" s="24">
        <f>IFERROR(BDP(Database!$A26&amp;" HK Equity","PE_RATIO"),"")</f>
        <v/>
      </c>
      <c r="K26" s="10">
        <f>IFERROR(BDP(Database!$A26&amp;" HK Equity","A/H_SHARE_CONVERSION"),"")</f>
        <v/>
      </c>
      <c r="L26" s="16">
        <f>IF(Database!BK26="","(none found)",Database!BK26)</f>
        <v/>
      </c>
      <c r="M26" s="18">
        <f>IFERROR(BDH(Database!$A26&amp;" HK Equity","CUR_MKT_CAP",Database!$H26,Database!$H26),"")</f>
        <v/>
      </c>
      <c r="N26" s="97">
        <f>Database!Q26</f>
        <v/>
      </c>
      <c r="O26" s="24">
        <f>IFERROR(BDH(Database!$A26&amp;" HK Equity","PE_RATIO",Database!$H26,Database!$H26),"")</f>
        <v/>
      </c>
      <c r="P26" s="101">
        <f>IF(Database!BE26="","(n/m or not derivable)",Database!BE26)</f>
        <v/>
      </c>
      <c r="Q26" s="24">
        <f>IF(Database!BK26="","",IFERROR(BDH(LEFT(Database!BK26,FIND(".",Database!BK26)-1)&amp;" CH Equity","PE_RATIO",Database!$H26,Database!$H26),""))</f>
        <v/>
      </c>
      <c r="R26" s="24">
        <f>IF(Database!BK26="","",IFERROR(BDH("HSAHP Index","PX_LAST",Database!$H26,Database!$H26),""))</f>
        <v/>
      </c>
      <c r="S26" s="24">
        <f>IFERROR(BDP(Database!$A26&amp;" HK Equity","PX_TO_SALES_RATIO"),"")</f>
        <v/>
      </c>
      <c r="T26" s="18">
        <f>IF(Database!BK26="","",IFERROR(BDP(LEFT(Database!BK26,FIND(".",Database!BK26)-1)&amp;"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Database!AF27</f>
        <v/>
      </c>
      <c r="J27" s="24">
        <f>IFERROR(BDP(Database!$A27&amp;" HK Equity","PE_RATIO"),"")</f>
        <v/>
      </c>
      <c r="K27" s="10">
        <f>IFERROR(BDP(Database!$A27&amp;" HK Equity","A/H_SHARE_CONVERSION"),"")</f>
        <v/>
      </c>
      <c r="L27" s="16">
        <f>IF(Database!BK27="","(none found)",Database!BK27)</f>
        <v/>
      </c>
      <c r="M27" s="18">
        <f>IFERROR(BDH(Database!$A27&amp;" HK Equity","CUR_MKT_CAP",Database!$H27,Database!$H27),"")</f>
        <v/>
      </c>
      <c r="N27" s="97">
        <f>Database!Q27</f>
        <v/>
      </c>
      <c r="O27" s="24">
        <f>IFERROR(BDH(Database!$A27&amp;" HK Equity","PE_RATIO",Database!$H27,Database!$H27),"")</f>
        <v/>
      </c>
      <c r="P27" s="101">
        <f>IF(Database!BE27="","(n/m or not derivable)",Database!BE27)</f>
        <v/>
      </c>
      <c r="Q27" s="24">
        <f>IF(Database!BK27="","",IFERROR(BDH(LEFT(Database!BK27,FIND(".",Database!BK27)-1)&amp;" CH Equity","PE_RATIO",Database!$H27,Database!$H27),""))</f>
        <v/>
      </c>
      <c r="R27" s="24">
        <f>IF(Database!BK27="","",IFERROR(BDH("HSAHP Index","PX_LAST",Database!$H27,Database!$H27),""))</f>
        <v/>
      </c>
      <c r="S27" s="24">
        <f>IFERROR(BDP(Database!$A27&amp;" HK Equity","PX_TO_SALES_RATIO"),"")</f>
        <v/>
      </c>
      <c r="T27" s="18">
        <f>IF(Database!BK27="","",IFERROR(BDP(LEFT(Database!BK27,FIND(".",Database!BK27)-1)&amp;"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Database!AF28</f>
        <v/>
      </c>
      <c r="J28" s="24">
        <f>IFERROR(BDP(Database!$A28&amp;" HK Equity","PE_RATIO"),"")</f>
        <v/>
      </c>
      <c r="K28" s="10">
        <f>IFERROR(BDP(Database!$A28&amp;" HK Equity","A/H_SHARE_CONVERSION"),"")</f>
        <v/>
      </c>
      <c r="L28" s="16">
        <f>IF(Database!BK28="","(none found)",Database!BK28)</f>
        <v/>
      </c>
      <c r="M28" s="18">
        <f>IFERROR(BDH(Database!$A28&amp;" HK Equity","CUR_MKT_CAP",Database!$H28,Database!$H28),"")</f>
        <v/>
      </c>
      <c r="N28" s="97">
        <f>Database!Q28</f>
        <v/>
      </c>
      <c r="O28" s="24">
        <f>IFERROR(BDH(Database!$A28&amp;" HK Equity","PE_RATIO",Database!$H28,Database!$H28),"")</f>
        <v/>
      </c>
      <c r="P28" s="101">
        <f>IF(Database!BE28="","(n/m or not derivable)",Database!BE28)</f>
        <v/>
      </c>
      <c r="Q28" s="24">
        <f>IF(Database!BK28="","",IFERROR(BDH(LEFT(Database!BK28,FIND(".",Database!BK28)-1)&amp;" CH Equity","PE_RATIO",Database!$H28,Database!$H28),""))</f>
        <v/>
      </c>
      <c r="R28" s="24">
        <f>IF(Database!BK28="","",IFERROR(BDH("HSAHP Index","PX_LAST",Database!$H28,Database!$H28),""))</f>
        <v/>
      </c>
      <c r="S28" s="24">
        <f>IFERROR(BDP(Database!$A28&amp;" HK Equity","PX_TO_SALES_RATIO"),"")</f>
        <v/>
      </c>
      <c r="T28" s="18">
        <f>IF(Database!BK28="","",IFERROR(BDP(LEFT(Database!BK28,FIND(".",Database!BK28)-1)&amp;"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Database!AF29</f>
        <v/>
      </c>
      <c r="J29" s="24">
        <f>IFERROR(BDP(Database!$A29&amp;" HK Equity","PE_RATIO"),"")</f>
        <v/>
      </c>
      <c r="K29" s="10">
        <f>IFERROR(BDP(Database!$A29&amp;" HK Equity","A/H_SHARE_CONVERSION"),"")</f>
        <v/>
      </c>
      <c r="L29" s="16">
        <f>IF(Database!BK29="","(none found)",Database!BK29)</f>
        <v/>
      </c>
      <c r="M29" s="18">
        <f>IFERROR(BDH(Database!$A29&amp;" HK Equity","CUR_MKT_CAP",Database!$H29,Database!$H29),"")</f>
        <v/>
      </c>
      <c r="N29" s="97">
        <f>Database!Q29</f>
        <v/>
      </c>
      <c r="O29" s="24">
        <f>IFERROR(BDH(Database!$A29&amp;" HK Equity","PE_RATIO",Database!$H29,Database!$H29),"")</f>
        <v/>
      </c>
      <c r="P29" s="101">
        <f>IF(Database!BE29="","(n/m or not derivable)",Database!BE29)</f>
        <v/>
      </c>
      <c r="Q29" s="24">
        <f>IF(Database!BK29="","",IFERROR(BDH(LEFT(Database!BK29,FIND(".",Database!BK29)-1)&amp;" CH Equity","PE_RATIO",Database!$H29,Database!$H29),""))</f>
        <v/>
      </c>
      <c r="R29" s="24">
        <f>IF(Database!BK29="","",IFERROR(BDH("HSAHP Index","PX_LAST",Database!$H29,Database!$H29),""))</f>
        <v/>
      </c>
      <c r="S29" s="24">
        <f>IFERROR(BDP(Database!$A29&amp;" HK Equity","PX_TO_SALES_RATIO"),"")</f>
        <v/>
      </c>
      <c r="T29" s="18">
        <f>IF(Database!BK29="","",IFERROR(BDP(LEFT(Database!BK29,FIND(".",Database!BK29)-1)&amp;"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Database!AF30</f>
        <v/>
      </c>
      <c r="J30" s="24">
        <f>IFERROR(BDP(Database!$A30&amp;" HK Equity","PE_RATIO"),"")</f>
        <v/>
      </c>
      <c r="K30" s="10">
        <f>IFERROR(BDP(Database!$A30&amp;" HK Equity","A/H_SHARE_CONVERSION"),"")</f>
        <v/>
      </c>
      <c r="L30" s="16">
        <f>IF(Database!BK30="","(none found)",Database!BK30)</f>
        <v/>
      </c>
      <c r="M30" s="18">
        <f>IFERROR(BDH(Database!$A30&amp;" HK Equity","CUR_MKT_CAP",Database!$H30,Database!$H30),"")</f>
        <v/>
      </c>
      <c r="N30" s="97">
        <f>Database!Q30</f>
        <v/>
      </c>
      <c r="O30" s="24">
        <f>IFERROR(BDH(Database!$A30&amp;" HK Equity","PE_RATIO",Database!$H30,Database!$H30),"")</f>
        <v/>
      </c>
      <c r="P30" s="101">
        <f>IF(Database!BE30="","(n/m or not derivable)",Database!BE30)</f>
        <v/>
      </c>
      <c r="Q30" s="24">
        <f>IF(Database!BK30="","",IFERROR(BDH(LEFT(Database!BK30,FIND(".",Database!BK30)-1)&amp;" CH Equity","PE_RATIO",Database!$H30,Database!$H30),""))</f>
        <v/>
      </c>
      <c r="R30" s="24">
        <f>IF(Database!BK30="","",IFERROR(BDH("HSAHP Index","PX_LAST",Database!$H30,Database!$H30),""))</f>
        <v/>
      </c>
      <c r="S30" s="24">
        <f>IFERROR(BDP(Database!$A30&amp;" HK Equity","PX_TO_SALES_RATIO"),"")</f>
        <v/>
      </c>
      <c r="T30" s="18">
        <f>IF(Database!BK30="","",IFERROR(BDP(LEFT(Database!BK30,FIND(".",Database!BK30)-1)&amp;"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Database!AF31</f>
        <v/>
      </c>
      <c r="J31" s="24">
        <f>IFERROR(BDP(Database!$A31&amp;" HK Equity","PE_RATIO"),"")</f>
        <v/>
      </c>
      <c r="K31" s="10">
        <f>IFERROR(BDP(Database!$A31&amp;" HK Equity","A/H_SHARE_CONVERSION"),"")</f>
        <v/>
      </c>
      <c r="L31" s="16">
        <f>IF(Database!BK31="","(none found)",Database!BK31)</f>
        <v/>
      </c>
      <c r="M31" s="18">
        <f>IFERROR(BDH(Database!$A31&amp;" HK Equity","CUR_MKT_CAP",Database!$H31,Database!$H31),"")</f>
        <v/>
      </c>
      <c r="N31" s="97">
        <f>Database!Q31</f>
        <v/>
      </c>
      <c r="O31" s="24">
        <f>IFERROR(BDH(Database!$A31&amp;" HK Equity","PE_RATIO",Database!$H31,Database!$H31),"")</f>
        <v/>
      </c>
      <c r="P31" s="101">
        <f>IF(Database!BE31="","(n/m or not derivable)",Database!BE31)</f>
        <v/>
      </c>
      <c r="Q31" s="24">
        <f>IF(Database!BK31="","",IFERROR(BDH(LEFT(Database!BK31,FIND(".",Database!BK31)-1)&amp;" CH Equity","PE_RATIO",Database!$H31,Database!$H31),""))</f>
        <v/>
      </c>
      <c r="R31" s="24">
        <f>IF(Database!BK31="","",IFERROR(BDH("HSAHP Index","PX_LAST",Database!$H31,Database!$H31),""))</f>
        <v/>
      </c>
      <c r="S31" s="24">
        <f>IFERROR(BDP(Database!$A31&amp;" HK Equity","PX_TO_SALES_RATIO"),"")</f>
        <v/>
      </c>
      <c r="T31" s="18">
        <f>IF(Database!BK31="","",IFERROR(BDP(LEFT(Database!BK31,FIND(".",Database!BK31)-1)&amp;"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Database!AF32</f>
        <v/>
      </c>
      <c r="J32" s="24">
        <f>IFERROR(BDP(Database!$A32&amp;" HK Equity","PE_RATIO"),"")</f>
        <v/>
      </c>
      <c r="K32" s="10">
        <f>IFERROR(BDP(Database!$A32&amp;" HK Equity","A/H_SHARE_CONVERSION"),"")</f>
        <v/>
      </c>
      <c r="L32" s="16">
        <f>IF(Database!BK32="","(none found)",Database!BK32)</f>
        <v/>
      </c>
      <c r="M32" s="18">
        <f>IFERROR(BDH(Database!$A32&amp;" HK Equity","CUR_MKT_CAP",Database!$H32,Database!$H32),"")</f>
        <v/>
      </c>
      <c r="N32" s="97">
        <f>Database!Q32</f>
        <v/>
      </c>
      <c r="O32" s="24">
        <f>IFERROR(BDH(Database!$A32&amp;" HK Equity","PE_RATIO",Database!$H32,Database!$H32),"")</f>
        <v/>
      </c>
      <c r="P32" s="101">
        <f>IF(Database!BE32="","(n/m or not derivable)",Database!BE32)</f>
        <v/>
      </c>
      <c r="Q32" s="24">
        <f>IF(Database!BK32="","",IFERROR(BDH(LEFT(Database!BK32,FIND(".",Database!BK32)-1)&amp;" CH Equity","PE_RATIO",Database!$H32,Database!$H32),""))</f>
        <v/>
      </c>
      <c r="R32" s="24">
        <f>IF(Database!BK32="","",IFERROR(BDH("HSAHP Index","PX_LAST",Database!$H32,Database!$H32),""))</f>
        <v/>
      </c>
      <c r="S32" s="24">
        <f>IFERROR(BDP(Database!$A32&amp;" HK Equity","PX_TO_SALES_RATIO"),"")</f>
        <v/>
      </c>
      <c r="T32" s="18">
        <f>IF(Database!BK32="","",IFERROR(BDP(LEFT(Database!BK32,FIND(".",Database!BK32)-1)&amp;"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Database!AF33</f>
        <v/>
      </c>
      <c r="J33" s="24">
        <f>IFERROR(BDP(Database!$A33&amp;" HK Equity","PE_RATIO"),"")</f>
        <v/>
      </c>
      <c r="K33" s="10">
        <f>IFERROR(BDP(Database!$A33&amp;" HK Equity","A/H_SHARE_CONVERSION"),"")</f>
        <v/>
      </c>
      <c r="L33" s="16">
        <f>IF(Database!BK33="","(none found)",Database!BK33)</f>
        <v/>
      </c>
      <c r="M33" s="18">
        <f>IFERROR(BDH(Database!$A33&amp;" HK Equity","CUR_MKT_CAP",Database!$H33,Database!$H33),"")</f>
        <v/>
      </c>
      <c r="N33" s="97">
        <f>Database!Q33</f>
        <v/>
      </c>
      <c r="O33" s="24">
        <f>IFERROR(BDH(Database!$A33&amp;" HK Equity","PE_RATIO",Database!$H33,Database!$H33),"")</f>
        <v/>
      </c>
      <c r="P33" s="101">
        <f>IF(Database!BE33="","(n/m or not derivable)",Database!BE33)</f>
        <v/>
      </c>
      <c r="Q33" s="24">
        <f>IF(Database!BK33="","",IFERROR(BDH(LEFT(Database!BK33,FIND(".",Database!BK33)-1)&amp;" CH Equity","PE_RATIO",Database!$H33,Database!$H33),""))</f>
        <v/>
      </c>
      <c r="R33" s="24">
        <f>IF(Database!BK33="","",IFERROR(BDH("HSAHP Index","PX_LAST",Database!$H33,Database!$H33),""))</f>
        <v/>
      </c>
      <c r="S33" s="24">
        <f>IFERROR(BDP(Database!$A33&amp;" HK Equity","PX_TO_SALES_RATIO"),"")</f>
        <v/>
      </c>
      <c r="T33" s="18">
        <f>IF(Database!BK33="","",IFERROR(BDP(LEFT(Database!BK33,FIND(".",Database!BK33)-1)&amp;"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Database!AF34</f>
        <v/>
      </c>
      <c r="J34" s="24">
        <f>IFERROR(BDP(Database!$A34&amp;" HK Equity","PE_RATIO"),"")</f>
        <v/>
      </c>
      <c r="K34" s="10">
        <f>IFERROR(BDP(Database!$A34&amp;" HK Equity","A/H_SHARE_CONVERSION"),"")</f>
        <v/>
      </c>
      <c r="L34" s="16">
        <f>IF(Database!BK34="","(none found)",Database!BK34)</f>
        <v/>
      </c>
      <c r="M34" s="18">
        <f>IFERROR(BDH(Database!$A34&amp;" HK Equity","CUR_MKT_CAP",Database!$H34,Database!$H34),"")</f>
        <v/>
      </c>
      <c r="N34" s="97">
        <f>Database!Q34</f>
        <v/>
      </c>
      <c r="O34" s="24">
        <f>IFERROR(BDH(Database!$A34&amp;" HK Equity","PE_RATIO",Database!$H34,Database!$H34),"")</f>
        <v/>
      </c>
      <c r="P34" s="101">
        <f>IF(Database!BE34="","(n/m or not derivable)",Database!BE34)</f>
        <v/>
      </c>
      <c r="Q34" s="24">
        <f>IF(Database!BK34="","",IFERROR(BDH(LEFT(Database!BK34,FIND(".",Database!BK34)-1)&amp;" CH Equity","PE_RATIO",Database!$H34,Database!$H34),""))</f>
        <v/>
      </c>
      <c r="R34" s="24">
        <f>IF(Database!BK34="","",IFERROR(BDH("HSAHP Index","PX_LAST",Database!$H34,Database!$H34),""))</f>
        <v/>
      </c>
      <c r="S34" s="24">
        <f>IFERROR(BDP(Database!$A34&amp;" HK Equity","PX_TO_SALES_RATIO"),"")</f>
        <v/>
      </c>
      <c r="T34" s="18">
        <f>IF(Database!BK34="","",IFERROR(BDP(LEFT(Database!BK34,FIND(".",Database!BK34)-1)&amp;"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Database!AF35</f>
        <v/>
      </c>
      <c r="J35" s="24">
        <f>IFERROR(BDP(Database!$A35&amp;" HK Equity","PE_RATIO"),"")</f>
        <v/>
      </c>
      <c r="K35" s="10">
        <f>IFERROR(BDP(Database!$A35&amp;" HK Equity","A/H_SHARE_CONVERSION"),"")</f>
        <v/>
      </c>
      <c r="L35" s="16">
        <f>IF(Database!BK35="","(none found)",Database!BK35)</f>
        <v/>
      </c>
      <c r="M35" s="18">
        <f>IFERROR(BDH(Database!$A35&amp;" HK Equity","CUR_MKT_CAP",Database!$H35,Database!$H35),"")</f>
        <v/>
      </c>
      <c r="N35" s="97">
        <f>Database!Q35</f>
        <v/>
      </c>
      <c r="O35" s="24">
        <f>IFERROR(BDH(Database!$A35&amp;" HK Equity","PE_RATIO",Database!$H35,Database!$H35),"")</f>
        <v/>
      </c>
      <c r="P35" s="101">
        <f>IF(Database!BE35="","(n/m or not derivable)",Database!BE35)</f>
        <v/>
      </c>
      <c r="Q35" s="24">
        <f>IF(Database!BK35="","",IFERROR(BDH(LEFT(Database!BK35,FIND(".",Database!BK35)-1)&amp;" CH Equity","PE_RATIO",Database!$H35,Database!$H35),""))</f>
        <v/>
      </c>
      <c r="R35" s="24">
        <f>IF(Database!BK35="","",IFERROR(BDH("HSAHP Index","PX_LAST",Database!$H35,Database!$H35),""))</f>
        <v/>
      </c>
      <c r="S35" s="24">
        <f>IFERROR(BDP(Database!$A35&amp;" HK Equity","PX_TO_SALES_RATIO"),"")</f>
        <v/>
      </c>
      <c r="T35" s="18">
        <f>IF(Database!BK35="","",IFERROR(BDP(LEFT(Database!BK35,FIND(".",Database!BK35)-1)&amp;"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Database!AF36</f>
        <v/>
      </c>
      <c r="J36" s="24">
        <f>IFERROR(BDP(Database!$A36&amp;" HK Equity","PE_RATIO"),"")</f>
        <v/>
      </c>
      <c r="K36" s="10">
        <f>IFERROR(BDP(Database!$A36&amp;" HK Equity","A/H_SHARE_CONVERSION"),"")</f>
        <v/>
      </c>
      <c r="L36" s="16">
        <f>IF(Database!BK36="","(none found)",Database!BK36)</f>
        <v/>
      </c>
      <c r="M36" s="18">
        <f>IFERROR(BDH(Database!$A36&amp;" HK Equity","CUR_MKT_CAP",Database!$H36,Database!$H36),"")</f>
        <v/>
      </c>
      <c r="N36" s="97">
        <f>Database!Q36</f>
        <v/>
      </c>
      <c r="O36" s="24">
        <f>IFERROR(BDH(Database!$A36&amp;" HK Equity","PE_RATIO",Database!$H36,Database!$H36),"")</f>
        <v/>
      </c>
      <c r="P36" s="101">
        <f>IF(Database!BE36="","(n/m or not derivable)",Database!BE36)</f>
        <v/>
      </c>
      <c r="Q36" s="24">
        <f>IF(Database!BK36="","",IFERROR(BDH(LEFT(Database!BK36,FIND(".",Database!BK36)-1)&amp;" CH Equity","PE_RATIO",Database!$H36,Database!$H36),""))</f>
        <v/>
      </c>
      <c r="R36" s="24">
        <f>IF(Database!BK36="","",IFERROR(BDH("HSAHP Index","PX_LAST",Database!$H36,Database!$H36),""))</f>
        <v/>
      </c>
      <c r="S36" s="24">
        <f>IFERROR(BDP(Database!$A36&amp;" HK Equity","PX_TO_SALES_RATIO"),"")</f>
        <v/>
      </c>
      <c r="T36" s="18">
        <f>IF(Database!BK36="","",IFERROR(BDP(LEFT(Database!BK36,FIND(".",Database!BK36)-1)&amp;"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Database!AF37</f>
        <v/>
      </c>
      <c r="J37" s="24">
        <f>IFERROR(BDP(Database!$A37&amp;" HK Equity","PE_RATIO"),"")</f>
        <v/>
      </c>
      <c r="K37" s="10">
        <f>IFERROR(BDP(Database!$A37&amp;" HK Equity","A/H_SHARE_CONVERSION"),"")</f>
        <v/>
      </c>
      <c r="L37" s="16">
        <f>IF(Database!BK37="","(none found)",Database!BK37)</f>
        <v/>
      </c>
      <c r="M37" s="18">
        <f>IFERROR(BDH(Database!$A37&amp;" HK Equity","CUR_MKT_CAP",Database!$H37,Database!$H37),"")</f>
        <v/>
      </c>
      <c r="N37" s="97">
        <f>Database!Q37</f>
        <v/>
      </c>
      <c r="O37" s="24">
        <f>IFERROR(BDH(Database!$A37&amp;" HK Equity","PE_RATIO",Database!$H37,Database!$H37),"")</f>
        <v/>
      </c>
      <c r="P37" s="101">
        <f>IF(Database!BE37="","(n/m or not derivable)",Database!BE37)</f>
        <v/>
      </c>
      <c r="Q37" s="24">
        <f>IF(Database!BK37="","",IFERROR(BDH(LEFT(Database!BK37,FIND(".",Database!BK37)-1)&amp;" CH Equity","PE_RATIO",Database!$H37,Database!$H37),""))</f>
        <v/>
      </c>
      <c r="R37" s="24">
        <f>IF(Database!BK37="","",IFERROR(BDH("HSAHP Index","PX_LAST",Database!$H37,Database!$H37),""))</f>
        <v/>
      </c>
      <c r="S37" s="24">
        <f>IFERROR(BDP(Database!$A37&amp;" HK Equity","PX_TO_SALES_RATIO"),"")</f>
        <v/>
      </c>
      <c r="T37" s="18">
        <f>IF(Database!BK37="","",IFERROR(BDP(LEFT(Database!BK37,FIND(".",Database!BK37)-1)&amp;"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Database!AF38</f>
        <v/>
      </c>
      <c r="J38" s="24">
        <f>IFERROR(BDP(Database!$A38&amp;" HK Equity","PE_RATIO"),"")</f>
        <v/>
      </c>
      <c r="K38" s="10">
        <f>IFERROR(BDP(Database!$A38&amp;" HK Equity","A/H_SHARE_CONVERSION"),"")</f>
        <v/>
      </c>
      <c r="L38" s="16">
        <f>IF(Database!BK38="","(none found)",Database!BK38)</f>
        <v/>
      </c>
      <c r="M38" s="18">
        <f>IFERROR(BDH(Database!$A38&amp;" HK Equity","CUR_MKT_CAP",Database!$H38,Database!$H38),"")</f>
        <v/>
      </c>
      <c r="N38" s="97">
        <f>Database!Q38</f>
        <v/>
      </c>
      <c r="O38" s="24">
        <f>IFERROR(BDH(Database!$A38&amp;" HK Equity","PE_RATIO",Database!$H38,Database!$H38),"")</f>
        <v/>
      </c>
      <c r="P38" s="101">
        <f>IF(Database!BE38="","(n/m or not derivable)",Database!BE38)</f>
        <v/>
      </c>
      <c r="Q38" s="24">
        <f>IF(Database!BK38="","",IFERROR(BDH(LEFT(Database!BK38,FIND(".",Database!BK38)-1)&amp;" CH Equity","PE_RATIO",Database!$H38,Database!$H38),""))</f>
        <v/>
      </c>
      <c r="R38" s="24">
        <f>IF(Database!BK38="","",IFERROR(BDH("HSAHP Index","PX_LAST",Database!$H38,Database!$H38),""))</f>
        <v/>
      </c>
      <c r="S38" s="24">
        <f>IFERROR(BDP(Database!$A38&amp;" HK Equity","PX_TO_SALES_RATIO"),"")</f>
        <v/>
      </c>
      <c r="T38" s="18">
        <f>IF(Database!BK38="","",IFERROR(BDP(LEFT(Database!BK38,FIND(".",Database!BK38)-1)&amp;"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Database!AF39</f>
        <v/>
      </c>
      <c r="J39" s="24">
        <f>IFERROR(BDP(Database!$A39&amp;" HK Equity","PE_RATIO"),"")</f>
        <v/>
      </c>
      <c r="K39" s="10">
        <f>IFERROR(BDP(Database!$A39&amp;" HK Equity","A/H_SHARE_CONVERSION"),"")</f>
        <v/>
      </c>
      <c r="L39" s="16">
        <f>IF(Database!BK39="","(none found)",Database!BK39)</f>
        <v/>
      </c>
      <c r="M39" s="18">
        <f>IFERROR(BDH(Database!$A39&amp;" HK Equity","CUR_MKT_CAP",Database!$H39,Database!$H39),"")</f>
        <v/>
      </c>
      <c r="N39" s="97">
        <f>Database!Q39</f>
        <v/>
      </c>
      <c r="O39" s="24">
        <f>IFERROR(BDH(Database!$A39&amp;" HK Equity","PE_RATIO",Database!$H39,Database!$H39),"")</f>
        <v/>
      </c>
      <c r="P39" s="101">
        <f>IF(Database!BE39="","(n/m or not derivable)",Database!BE39)</f>
        <v/>
      </c>
      <c r="Q39" s="24">
        <f>IF(Database!BK39="","",IFERROR(BDH(LEFT(Database!BK39,FIND(".",Database!BK39)-1)&amp;" CH Equity","PE_RATIO",Database!$H39,Database!$H39),""))</f>
        <v/>
      </c>
      <c r="R39" s="24">
        <f>IF(Database!BK39="","",IFERROR(BDH("HSAHP Index","PX_LAST",Database!$H39,Database!$H39),""))</f>
        <v/>
      </c>
      <c r="S39" s="24">
        <f>IFERROR(BDP(Database!$A39&amp;" HK Equity","PX_TO_SALES_RATIO"),"")</f>
        <v/>
      </c>
      <c r="T39" s="18">
        <f>IF(Database!BK39="","",IFERROR(BDP(LEFT(Database!BK39,FIND(".",Database!BK39)-1)&amp;"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Database!AF40</f>
        <v/>
      </c>
      <c r="J40" s="24">
        <f>IFERROR(BDP(Database!$A40&amp;" HK Equity","PE_RATIO"),"")</f>
        <v/>
      </c>
      <c r="K40" s="10">
        <f>IFERROR(BDP(Database!$A40&amp;" HK Equity","A/H_SHARE_CONVERSION"),"")</f>
        <v/>
      </c>
      <c r="L40" s="16">
        <f>IF(Database!BK40="","(none found)",Database!BK40)</f>
        <v/>
      </c>
      <c r="M40" s="18">
        <f>IFERROR(BDH(Database!$A40&amp;" HK Equity","CUR_MKT_CAP",Database!$H40,Database!$H40),"")</f>
        <v/>
      </c>
      <c r="N40" s="97">
        <f>Database!Q40</f>
        <v/>
      </c>
      <c r="O40" s="24">
        <f>IFERROR(BDH(Database!$A40&amp;" HK Equity","PE_RATIO",Database!$H40,Database!$H40),"")</f>
        <v/>
      </c>
      <c r="P40" s="101">
        <f>IF(Database!BE40="","(n/m or not derivable)",Database!BE40)</f>
        <v/>
      </c>
      <c r="Q40" s="24">
        <f>IF(Database!BK40="","",IFERROR(BDH(LEFT(Database!BK40,FIND(".",Database!BK40)-1)&amp;" CH Equity","PE_RATIO",Database!$H40,Database!$H40),""))</f>
        <v/>
      </c>
      <c r="R40" s="24">
        <f>IF(Database!BK40="","",IFERROR(BDH("HSAHP Index","PX_LAST",Database!$H40,Database!$H40),""))</f>
        <v/>
      </c>
      <c r="S40" s="24">
        <f>IFERROR(BDP(Database!$A40&amp;" HK Equity","PX_TO_SALES_RATIO"),"")</f>
        <v/>
      </c>
      <c r="T40" s="18">
        <f>IF(Database!BK40="","",IFERROR(BDP(LEFT(Database!BK40,FIND(".",Database!BK40)-1)&amp;"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Database!AF41</f>
        <v/>
      </c>
      <c r="J41" s="24">
        <f>IFERROR(BDP(Database!$A41&amp;" HK Equity","PE_RATIO"),"")</f>
        <v/>
      </c>
      <c r="K41" s="10">
        <f>IFERROR(BDP(Database!$A41&amp;" HK Equity","A/H_SHARE_CONVERSION"),"")</f>
        <v/>
      </c>
      <c r="L41" s="16">
        <f>IF(Database!BK41="","(none found)",Database!BK41)</f>
        <v/>
      </c>
      <c r="M41" s="18">
        <f>IFERROR(BDH(Database!$A41&amp;" HK Equity","CUR_MKT_CAP",Database!$H41,Database!$H41),"")</f>
        <v/>
      </c>
      <c r="N41" s="97">
        <f>Database!Q41</f>
        <v/>
      </c>
      <c r="O41" s="24">
        <f>IFERROR(BDH(Database!$A41&amp;" HK Equity","PE_RATIO",Database!$H41,Database!$H41),"")</f>
        <v/>
      </c>
      <c r="P41" s="101">
        <f>IF(Database!BE41="","(n/m or not derivable)",Database!BE41)</f>
        <v/>
      </c>
      <c r="Q41" s="24">
        <f>IF(Database!BK41="","",IFERROR(BDH(LEFT(Database!BK41,FIND(".",Database!BK41)-1)&amp;" CH Equity","PE_RATIO",Database!$H41,Database!$H41),""))</f>
        <v/>
      </c>
      <c r="R41" s="24">
        <f>IF(Database!BK41="","",IFERROR(BDH("HSAHP Index","PX_LAST",Database!$H41,Database!$H41),""))</f>
        <v/>
      </c>
      <c r="S41" s="24">
        <f>IFERROR(BDP(Database!$A41&amp;" HK Equity","PX_TO_SALES_RATIO"),"")</f>
        <v/>
      </c>
      <c r="T41" s="18">
        <f>IF(Database!BK41="","",IFERROR(BDP(LEFT(Database!BK41,FIND(".",Database!BK41)-1)&amp;"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Database!AF42</f>
        <v/>
      </c>
      <c r="J42" s="24">
        <f>IFERROR(BDP(Database!$A42&amp;" HK Equity","PE_RATIO"),"")</f>
        <v/>
      </c>
      <c r="K42" s="10">
        <f>IFERROR(BDP(Database!$A42&amp;" HK Equity","A/H_SHARE_CONVERSION"),"")</f>
        <v/>
      </c>
      <c r="L42" s="16">
        <f>IF(Database!BK42="","(none found)",Database!BK42)</f>
        <v/>
      </c>
      <c r="M42" s="18">
        <f>IFERROR(BDH(Database!$A42&amp;" HK Equity","CUR_MKT_CAP",Database!$H42,Database!$H42),"")</f>
        <v/>
      </c>
      <c r="N42" s="97">
        <f>Database!Q42</f>
        <v/>
      </c>
      <c r="O42" s="24">
        <f>IFERROR(BDH(Database!$A42&amp;" HK Equity","PE_RATIO",Database!$H42,Database!$H42),"")</f>
        <v/>
      </c>
      <c r="P42" s="101">
        <f>IF(Database!BE42="","(n/m or not derivable)",Database!BE42)</f>
        <v/>
      </c>
      <c r="Q42" s="24">
        <f>IF(Database!BK42="","",IFERROR(BDH(LEFT(Database!BK42,FIND(".",Database!BK42)-1)&amp;" CH Equity","PE_RATIO",Database!$H42,Database!$H42),""))</f>
        <v/>
      </c>
      <c r="R42" s="24">
        <f>IF(Database!BK42="","",IFERROR(BDH("HSAHP Index","PX_LAST",Database!$H42,Database!$H42),""))</f>
        <v/>
      </c>
      <c r="S42" s="24">
        <f>IFERROR(BDP(Database!$A42&amp;" HK Equity","PX_TO_SALES_RATIO"),"")</f>
        <v/>
      </c>
      <c r="T42" s="18">
        <f>IF(Database!BK42="","",IFERROR(BDP(LEFT(Database!BK42,FIND(".",Database!BK42)-1)&amp;"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Database!AF43</f>
        <v/>
      </c>
      <c r="J43" s="24">
        <f>IFERROR(BDP(Database!$A43&amp;" HK Equity","PE_RATIO"),"")</f>
        <v/>
      </c>
      <c r="K43" s="10">
        <f>IFERROR(BDP(Database!$A43&amp;" HK Equity","A/H_SHARE_CONVERSION"),"")</f>
        <v/>
      </c>
      <c r="L43" s="16">
        <f>IF(Database!BK43="","(none found)",Database!BK43)</f>
        <v/>
      </c>
      <c r="M43" s="18">
        <f>IFERROR(BDH(Database!$A43&amp;" HK Equity","CUR_MKT_CAP",Database!$H43,Database!$H43),"")</f>
        <v/>
      </c>
      <c r="N43" s="97">
        <f>Database!Q43</f>
        <v/>
      </c>
      <c r="O43" s="24">
        <f>IFERROR(BDH(Database!$A43&amp;" HK Equity","PE_RATIO",Database!$H43,Database!$H43),"")</f>
        <v/>
      </c>
      <c r="P43" s="101">
        <f>IF(Database!BE43="","(n/m or not derivable)",Database!BE43)</f>
        <v/>
      </c>
      <c r="Q43" s="24">
        <f>IF(Database!BK43="","",IFERROR(BDH(LEFT(Database!BK43,FIND(".",Database!BK43)-1)&amp;" CH Equity","PE_RATIO",Database!$H43,Database!$H43),""))</f>
        <v/>
      </c>
      <c r="R43" s="24">
        <f>IF(Database!BK43="","",IFERROR(BDH("HSAHP Index","PX_LAST",Database!$H43,Database!$H43),""))</f>
        <v/>
      </c>
      <c r="S43" s="24">
        <f>IFERROR(BDP(Database!$A43&amp;" HK Equity","PX_TO_SALES_RATIO"),"")</f>
        <v/>
      </c>
      <c r="T43" s="18">
        <f>IF(Database!BK43="","",IFERROR(BDP(LEFT(Database!BK43,FIND(".",Database!BK43)-1)&amp;"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Database!AF44</f>
        <v/>
      </c>
      <c r="J44" s="24">
        <f>IFERROR(BDP(Database!$A44&amp;" HK Equity","PE_RATIO"),"")</f>
        <v/>
      </c>
      <c r="K44" s="10">
        <f>IFERROR(BDP(Database!$A44&amp;" HK Equity","A/H_SHARE_CONVERSION"),"")</f>
        <v/>
      </c>
      <c r="L44" s="16">
        <f>IF(Database!BK44="","(none found)",Database!BK44)</f>
        <v/>
      </c>
      <c r="M44" s="18">
        <f>IFERROR(BDH(Database!$A44&amp;" HK Equity","CUR_MKT_CAP",Database!$H44,Database!$H44),"")</f>
        <v/>
      </c>
      <c r="N44" s="97">
        <f>Database!Q44</f>
        <v/>
      </c>
      <c r="O44" s="24">
        <f>IFERROR(BDH(Database!$A44&amp;" HK Equity","PE_RATIO",Database!$H44,Database!$H44),"")</f>
        <v/>
      </c>
      <c r="P44" s="101">
        <f>IF(Database!BE44="","(n/m or not derivable)",Database!BE44)</f>
        <v/>
      </c>
      <c r="Q44" s="24">
        <f>IF(Database!BK44="","",IFERROR(BDH(LEFT(Database!BK44,FIND(".",Database!BK44)-1)&amp;" CH Equity","PE_RATIO",Database!$H44,Database!$H44),""))</f>
        <v/>
      </c>
      <c r="R44" s="24">
        <f>IF(Database!BK44="","",IFERROR(BDH("HSAHP Index","PX_LAST",Database!$H44,Database!$H44),""))</f>
        <v/>
      </c>
      <c r="S44" s="24">
        <f>IFERROR(BDP(Database!$A44&amp;" HK Equity","PX_TO_SALES_RATIO"),"")</f>
        <v/>
      </c>
      <c r="T44" s="18">
        <f>IF(Database!BK44="","",IFERROR(BDP(LEFT(Database!BK44,FIND(".",Database!BK44)-1)&amp;"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Database!AF45</f>
        <v/>
      </c>
      <c r="J45" s="24">
        <f>IFERROR(BDP(Database!$A45&amp;" HK Equity","PE_RATIO"),"")</f>
        <v/>
      </c>
      <c r="K45" s="10">
        <f>IFERROR(BDP(Database!$A45&amp;" HK Equity","A/H_SHARE_CONVERSION"),"")</f>
        <v/>
      </c>
      <c r="L45" s="16">
        <f>IF(Database!BK45="","(none found)",Database!BK45)</f>
        <v/>
      </c>
      <c r="M45" s="18">
        <f>IFERROR(BDH(Database!$A45&amp;" HK Equity","CUR_MKT_CAP",Database!$H45,Database!$H45),"")</f>
        <v/>
      </c>
      <c r="N45" s="97">
        <f>Database!Q45</f>
        <v/>
      </c>
      <c r="O45" s="24">
        <f>IFERROR(BDH(Database!$A45&amp;" HK Equity","PE_RATIO",Database!$H45,Database!$H45),"")</f>
        <v/>
      </c>
      <c r="P45" s="101">
        <f>IF(Database!BE45="","(n/m or not derivable)",Database!BE45)</f>
        <v/>
      </c>
      <c r="Q45" s="24">
        <f>IF(Database!BK45="","",IFERROR(BDH(LEFT(Database!BK45,FIND(".",Database!BK45)-1)&amp;" CH Equity","PE_RATIO",Database!$H45,Database!$H45),""))</f>
        <v/>
      </c>
      <c r="R45" s="24">
        <f>IF(Database!BK45="","",IFERROR(BDH("HSAHP Index","PX_LAST",Database!$H45,Database!$H45),""))</f>
        <v/>
      </c>
      <c r="S45" s="24">
        <f>IFERROR(BDP(Database!$A45&amp;" HK Equity","PX_TO_SALES_RATIO"),"")</f>
        <v/>
      </c>
      <c r="T45" s="18">
        <f>IF(Database!BK45="","",IFERROR(BDP(LEFT(Database!BK45,FIND(".",Database!BK45)-1)&amp;"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Database!AF46</f>
        <v/>
      </c>
      <c r="J46" s="24">
        <f>IFERROR(BDP(Database!$A46&amp;" HK Equity","PE_RATIO"),"")</f>
        <v/>
      </c>
      <c r="K46" s="10">
        <f>IFERROR(BDP(Database!$A46&amp;" HK Equity","A/H_SHARE_CONVERSION"),"")</f>
        <v/>
      </c>
      <c r="L46" s="16">
        <f>IF(Database!BK46="","(none found)",Database!BK46)</f>
        <v/>
      </c>
      <c r="M46" s="18">
        <f>IFERROR(BDH(Database!$A46&amp;" HK Equity","CUR_MKT_CAP",Database!$H46,Database!$H46),"")</f>
        <v/>
      </c>
      <c r="N46" s="97">
        <f>Database!Q46</f>
        <v/>
      </c>
      <c r="O46" s="24">
        <f>IFERROR(BDH(Database!$A46&amp;" HK Equity","PE_RATIO",Database!$H46,Database!$H46),"")</f>
        <v/>
      </c>
      <c r="P46" s="101">
        <f>IF(Database!BE46="","(n/m or not derivable)",Database!BE46)</f>
        <v/>
      </c>
      <c r="Q46" s="24">
        <f>IF(Database!BK46="","",IFERROR(BDH(LEFT(Database!BK46,FIND(".",Database!BK46)-1)&amp;" CH Equity","PE_RATIO",Database!$H46,Database!$H46),""))</f>
        <v/>
      </c>
      <c r="R46" s="24">
        <f>IF(Database!BK46="","",IFERROR(BDH("HSAHP Index","PX_LAST",Database!$H46,Database!$H46),""))</f>
        <v/>
      </c>
      <c r="S46" s="24">
        <f>IFERROR(BDP(Database!$A46&amp;" HK Equity","PX_TO_SALES_RATIO"),"")</f>
        <v/>
      </c>
      <c r="T46" s="18">
        <f>IF(Database!BK46="","",IFERROR(BDP(LEFT(Database!BK46,FIND(".",Database!BK46)-1)&amp;"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Database!AF47</f>
        <v/>
      </c>
      <c r="J47" s="24">
        <f>IFERROR(BDP(Database!$A47&amp;" HK Equity","PE_RATIO"),"")</f>
        <v/>
      </c>
      <c r="K47" s="10">
        <f>IFERROR(BDP(Database!$A47&amp;" HK Equity","A/H_SHARE_CONVERSION"),"")</f>
        <v/>
      </c>
      <c r="L47" s="16">
        <f>IF(Database!BK47="","(none found)",Database!BK47)</f>
        <v/>
      </c>
      <c r="M47" s="18">
        <f>IFERROR(BDH(Database!$A47&amp;" HK Equity","CUR_MKT_CAP",Database!$H47,Database!$H47),"")</f>
        <v/>
      </c>
      <c r="N47" s="97">
        <f>Database!Q47</f>
        <v/>
      </c>
      <c r="O47" s="24">
        <f>IFERROR(BDH(Database!$A47&amp;" HK Equity","PE_RATIO",Database!$H47,Database!$H47),"")</f>
        <v/>
      </c>
      <c r="P47" s="101">
        <f>IF(Database!BE47="","(n/m or not derivable)",Database!BE47)</f>
        <v/>
      </c>
      <c r="Q47" s="24">
        <f>IF(Database!BK47="","",IFERROR(BDH(LEFT(Database!BK47,FIND(".",Database!BK47)-1)&amp;" CH Equity","PE_RATIO",Database!$H47,Database!$H47),""))</f>
        <v/>
      </c>
      <c r="R47" s="24">
        <f>IF(Database!BK47="","",IFERROR(BDH("HSAHP Index","PX_LAST",Database!$H47,Database!$H47),""))</f>
        <v/>
      </c>
      <c r="S47" s="24">
        <f>IFERROR(BDP(Database!$A47&amp;" HK Equity","PX_TO_SALES_RATIO"),"")</f>
        <v/>
      </c>
      <c r="T47" s="18">
        <f>IF(Database!BK47="","",IFERROR(BDP(LEFT(Database!BK47,FIND(".",Database!BK47)-1)&amp;"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Database!AF48</f>
        <v/>
      </c>
      <c r="J48" s="24">
        <f>IFERROR(BDP(Database!$A48&amp;" HK Equity","PE_RATIO"),"")</f>
        <v/>
      </c>
      <c r="K48" s="10">
        <f>IFERROR(BDP(Database!$A48&amp;" HK Equity","A/H_SHARE_CONVERSION"),"")</f>
        <v/>
      </c>
      <c r="L48" s="16">
        <f>IF(Database!BK48="","(none found)",Database!BK48)</f>
        <v/>
      </c>
      <c r="M48" s="18">
        <f>IFERROR(BDH(Database!$A48&amp;" HK Equity","CUR_MKT_CAP",Database!$H48,Database!$H48),"")</f>
        <v/>
      </c>
      <c r="N48" s="97">
        <f>Database!Q48</f>
        <v/>
      </c>
      <c r="O48" s="24">
        <f>IFERROR(BDH(Database!$A48&amp;" HK Equity","PE_RATIO",Database!$H48,Database!$H48),"")</f>
        <v/>
      </c>
      <c r="P48" s="101">
        <f>IF(Database!BE48="","(n/m or not derivable)",Database!BE48)</f>
        <v/>
      </c>
      <c r="Q48" s="24">
        <f>IF(Database!BK48="","",IFERROR(BDH(LEFT(Database!BK48,FIND(".",Database!BK48)-1)&amp;" CH Equity","PE_RATIO",Database!$H48,Database!$H48),""))</f>
        <v/>
      </c>
      <c r="R48" s="24">
        <f>IF(Database!BK48="","",IFERROR(BDH("HSAHP Index","PX_LAST",Database!$H48,Database!$H48),""))</f>
        <v/>
      </c>
      <c r="S48" s="24">
        <f>IFERROR(BDP(Database!$A48&amp;" HK Equity","PX_TO_SALES_RATIO"),"")</f>
        <v/>
      </c>
      <c r="T48" s="18">
        <f>IF(Database!BK48="","",IFERROR(BDP(LEFT(Database!BK48,FIND(".",Database!BK48)-1)&amp;"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Database!AF49</f>
        <v/>
      </c>
      <c r="J49" s="24">
        <f>IFERROR(BDP(Database!$A49&amp;" HK Equity","PE_RATIO"),"")</f>
        <v/>
      </c>
      <c r="K49" s="10">
        <f>IFERROR(BDP(Database!$A49&amp;" HK Equity","A/H_SHARE_CONVERSION"),"")</f>
        <v/>
      </c>
      <c r="L49" s="16">
        <f>IF(Database!BK49="","(none found)",Database!BK49)</f>
        <v/>
      </c>
      <c r="M49" s="18">
        <f>IFERROR(BDH(Database!$A49&amp;" HK Equity","CUR_MKT_CAP",Database!$H49,Database!$H49),"")</f>
        <v/>
      </c>
      <c r="N49" s="97">
        <f>Database!Q49</f>
        <v/>
      </c>
      <c r="O49" s="24">
        <f>IFERROR(BDH(Database!$A49&amp;" HK Equity","PE_RATIO",Database!$H49,Database!$H49),"")</f>
        <v/>
      </c>
      <c r="P49" s="101">
        <f>IF(Database!BE49="","(n/m or not derivable)",Database!BE49)</f>
        <v/>
      </c>
      <c r="Q49" s="24">
        <f>IF(Database!BK49="","",IFERROR(BDH(LEFT(Database!BK49,FIND(".",Database!BK49)-1)&amp;" CH Equity","PE_RATIO",Database!$H49,Database!$H49),""))</f>
        <v/>
      </c>
      <c r="R49" s="24">
        <f>IF(Database!BK49="","",IFERROR(BDH("HSAHP Index","PX_LAST",Database!$H49,Database!$H49),""))</f>
        <v/>
      </c>
      <c r="S49" s="24">
        <f>IFERROR(BDP(Database!$A49&amp;" HK Equity","PX_TO_SALES_RATIO"),"")</f>
        <v/>
      </c>
      <c r="T49" s="18">
        <f>IF(Database!BK49="","",IFERROR(BDP(LEFT(Database!BK49,FIND(".",Database!BK49)-1)&amp;"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Database!AF50</f>
        <v/>
      </c>
      <c r="J50" s="24">
        <f>IFERROR(BDP(Database!$A50&amp;" HK Equity","PE_RATIO"),"")</f>
        <v/>
      </c>
      <c r="K50" s="10">
        <f>IFERROR(BDP(Database!$A50&amp;" HK Equity","A/H_SHARE_CONVERSION"),"")</f>
        <v/>
      </c>
      <c r="L50" s="16">
        <f>IF(Database!BK50="","(none found)",Database!BK50)</f>
        <v/>
      </c>
      <c r="M50" s="18">
        <f>IFERROR(BDH(Database!$A50&amp;" HK Equity","CUR_MKT_CAP",Database!$H50,Database!$H50),"")</f>
        <v/>
      </c>
      <c r="N50" s="97">
        <f>Database!Q50</f>
        <v/>
      </c>
      <c r="O50" s="24">
        <f>IFERROR(BDH(Database!$A50&amp;" HK Equity","PE_RATIO",Database!$H50,Database!$H50),"")</f>
        <v/>
      </c>
      <c r="P50" s="101">
        <f>IF(Database!BE50="","(n/m or not derivable)",Database!BE50)</f>
        <v/>
      </c>
      <c r="Q50" s="24">
        <f>IF(Database!BK50="","",IFERROR(BDH(LEFT(Database!BK50,FIND(".",Database!BK50)-1)&amp;" CH Equity","PE_RATIO",Database!$H50,Database!$H50),""))</f>
        <v/>
      </c>
      <c r="R50" s="24">
        <f>IF(Database!BK50="","",IFERROR(BDH("HSAHP Index","PX_LAST",Database!$H50,Database!$H50),""))</f>
        <v/>
      </c>
      <c r="S50" s="24">
        <f>IFERROR(BDP(Database!$A50&amp;" HK Equity","PX_TO_SALES_RATIO"),"")</f>
        <v/>
      </c>
      <c r="T50" s="18">
        <f>IF(Database!BK50="","",IFERROR(BDP(LEFT(Database!BK50,FIND(".",Database!BK50)-1)&amp;"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Database!AF51</f>
        <v/>
      </c>
      <c r="J51" s="24">
        <f>IFERROR(BDP(Database!$A51&amp;" HK Equity","PE_RATIO"),"")</f>
        <v/>
      </c>
      <c r="K51" s="10">
        <f>IFERROR(BDP(Database!$A51&amp;" HK Equity","A/H_SHARE_CONVERSION"),"")</f>
        <v/>
      </c>
      <c r="L51" s="16">
        <f>IF(Database!BK51="","(none found)",Database!BK51)</f>
        <v/>
      </c>
      <c r="M51" s="18">
        <f>IFERROR(BDH(Database!$A51&amp;" HK Equity","CUR_MKT_CAP",Database!$H51,Database!$H51),"")</f>
        <v/>
      </c>
      <c r="N51" s="97">
        <f>Database!Q51</f>
        <v/>
      </c>
      <c r="O51" s="24">
        <f>IFERROR(BDH(Database!$A51&amp;" HK Equity","PE_RATIO",Database!$H51,Database!$H51),"")</f>
        <v/>
      </c>
      <c r="P51" s="101">
        <f>IF(Database!BE51="","(n/m or not derivable)",Database!BE51)</f>
        <v/>
      </c>
      <c r="Q51" s="24">
        <f>IF(Database!BK51="","",IFERROR(BDH(LEFT(Database!BK51,FIND(".",Database!BK51)-1)&amp;" CH Equity","PE_RATIO",Database!$H51,Database!$H51),""))</f>
        <v/>
      </c>
      <c r="R51" s="24">
        <f>IF(Database!BK51="","",IFERROR(BDH("HSAHP Index","PX_LAST",Database!$H51,Database!$H51),""))</f>
        <v/>
      </c>
      <c r="S51" s="24">
        <f>IFERROR(BDP(Database!$A51&amp;" HK Equity","PX_TO_SALES_RATIO"),"")</f>
        <v/>
      </c>
      <c r="T51" s="18">
        <f>IF(Database!BK51="","",IFERROR(BDP(LEFT(Database!BK51,FIND(".",Database!BK51)-1)&amp;"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Database!AF52</f>
        <v/>
      </c>
      <c r="J52" s="24">
        <f>IFERROR(BDP(Database!$A52&amp;" HK Equity","PE_RATIO"),"")</f>
        <v/>
      </c>
      <c r="K52" s="10">
        <f>IFERROR(BDP(Database!$A52&amp;" HK Equity","A/H_SHARE_CONVERSION"),"")</f>
        <v/>
      </c>
      <c r="L52" s="16">
        <f>IF(Database!BK52="","(none found)",Database!BK52)</f>
        <v/>
      </c>
      <c r="M52" s="18">
        <f>IFERROR(BDH(Database!$A52&amp;" HK Equity","CUR_MKT_CAP",Database!$H52,Database!$H52),"")</f>
        <v/>
      </c>
      <c r="N52" s="97">
        <f>Database!Q52</f>
        <v/>
      </c>
      <c r="O52" s="24">
        <f>IFERROR(BDH(Database!$A52&amp;" HK Equity","PE_RATIO",Database!$H52,Database!$H52),"")</f>
        <v/>
      </c>
      <c r="P52" s="101">
        <f>IF(Database!BE52="","(n/m or not derivable)",Database!BE52)</f>
        <v/>
      </c>
      <c r="Q52" s="24">
        <f>IF(Database!BK52="","",IFERROR(BDH(LEFT(Database!BK52,FIND(".",Database!BK52)-1)&amp;" CH Equity","PE_RATIO",Database!$H52,Database!$H52),""))</f>
        <v/>
      </c>
      <c r="R52" s="24">
        <f>IF(Database!BK52="","",IFERROR(BDH("HSAHP Index","PX_LAST",Database!$H52,Database!$H52),""))</f>
        <v/>
      </c>
      <c r="S52" s="24">
        <f>IFERROR(BDP(Database!$A52&amp;" HK Equity","PX_TO_SALES_RATIO"),"")</f>
        <v/>
      </c>
      <c r="T52" s="18">
        <f>IF(Database!BK52="","",IFERROR(BDP(LEFT(Database!BK52,FIND(".",Database!BK52)-1)&amp;"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Database!AF53</f>
        <v/>
      </c>
      <c r="J53" s="24">
        <f>IFERROR(BDP(Database!$A53&amp;" HK Equity","PE_RATIO"),"")</f>
        <v/>
      </c>
      <c r="K53" s="10">
        <f>IFERROR(BDP(Database!$A53&amp;" HK Equity","A/H_SHARE_CONVERSION"),"")</f>
        <v/>
      </c>
      <c r="L53" s="16">
        <f>IF(Database!BK53="","(none found)",Database!BK53)</f>
        <v/>
      </c>
      <c r="M53" s="18">
        <f>IFERROR(BDH(Database!$A53&amp;" HK Equity","CUR_MKT_CAP",Database!$H53,Database!$H53),"")</f>
        <v/>
      </c>
      <c r="N53" s="97">
        <f>Database!Q53</f>
        <v/>
      </c>
      <c r="O53" s="24">
        <f>IFERROR(BDH(Database!$A53&amp;" HK Equity","PE_RATIO",Database!$H53,Database!$H53),"")</f>
        <v/>
      </c>
      <c r="P53" s="101">
        <f>IF(Database!BE53="","(n/m or not derivable)",Database!BE53)</f>
        <v/>
      </c>
      <c r="Q53" s="24">
        <f>IF(Database!BK53="","",IFERROR(BDH(LEFT(Database!BK53,FIND(".",Database!BK53)-1)&amp;" CH Equity","PE_RATIO",Database!$H53,Database!$H53),""))</f>
        <v/>
      </c>
      <c r="R53" s="24">
        <f>IF(Database!BK53="","",IFERROR(BDH("HSAHP Index","PX_LAST",Database!$H53,Database!$H53),""))</f>
        <v/>
      </c>
      <c r="S53" s="24">
        <f>IFERROR(BDP(Database!$A53&amp;" HK Equity","PX_TO_SALES_RATIO"),"")</f>
        <v/>
      </c>
      <c r="T53" s="18">
        <f>IF(Database!BK53="","",IFERROR(BDP(LEFT(Database!BK53,FIND(".",Database!BK53)-1)&amp;"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Database!AF54</f>
        <v/>
      </c>
      <c r="J54" s="24">
        <f>IFERROR(BDP(Database!$A54&amp;" HK Equity","PE_RATIO"),"")</f>
        <v/>
      </c>
      <c r="K54" s="10">
        <f>IFERROR(BDP(Database!$A54&amp;" HK Equity","A/H_SHARE_CONVERSION"),"")</f>
        <v/>
      </c>
      <c r="L54" s="16">
        <f>IF(Database!BK54="","(none found)",Database!BK54)</f>
        <v/>
      </c>
      <c r="M54" s="18">
        <f>IFERROR(BDH(Database!$A54&amp;" HK Equity","CUR_MKT_CAP",Database!$H54,Database!$H54),"")</f>
        <v/>
      </c>
      <c r="N54" s="97">
        <f>Database!Q54</f>
        <v/>
      </c>
      <c r="O54" s="24">
        <f>IFERROR(BDH(Database!$A54&amp;" HK Equity","PE_RATIO",Database!$H54,Database!$H54),"")</f>
        <v/>
      </c>
      <c r="P54" s="101">
        <f>IF(Database!BE54="","(n/m or not derivable)",Database!BE54)</f>
        <v/>
      </c>
      <c r="Q54" s="24">
        <f>IF(Database!BK54="","",IFERROR(BDH(LEFT(Database!BK54,FIND(".",Database!BK54)-1)&amp;" CH Equity","PE_RATIO",Database!$H54,Database!$H54),""))</f>
        <v/>
      </c>
      <c r="R54" s="24">
        <f>IF(Database!BK54="","",IFERROR(BDH("HSAHP Index","PX_LAST",Database!$H54,Database!$H54),""))</f>
        <v/>
      </c>
      <c r="S54" s="24">
        <f>IFERROR(BDP(Database!$A54&amp;" HK Equity","PX_TO_SALES_RATIO"),"")</f>
        <v/>
      </c>
      <c r="T54" s="18">
        <f>IF(Database!BK54="","",IFERROR(BDP(LEFT(Database!BK54,FIND(".",Database!BK54)-1)&amp;"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Database!AF55</f>
        <v/>
      </c>
      <c r="J55" s="24">
        <f>IFERROR(BDP(Database!$A55&amp;" HK Equity","PE_RATIO"),"")</f>
        <v/>
      </c>
      <c r="K55" s="10">
        <f>IFERROR(BDP(Database!$A55&amp;" HK Equity","A/H_SHARE_CONVERSION"),"")</f>
        <v/>
      </c>
      <c r="L55" s="16">
        <f>IF(Database!BK55="","(none found)",Database!BK55)</f>
        <v/>
      </c>
      <c r="M55" s="18">
        <f>IFERROR(BDH(Database!$A55&amp;" HK Equity","CUR_MKT_CAP",Database!$H55,Database!$H55),"")</f>
        <v/>
      </c>
      <c r="N55" s="97">
        <f>Database!Q55</f>
        <v/>
      </c>
      <c r="O55" s="24">
        <f>IFERROR(BDH(Database!$A55&amp;" HK Equity","PE_RATIO",Database!$H55,Database!$H55),"")</f>
        <v/>
      </c>
      <c r="P55" s="101">
        <f>IF(Database!BE55="","(n/m or not derivable)",Database!BE55)</f>
        <v/>
      </c>
      <c r="Q55" s="24">
        <f>IF(Database!BK55="","",IFERROR(BDH(LEFT(Database!BK55,FIND(".",Database!BK55)-1)&amp;" CH Equity","PE_RATIO",Database!$H55,Database!$H55),""))</f>
        <v/>
      </c>
      <c r="R55" s="24">
        <f>IF(Database!BK55="","",IFERROR(BDH("HSAHP Index","PX_LAST",Database!$H55,Database!$H55),""))</f>
        <v/>
      </c>
      <c r="S55" s="24">
        <f>IFERROR(BDP(Database!$A55&amp;" HK Equity","PX_TO_SALES_RATIO"),"")</f>
        <v/>
      </c>
      <c r="T55" s="18">
        <f>IF(Database!BK55="","",IFERROR(BDP(LEFT(Database!BK55,FIND(".",Database!BK55)-1)&amp;"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Database!AF56</f>
        <v/>
      </c>
      <c r="J56" s="24">
        <f>IFERROR(BDP(Database!$A56&amp;" HK Equity","PE_RATIO"),"")</f>
        <v/>
      </c>
      <c r="K56" s="10">
        <f>IFERROR(BDP(Database!$A56&amp;" HK Equity","A/H_SHARE_CONVERSION"),"")</f>
        <v/>
      </c>
      <c r="L56" s="16">
        <f>IF(Database!BK56="","(none found)",Database!BK56)</f>
        <v/>
      </c>
      <c r="M56" s="18">
        <f>IFERROR(BDH(Database!$A56&amp;" HK Equity","CUR_MKT_CAP",Database!$H56,Database!$H56),"")</f>
        <v/>
      </c>
      <c r="N56" s="97">
        <f>Database!Q56</f>
        <v/>
      </c>
      <c r="O56" s="24">
        <f>IFERROR(BDH(Database!$A56&amp;" HK Equity","PE_RATIO",Database!$H56,Database!$H56),"")</f>
        <v/>
      </c>
      <c r="P56" s="101">
        <f>IF(Database!BE56="","(n/m or not derivable)",Database!BE56)</f>
        <v/>
      </c>
      <c r="Q56" s="24">
        <f>IF(Database!BK56="","",IFERROR(BDH(LEFT(Database!BK56,FIND(".",Database!BK56)-1)&amp;" CH Equity","PE_RATIO",Database!$H56,Database!$H56),""))</f>
        <v/>
      </c>
      <c r="R56" s="24">
        <f>IF(Database!BK56="","",IFERROR(BDH("HSAHP Index","PX_LAST",Database!$H56,Database!$H56),""))</f>
        <v/>
      </c>
      <c r="S56" s="24">
        <f>IFERROR(BDP(Database!$A56&amp;" HK Equity","PX_TO_SALES_RATIO"),"")</f>
        <v/>
      </c>
      <c r="T56" s="18">
        <f>IF(Database!BK56="","",IFERROR(BDP(LEFT(Database!BK56,FIND(".",Database!BK56)-1)&amp;"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Database!AF57</f>
        <v/>
      </c>
      <c r="J57" s="24">
        <f>IFERROR(BDP(Database!$A57&amp;" HK Equity","PE_RATIO"),"")</f>
        <v/>
      </c>
      <c r="K57" s="10">
        <f>IFERROR(BDP(Database!$A57&amp;" HK Equity","A/H_SHARE_CONVERSION"),"")</f>
        <v/>
      </c>
      <c r="L57" s="16">
        <f>IF(Database!BK57="","(none found)",Database!BK57)</f>
        <v/>
      </c>
      <c r="M57" s="18">
        <f>IFERROR(BDH(Database!$A57&amp;" HK Equity","CUR_MKT_CAP",Database!$H57,Database!$H57),"")</f>
        <v/>
      </c>
      <c r="N57" s="97">
        <f>Database!Q57</f>
        <v/>
      </c>
      <c r="O57" s="24">
        <f>IFERROR(BDH(Database!$A57&amp;" HK Equity","PE_RATIO",Database!$H57,Database!$H57),"")</f>
        <v/>
      </c>
      <c r="P57" s="101">
        <f>IF(Database!BE57="","(n/m or not derivable)",Database!BE57)</f>
        <v/>
      </c>
      <c r="Q57" s="24">
        <f>IF(Database!BK57="","",IFERROR(BDH(LEFT(Database!BK57,FIND(".",Database!BK57)-1)&amp;" CH Equity","PE_RATIO",Database!$H57,Database!$H57),""))</f>
        <v/>
      </c>
      <c r="R57" s="24">
        <f>IF(Database!BK57="","",IFERROR(BDH("HSAHP Index","PX_LAST",Database!$H57,Database!$H57),""))</f>
        <v/>
      </c>
      <c r="S57" s="24">
        <f>IFERROR(BDP(Database!$A57&amp;" HK Equity","PX_TO_SALES_RATIO"),"")</f>
        <v/>
      </c>
      <c r="T57" s="18">
        <f>IF(Database!BK57="","",IFERROR(BDP(LEFT(Database!BK57,FIND(".",Database!BK57)-1)&amp;"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Database!AF58</f>
        <v/>
      </c>
      <c r="J58" s="24">
        <f>IFERROR(BDP(Database!$A58&amp;" HK Equity","PE_RATIO"),"")</f>
        <v/>
      </c>
      <c r="K58" s="10">
        <f>IFERROR(BDP(Database!$A58&amp;" HK Equity","A/H_SHARE_CONVERSION"),"")</f>
        <v/>
      </c>
      <c r="L58" s="16">
        <f>IF(Database!BK58="","(none found)",Database!BK58)</f>
        <v/>
      </c>
      <c r="M58" s="18">
        <f>IFERROR(BDH(Database!$A58&amp;" HK Equity","CUR_MKT_CAP",Database!$H58,Database!$H58),"")</f>
        <v/>
      </c>
      <c r="N58" s="97">
        <f>Database!Q58</f>
        <v/>
      </c>
      <c r="O58" s="24">
        <f>IFERROR(BDH(Database!$A58&amp;" HK Equity","PE_RATIO",Database!$H58,Database!$H58),"")</f>
        <v/>
      </c>
      <c r="P58" s="101">
        <f>IF(Database!BE58="","(n/m or not derivable)",Database!BE58)</f>
        <v/>
      </c>
      <c r="Q58" s="24">
        <f>IF(Database!BK58="","",IFERROR(BDH(LEFT(Database!BK58,FIND(".",Database!BK58)-1)&amp;" CH Equity","PE_RATIO",Database!$H58,Database!$H58),""))</f>
        <v/>
      </c>
      <c r="R58" s="24">
        <f>IF(Database!BK58="","",IFERROR(BDH("HSAHP Index","PX_LAST",Database!$H58,Database!$H58),""))</f>
        <v/>
      </c>
      <c r="S58" s="24">
        <f>IFERROR(BDP(Database!$A58&amp;" HK Equity","PX_TO_SALES_RATIO"),"")</f>
        <v/>
      </c>
      <c r="T58" s="18">
        <f>IF(Database!BK58="","",IFERROR(BDP(LEFT(Database!BK58,FIND(".",Database!BK58)-1)&amp;"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Database!AF59</f>
        <v/>
      </c>
      <c r="J59" s="24">
        <f>IFERROR(BDP(Database!$A59&amp;" HK Equity","PE_RATIO"),"")</f>
        <v/>
      </c>
      <c r="K59" s="10">
        <f>IFERROR(BDP(Database!$A59&amp;" HK Equity","A/H_SHARE_CONVERSION"),"")</f>
        <v/>
      </c>
      <c r="L59" s="16">
        <f>IF(Database!BK59="","(none found)",Database!BK59)</f>
        <v/>
      </c>
      <c r="M59" s="18">
        <f>IFERROR(BDH(Database!$A59&amp;" HK Equity","CUR_MKT_CAP",Database!$H59,Database!$H59),"")</f>
        <v/>
      </c>
      <c r="N59" s="97">
        <f>Database!Q59</f>
        <v/>
      </c>
      <c r="O59" s="24">
        <f>IFERROR(BDH(Database!$A59&amp;" HK Equity","PE_RATIO",Database!$H59,Database!$H59),"")</f>
        <v/>
      </c>
      <c r="P59" s="101">
        <f>IF(Database!BE59="","(n/m or not derivable)",Database!BE59)</f>
        <v/>
      </c>
      <c r="Q59" s="24">
        <f>IF(Database!BK59="","",IFERROR(BDH(LEFT(Database!BK59,FIND(".",Database!BK59)-1)&amp;" CH Equity","PE_RATIO",Database!$H59,Database!$H59),""))</f>
        <v/>
      </c>
      <c r="R59" s="24">
        <f>IF(Database!BK59="","",IFERROR(BDH("HSAHP Index","PX_LAST",Database!$H59,Database!$H59),""))</f>
        <v/>
      </c>
      <c r="S59" s="24">
        <f>IFERROR(BDP(Database!$A59&amp;" HK Equity","PX_TO_SALES_RATIO"),"")</f>
        <v/>
      </c>
      <c r="T59" s="18">
        <f>IF(Database!BK59="","",IFERROR(BDP(LEFT(Database!BK59,FIND(".",Database!BK59)-1)&amp;"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Database!AF60</f>
        <v/>
      </c>
      <c r="J60" s="24">
        <f>IFERROR(BDP(Database!$A60&amp;" HK Equity","PE_RATIO"),"")</f>
        <v/>
      </c>
      <c r="K60" s="10">
        <f>IFERROR(BDP(Database!$A60&amp;" HK Equity","A/H_SHARE_CONVERSION"),"")</f>
        <v/>
      </c>
      <c r="L60" s="16">
        <f>IF(Database!BK60="","(none found)",Database!BK60)</f>
        <v/>
      </c>
      <c r="M60" s="18">
        <f>IFERROR(BDH(Database!$A60&amp;" HK Equity","CUR_MKT_CAP",Database!$H60,Database!$H60),"")</f>
        <v/>
      </c>
      <c r="N60" s="97">
        <f>Database!Q60</f>
        <v/>
      </c>
      <c r="O60" s="24">
        <f>IFERROR(BDH(Database!$A60&amp;" HK Equity","PE_RATIO",Database!$H60,Database!$H60),"")</f>
        <v/>
      </c>
      <c r="P60" s="101">
        <f>IF(Database!BE60="","(n/m or not derivable)",Database!BE60)</f>
        <v/>
      </c>
      <c r="Q60" s="24">
        <f>IF(Database!BK60="","",IFERROR(BDH(LEFT(Database!BK60,FIND(".",Database!BK60)-1)&amp;" CH Equity","PE_RATIO",Database!$H60,Database!$H60),""))</f>
        <v/>
      </c>
      <c r="R60" s="24">
        <f>IF(Database!BK60="","",IFERROR(BDH("HSAHP Index","PX_LAST",Database!$H60,Database!$H60),""))</f>
        <v/>
      </c>
      <c r="S60" s="24">
        <f>IFERROR(BDP(Database!$A60&amp;" HK Equity","PX_TO_SALES_RATIO"),"")</f>
        <v/>
      </c>
      <c r="T60" s="18">
        <f>IF(Database!BK60="","",IFERROR(BDP(LEFT(Database!BK60,FIND(".",Database!BK60)-1)&amp;"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Database!AF61</f>
        <v/>
      </c>
      <c r="J61" s="24">
        <f>IFERROR(BDP(Database!$A61&amp;" HK Equity","PE_RATIO"),"")</f>
        <v/>
      </c>
      <c r="K61" s="10">
        <f>IFERROR(BDP(Database!$A61&amp;" HK Equity","A/H_SHARE_CONVERSION"),"")</f>
        <v/>
      </c>
      <c r="L61" s="16">
        <f>IF(Database!BK61="","(none found)",Database!BK61)</f>
        <v/>
      </c>
      <c r="M61" s="18">
        <f>IFERROR(BDH(Database!$A61&amp;" HK Equity","CUR_MKT_CAP",Database!$H61,Database!$H61),"")</f>
        <v/>
      </c>
      <c r="N61" s="97">
        <f>Database!Q61</f>
        <v/>
      </c>
      <c r="O61" s="24">
        <f>IFERROR(BDH(Database!$A61&amp;" HK Equity","PE_RATIO",Database!$H61,Database!$H61),"")</f>
        <v/>
      </c>
      <c r="P61" s="101">
        <f>IF(Database!BE61="","(n/m or not derivable)",Database!BE61)</f>
        <v/>
      </c>
      <c r="Q61" s="24">
        <f>IF(Database!BK61="","",IFERROR(BDH(LEFT(Database!BK61,FIND(".",Database!BK61)-1)&amp;" CH Equity","PE_RATIO",Database!$H61,Database!$H61),""))</f>
        <v/>
      </c>
      <c r="R61" s="24">
        <f>IF(Database!BK61="","",IFERROR(BDH("HSAHP Index","PX_LAST",Database!$H61,Database!$H61),""))</f>
        <v/>
      </c>
      <c r="S61" s="24">
        <f>IFERROR(BDP(Database!$A61&amp;" HK Equity","PX_TO_SALES_RATIO"),"")</f>
        <v/>
      </c>
      <c r="T61" s="18">
        <f>IF(Database!BK61="","",IFERROR(BDP(LEFT(Database!BK61,FIND(".",Database!BK61)-1)&amp;"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Database!AF62</f>
        <v/>
      </c>
      <c r="J62" s="24">
        <f>IFERROR(BDP(Database!$A62&amp;" HK Equity","PE_RATIO"),"")</f>
        <v/>
      </c>
      <c r="K62" s="10">
        <f>IFERROR(BDP(Database!$A62&amp;" HK Equity","A/H_SHARE_CONVERSION"),"")</f>
        <v/>
      </c>
      <c r="L62" s="16">
        <f>IF(Database!BK62="","(none found)",Database!BK62)</f>
        <v/>
      </c>
      <c r="M62" s="18">
        <f>IFERROR(BDH(Database!$A62&amp;" HK Equity","CUR_MKT_CAP",Database!$H62,Database!$H62),"")</f>
        <v/>
      </c>
      <c r="N62" s="97">
        <f>Database!Q62</f>
        <v/>
      </c>
      <c r="O62" s="24">
        <f>IFERROR(BDH(Database!$A62&amp;" HK Equity","PE_RATIO",Database!$H62,Database!$H62),"")</f>
        <v/>
      </c>
      <c r="P62" s="101">
        <f>IF(Database!BE62="","(n/m or not derivable)",Database!BE62)</f>
        <v/>
      </c>
      <c r="Q62" s="24">
        <f>IF(Database!BK62="","",IFERROR(BDH(LEFT(Database!BK62,FIND(".",Database!BK62)-1)&amp;" CH Equity","PE_RATIO",Database!$H62,Database!$H62),""))</f>
        <v/>
      </c>
      <c r="R62" s="24">
        <f>IF(Database!BK62="","",IFERROR(BDH("HSAHP Index","PX_LAST",Database!$H62,Database!$H62),""))</f>
        <v/>
      </c>
      <c r="S62" s="24">
        <f>IFERROR(BDP(Database!$A62&amp;" HK Equity","PX_TO_SALES_RATIO"),"")</f>
        <v/>
      </c>
      <c r="T62" s="18">
        <f>IF(Database!BK62="","",IFERROR(BDP(LEFT(Database!BK62,FIND(".",Database!BK62)-1)&amp;"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Database!AF63</f>
        <v/>
      </c>
      <c r="J63" s="24">
        <f>IFERROR(BDP(Database!$A63&amp;" HK Equity","PE_RATIO"),"")</f>
        <v/>
      </c>
      <c r="K63" s="10">
        <f>IFERROR(BDP(Database!$A63&amp;" HK Equity","A/H_SHARE_CONVERSION"),"")</f>
        <v/>
      </c>
      <c r="L63" s="16">
        <f>IF(Database!BK63="","(none found)",Database!BK63)</f>
        <v/>
      </c>
      <c r="M63" s="18">
        <f>IFERROR(BDH(Database!$A63&amp;" HK Equity","CUR_MKT_CAP",Database!$H63,Database!$H63),"")</f>
        <v/>
      </c>
      <c r="N63" s="97">
        <f>Database!Q63</f>
        <v/>
      </c>
      <c r="O63" s="24">
        <f>IFERROR(BDH(Database!$A63&amp;" HK Equity","PE_RATIO",Database!$H63,Database!$H63),"")</f>
        <v/>
      </c>
      <c r="P63" s="101">
        <f>IF(Database!BE63="","(n/m or not derivable)",Database!BE63)</f>
        <v/>
      </c>
      <c r="Q63" s="24">
        <f>IF(Database!BK63="","",IFERROR(BDH(LEFT(Database!BK63,FIND(".",Database!BK63)-1)&amp;" CH Equity","PE_RATIO",Database!$H63,Database!$H63),""))</f>
        <v/>
      </c>
      <c r="R63" s="24">
        <f>IF(Database!BK63="","",IFERROR(BDH("HSAHP Index","PX_LAST",Database!$H63,Database!$H63),""))</f>
        <v/>
      </c>
      <c r="S63" s="24">
        <f>IFERROR(BDP(Database!$A63&amp;" HK Equity","PX_TO_SALES_RATIO"),"")</f>
        <v/>
      </c>
      <c r="T63" s="18">
        <f>IF(Database!BK63="","",IFERROR(BDP(LEFT(Database!BK63,FIND(".",Database!BK63)-1)&amp;"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Database!AF64</f>
        <v/>
      </c>
      <c r="J64" s="24">
        <f>IFERROR(BDP(Database!$A64&amp;" HK Equity","PE_RATIO"),"")</f>
        <v/>
      </c>
      <c r="K64" s="10">
        <f>IFERROR(BDP(Database!$A64&amp;" HK Equity","A/H_SHARE_CONVERSION"),"")</f>
        <v/>
      </c>
      <c r="L64" s="16">
        <f>IF(Database!BK64="","(none found)",Database!BK64)</f>
        <v/>
      </c>
      <c r="M64" s="18">
        <f>IFERROR(BDH(Database!$A64&amp;" HK Equity","CUR_MKT_CAP",Database!$H64,Database!$H64),"")</f>
        <v/>
      </c>
      <c r="N64" s="97">
        <f>Database!Q64</f>
        <v/>
      </c>
      <c r="O64" s="24">
        <f>IFERROR(BDH(Database!$A64&amp;" HK Equity","PE_RATIO",Database!$H64,Database!$H64),"")</f>
        <v/>
      </c>
      <c r="P64" s="101">
        <f>IF(Database!BE64="","(n/m or not derivable)",Database!BE64)</f>
        <v/>
      </c>
      <c r="Q64" s="24">
        <f>IF(Database!BK64="","",IFERROR(BDH(LEFT(Database!BK64,FIND(".",Database!BK64)-1)&amp;" CH Equity","PE_RATIO",Database!$H64,Database!$H64),""))</f>
        <v/>
      </c>
      <c r="R64" s="24">
        <f>IF(Database!BK64="","",IFERROR(BDH("HSAHP Index","PX_LAST",Database!$H64,Database!$H64),""))</f>
        <v/>
      </c>
      <c r="S64" s="24">
        <f>IFERROR(BDP(Database!$A64&amp;" HK Equity","PX_TO_SALES_RATIO"),"")</f>
        <v/>
      </c>
      <c r="T64" s="18">
        <f>IF(Database!BK64="","",IFERROR(BDP(LEFT(Database!BK64,FIND(".",Database!BK64)-1)&amp;"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Database!AF65</f>
        <v/>
      </c>
      <c r="J65" s="24">
        <f>IFERROR(BDP(Database!$A65&amp;" HK Equity","PE_RATIO"),"")</f>
        <v/>
      </c>
      <c r="K65" s="10">
        <f>IFERROR(BDP(Database!$A65&amp;" HK Equity","A/H_SHARE_CONVERSION"),"")</f>
        <v/>
      </c>
      <c r="L65" s="16">
        <f>IF(Database!BK65="","(none found)",Database!BK65)</f>
        <v/>
      </c>
      <c r="M65" s="18">
        <f>IFERROR(BDH(Database!$A65&amp;" HK Equity","CUR_MKT_CAP",Database!$H65,Database!$H65),"")</f>
        <v/>
      </c>
      <c r="N65" s="97">
        <f>Database!Q65</f>
        <v/>
      </c>
      <c r="O65" s="24">
        <f>IFERROR(BDH(Database!$A65&amp;" HK Equity","PE_RATIO",Database!$H65,Database!$H65),"")</f>
        <v/>
      </c>
      <c r="P65" s="101">
        <f>IF(Database!BE65="","(n/m or not derivable)",Database!BE65)</f>
        <v/>
      </c>
      <c r="Q65" s="24">
        <f>IF(Database!BK65="","",IFERROR(BDH(LEFT(Database!BK65,FIND(".",Database!BK65)-1)&amp;" CH Equity","PE_RATIO",Database!$H65,Database!$H65),""))</f>
        <v/>
      </c>
      <c r="R65" s="24">
        <f>IF(Database!BK65="","",IFERROR(BDH("HSAHP Index","PX_LAST",Database!$H65,Database!$H65),""))</f>
        <v/>
      </c>
      <c r="S65" s="24">
        <f>IFERROR(BDP(Database!$A65&amp;" HK Equity","PX_TO_SALES_RATIO"),"")</f>
        <v/>
      </c>
      <c r="T65" s="18">
        <f>IF(Database!BK65="","",IFERROR(BDP(LEFT(Database!BK65,FIND(".",Database!BK65)-1)&amp;"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Database!AF66</f>
        <v/>
      </c>
      <c r="J66" s="24">
        <f>IFERROR(BDP(Database!$A66&amp;" HK Equity","PE_RATIO"),"")</f>
        <v/>
      </c>
      <c r="K66" s="10">
        <f>IFERROR(BDP(Database!$A66&amp;" HK Equity","A/H_SHARE_CONVERSION"),"")</f>
        <v/>
      </c>
      <c r="L66" s="16">
        <f>IF(Database!BK66="","(none found)",Database!BK66)</f>
        <v/>
      </c>
      <c r="M66" s="18">
        <f>IFERROR(BDH(Database!$A66&amp;" HK Equity","CUR_MKT_CAP",Database!$H66,Database!$H66),"")</f>
        <v/>
      </c>
      <c r="N66" s="97">
        <f>Database!Q66</f>
        <v/>
      </c>
      <c r="O66" s="24">
        <f>IFERROR(BDH(Database!$A66&amp;" HK Equity","PE_RATIO",Database!$H66,Database!$H66),"")</f>
        <v/>
      </c>
      <c r="P66" s="101">
        <f>IF(Database!BE66="","(n/m or not derivable)",Database!BE66)</f>
        <v/>
      </c>
      <c r="Q66" s="24">
        <f>IF(Database!BK66="","",IFERROR(BDH(LEFT(Database!BK66,FIND(".",Database!BK66)-1)&amp;" CH Equity","PE_RATIO",Database!$H66,Database!$H66),""))</f>
        <v/>
      </c>
      <c r="R66" s="24">
        <f>IF(Database!BK66="","",IFERROR(BDH("HSAHP Index","PX_LAST",Database!$H66,Database!$H66),""))</f>
        <v/>
      </c>
      <c r="S66" s="24">
        <f>IFERROR(BDP(Database!$A66&amp;" HK Equity","PX_TO_SALES_RATIO"),"")</f>
        <v/>
      </c>
      <c r="T66" s="18">
        <f>IF(Database!BK66="","",IFERROR(BDP(LEFT(Database!BK66,FIND(".",Database!BK66)-1)&amp;"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Database!AF67</f>
        <v/>
      </c>
      <c r="J67" s="24">
        <f>IFERROR(BDP(Database!$A67&amp;" HK Equity","PE_RATIO"),"")</f>
        <v/>
      </c>
      <c r="K67" s="10">
        <f>IFERROR(BDP(Database!$A67&amp;" HK Equity","A/H_SHARE_CONVERSION"),"")</f>
        <v/>
      </c>
      <c r="L67" s="16">
        <f>IF(Database!BK67="","(none found)",Database!BK67)</f>
        <v/>
      </c>
      <c r="M67" s="18">
        <f>IFERROR(BDH(Database!$A67&amp;" HK Equity","CUR_MKT_CAP",Database!$H67,Database!$H67),"")</f>
        <v/>
      </c>
      <c r="N67" s="97">
        <f>Database!Q67</f>
        <v/>
      </c>
      <c r="O67" s="24">
        <f>IFERROR(BDH(Database!$A67&amp;" HK Equity","PE_RATIO",Database!$H67,Database!$H67),"")</f>
        <v/>
      </c>
      <c r="P67" s="101">
        <f>IF(Database!BE67="","(n/m or not derivable)",Database!BE67)</f>
        <v/>
      </c>
      <c r="Q67" s="24">
        <f>IF(Database!BK67="","",IFERROR(BDH(LEFT(Database!BK67,FIND(".",Database!BK67)-1)&amp;" CH Equity","PE_RATIO",Database!$H67,Database!$H67),""))</f>
        <v/>
      </c>
      <c r="R67" s="24">
        <f>IF(Database!BK67="","",IFERROR(BDH("HSAHP Index","PX_LAST",Database!$H67,Database!$H67),""))</f>
        <v/>
      </c>
      <c r="S67" s="24">
        <f>IFERROR(BDP(Database!$A67&amp;" HK Equity","PX_TO_SALES_RATIO"),"")</f>
        <v/>
      </c>
      <c r="T67" s="18">
        <f>IF(Database!BK67="","",IFERROR(BDP(LEFT(Database!BK67,FIND(".",Database!BK67)-1)&amp;"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Database!AF68</f>
        <v/>
      </c>
      <c r="J68" s="24">
        <f>IFERROR(BDP(Database!$A68&amp;" HK Equity","PE_RATIO"),"")</f>
        <v/>
      </c>
      <c r="K68" s="10">
        <f>IFERROR(BDP(Database!$A68&amp;" HK Equity","A/H_SHARE_CONVERSION"),"")</f>
        <v/>
      </c>
      <c r="L68" s="16">
        <f>IF(Database!BK68="","(none found)",Database!BK68)</f>
        <v/>
      </c>
      <c r="M68" s="18">
        <f>IFERROR(BDH(Database!$A68&amp;" HK Equity","CUR_MKT_CAP",Database!$H68,Database!$H68),"")</f>
        <v/>
      </c>
      <c r="N68" s="97">
        <f>Database!Q68</f>
        <v/>
      </c>
      <c r="O68" s="24">
        <f>IFERROR(BDH(Database!$A68&amp;" HK Equity","PE_RATIO",Database!$H68,Database!$H68),"")</f>
        <v/>
      </c>
      <c r="P68" s="101">
        <f>IF(Database!BE68="","(n/m or not derivable)",Database!BE68)</f>
        <v/>
      </c>
      <c r="Q68" s="24">
        <f>IF(Database!BK68="","",IFERROR(BDH(LEFT(Database!BK68,FIND(".",Database!BK68)-1)&amp;" CH Equity","PE_RATIO",Database!$H68,Database!$H68),""))</f>
        <v/>
      </c>
      <c r="R68" s="24">
        <f>IF(Database!BK68="","",IFERROR(BDH("HSAHP Index","PX_LAST",Database!$H68,Database!$H68),""))</f>
        <v/>
      </c>
      <c r="S68" s="24">
        <f>IFERROR(BDP(Database!$A68&amp;" HK Equity","PX_TO_SALES_RATIO"),"")</f>
        <v/>
      </c>
      <c r="T68" s="18">
        <f>IF(Database!BK68="","",IFERROR(BDP(LEFT(Database!BK68,FIND(".",Database!BK68)-1)&amp;"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Database!AF69</f>
        <v/>
      </c>
      <c r="J69" s="24">
        <f>IFERROR(BDP(Database!$A69&amp;" HK Equity","PE_RATIO"),"")</f>
        <v/>
      </c>
      <c r="K69" s="10">
        <f>IFERROR(BDP(Database!$A69&amp;" HK Equity","A/H_SHARE_CONVERSION"),"")</f>
        <v/>
      </c>
      <c r="L69" s="16">
        <f>IF(Database!BK69="","(none found)",Database!BK69)</f>
        <v/>
      </c>
      <c r="M69" s="18">
        <f>IFERROR(BDH(Database!$A69&amp;" HK Equity","CUR_MKT_CAP",Database!$H69,Database!$H69),"")</f>
        <v/>
      </c>
      <c r="N69" s="97">
        <f>Database!Q69</f>
        <v/>
      </c>
      <c r="O69" s="24">
        <f>IFERROR(BDH(Database!$A69&amp;" HK Equity","PE_RATIO",Database!$H69,Database!$H69),"")</f>
        <v/>
      </c>
      <c r="P69" s="101">
        <f>IF(Database!BE69="","(n/m or not derivable)",Database!BE69)</f>
        <v/>
      </c>
      <c r="Q69" s="24">
        <f>IF(Database!BK69="","",IFERROR(BDH(LEFT(Database!BK69,FIND(".",Database!BK69)-1)&amp;" CH Equity","PE_RATIO",Database!$H69,Database!$H69),""))</f>
        <v/>
      </c>
      <c r="R69" s="24">
        <f>IF(Database!BK69="","",IFERROR(BDH("HSAHP Index","PX_LAST",Database!$H69,Database!$H69),""))</f>
        <v/>
      </c>
      <c r="S69" s="24">
        <f>IFERROR(BDP(Database!$A69&amp;" HK Equity","PX_TO_SALES_RATIO"),"")</f>
        <v/>
      </c>
      <c r="T69" s="18">
        <f>IF(Database!BK69="","",IFERROR(BDP(LEFT(Database!BK69,FIND(".",Database!BK69)-1)&amp;"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Database!AF70</f>
        <v/>
      </c>
      <c r="J70" s="24">
        <f>IFERROR(BDP(Database!$A70&amp;" HK Equity","PE_RATIO"),"")</f>
        <v/>
      </c>
      <c r="K70" s="10">
        <f>IFERROR(BDP(Database!$A70&amp;" HK Equity","A/H_SHARE_CONVERSION"),"")</f>
        <v/>
      </c>
      <c r="L70" s="16">
        <f>IF(Database!BK70="","(none found)",Database!BK70)</f>
        <v/>
      </c>
      <c r="M70" s="18">
        <f>IFERROR(BDH(Database!$A70&amp;" HK Equity","CUR_MKT_CAP",Database!$H70,Database!$H70),"")</f>
        <v/>
      </c>
      <c r="N70" s="97">
        <f>Database!Q70</f>
        <v/>
      </c>
      <c r="O70" s="24">
        <f>IFERROR(BDH(Database!$A70&amp;" HK Equity","PE_RATIO",Database!$H70,Database!$H70),"")</f>
        <v/>
      </c>
      <c r="P70" s="101">
        <f>IF(Database!BE70="","(n/m or not derivable)",Database!BE70)</f>
        <v/>
      </c>
      <c r="Q70" s="24">
        <f>IF(Database!BK70="","",IFERROR(BDH(LEFT(Database!BK70,FIND(".",Database!BK70)-1)&amp;" CH Equity","PE_RATIO",Database!$H70,Database!$H70),""))</f>
        <v/>
      </c>
      <c r="R70" s="24">
        <f>IF(Database!BK70="","",IFERROR(BDH("HSAHP Index","PX_LAST",Database!$H70,Database!$H70),""))</f>
        <v/>
      </c>
      <c r="S70" s="24">
        <f>IFERROR(BDP(Database!$A70&amp;" HK Equity","PX_TO_SALES_RATIO"),"")</f>
        <v/>
      </c>
      <c r="T70" s="18">
        <f>IF(Database!BK70="","",IFERROR(BDP(LEFT(Database!BK70,FIND(".",Database!BK70)-1)&amp;"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Database!AF71</f>
        <v/>
      </c>
      <c r="J71" s="24">
        <f>IFERROR(BDP(Database!$A71&amp;" HK Equity","PE_RATIO"),"")</f>
        <v/>
      </c>
      <c r="K71" s="10">
        <f>IFERROR(BDP(Database!$A71&amp;" HK Equity","A/H_SHARE_CONVERSION"),"")</f>
        <v/>
      </c>
      <c r="L71" s="16">
        <f>IF(Database!BK71="","(none found)",Database!BK71)</f>
        <v/>
      </c>
      <c r="M71" s="18">
        <f>IFERROR(BDH(Database!$A71&amp;" HK Equity","CUR_MKT_CAP",Database!$H71,Database!$H71),"")</f>
        <v/>
      </c>
      <c r="N71" s="97">
        <f>Database!Q71</f>
        <v/>
      </c>
      <c r="O71" s="24">
        <f>IFERROR(BDH(Database!$A71&amp;" HK Equity","PE_RATIO",Database!$H71,Database!$H71),"")</f>
        <v/>
      </c>
      <c r="P71" s="101">
        <f>IF(Database!BE71="","(n/m or not derivable)",Database!BE71)</f>
        <v/>
      </c>
      <c r="Q71" s="24">
        <f>IF(Database!BK71="","",IFERROR(BDH(LEFT(Database!BK71,FIND(".",Database!BK71)-1)&amp;" CH Equity","PE_RATIO",Database!$H71,Database!$H71),""))</f>
        <v/>
      </c>
      <c r="R71" s="24">
        <f>IF(Database!BK71="","",IFERROR(BDH("HSAHP Index","PX_LAST",Database!$H71,Database!$H71),""))</f>
        <v/>
      </c>
      <c r="S71" s="24">
        <f>IFERROR(BDP(Database!$A71&amp;" HK Equity","PX_TO_SALES_RATIO"),"")</f>
        <v/>
      </c>
      <c r="T71" s="18">
        <f>IF(Database!BK71="","",IFERROR(BDP(LEFT(Database!BK71,FIND(".",Database!BK71)-1)&amp;"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Database!AF72</f>
        <v/>
      </c>
      <c r="J72" s="24">
        <f>IFERROR(BDP(Database!$A72&amp;" HK Equity","PE_RATIO"),"")</f>
        <v/>
      </c>
      <c r="K72" s="10">
        <f>IFERROR(BDP(Database!$A72&amp;" HK Equity","A/H_SHARE_CONVERSION"),"")</f>
        <v/>
      </c>
      <c r="L72" s="16">
        <f>IF(Database!BK72="","(none found)",Database!BK72)</f>
        <v/>
      </c>
      <c r="M72" s="18">
        <f>IFERROR(BDH(Database!$A72&amp;" HK Equity","CUR_MKT_CAP",Database!$H72,Database!$H72),"")</f>
        <v/>
      </c>
      <c r="N72" s="97">
        <f>Database!Q72</f>
        <v/>
      </c>
      <c r="O72" s="24">
        <f>IFERROR(BDH(Database!$A72&amp;" HK Equity","PE_RATIO",Database!$H72,Database!$H72),"")</f>
        <v/>
      </c>
      <c r="P72" s="101">
        <f>IF(Database!BE72="","(n/m or not derivable)",Database!BE72)</f>
        <v/>
      </c>
      <c r="Q72" s="24">
        <f>IF(Database!BK72="","",IFERROR(BDH(LEFT(Database!BK72,FIND(".",Database!BK72)-1)&amp;" CH Equity","PE_RATIO",Database!$H72,Database!$H72),""))</f>
        <v/>
      </c>
      <c r="R72" s="24">
        <f>IF(Database!BK72="","",IFERROR(BDH("HSAHP Index","PX_LAST",Database!$H72,Database!$H72),""))</f>
        <v/>
      </c>
      <c r="S72" s="24">
        <f>IFERROR(BDP(Database!$A72&amp;" HK Equity","PX_TO_SALES_RATIO"),"")</f>
        <v/>
      </c>
      <c r="T72" s="18">
        <f>IF(Database!BK72="","",IFERROR(BDP(LEFT(Database!BK72,FIND(".",Database!BK72)-1)&amp;"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Database!AF73</f>
        <v/>
      </c>
      <c r="J73" s="24">
        <f>IFERROR(BDP(Database!$A73&amp;" HK Equity","PE_RATIO"),"")</f>
        <v/>
      </c>
      <c r="K73" s="10">
        <f>IFERROR(BDP(Database!$A73&amp;" HK Equity","A/H_SHARE_CONVERSION"),"")</f>
        <v/>
      </c>
      <c r="L73" s="16">
        <f>IF(Database!BK73="","(none found)",Database!BK73)</f>
        <v/>
      </c>
      <c r="M73" s="18">
        <f>IFERROR(BDH(Database!$A73&amp;" HK Equity","CUR_MKT_CAP",Database!$H73,Database!$H73),"")</f>
        <v/>
      </c>
      <c r="N73" s="97">
        <f>Database!Q73</f>
        <v/>
      </c>
      <c r="O73" s="24">
        <f>IFERROR(BDH(Database!$A73&amp;" HK Equity","PE_RATIO",Database!$H73,Database!$H73),"")</f>
        <v/>
      </c>
      <c r="P73" s="101">
        <f>IF(Database!BE73="","(n/m or not derivable)",Database!BE73)</f>
        <v/>
      </c>
      <c r="Q73" s="24">
        <f>IF(Database!BK73="","",IFERROR(BDH(LEFT(Database!BK73,FIND(".",Database!BK73)-1)&amp;" CH Equity","PE_RATIO",Database!$H73,Database!$H73),""))</f>
        <v/>
      </c>
      <c r="R73" s="24">
        <f>IF(Database!BK73="","",IFERROR(BDH("HSAHP Index","PX_LAST",Database!$H73,Database!$H73),""))</f>
        <v/>
      </c>
      <c r="S73" s="24">
        <f>IFERROR(BDP(Database!$A73&amp;" HK Equity","PX_TO_SALES_RATIO"),"")</f>
        <v/>
      </c>
      <c r="T73" s="18">
        <f>IF(Database!BK73="","",IFERROR(BDP(LEFT(Database!BK73,FIND(".",Database!BK73)-1)&amp;"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Database!AF74</f>
        <v/>
      </c>
      <c r="J74" s="24">
        <f>IFERROR(BDP(Database!$A74&amp;" HK Equity","PE_RATIO"),"")</f>
        <v/>
      </c>
      <c r="K74" s="10">
        <f>IFERROR(BDP(Database!$A74&amp;" HK Equity","A/H_SHARE_CONVERSION"),"")</f>
        <v/>
      </c>
      <c r="L74" s="16">
        <f>IF(Database!BK74="","(none found)",Database!BK74)</f>
        <v/>
      </c>
      <c r="M74" s="18">
        <f>IFERROR(BDH(Database!$A74&amp;" HK Equity","CUR_MKT_CAP",Database!$H74,Database!$H74),"")</f>
        <v/>
      </c>
      <c r="N74" s="97">
        <f>Database!Q74</f>
        <v/>
      </c>
      <c r="O74" s="24">
        <f>IFERROR(BDH(Database!$A74&amp;" HK Equity","PE_RATIO",Database!$H74,Database!$H74),"")</f>
        <v/>
      </c>
      <c r="P74" s="101">
        <f>IF(Database!BE74="","(n/m or not derivable)",Database!BE74)</f>
        <v/>
      </c>
      <c r="Q74" s="24">
        <f>IF(Database!BK74="","",IFERROR(BDH(LEFT(Database!BK74,FIND(".",Database!BK74)-1)&amp;" CH Equity","PE_RATIO",Database!$H74,Database!$H74),""))</f>
        <v/>
      </c>
      <c r="R74" s="24">
        <f>IF(Database!BK74="","",IFERROR(BDH("HSAHP Index","PX_LAST",Database!$H74,Database!$H74),""))</f>
        <v/>
      </c>
      <c r="S74" s="24">
        <f>IFERROR(BDP(Database!$A74&amp;" HK Equity","PX_TO_SALES_RATIO"),"")</f>
        <v/>
      </c>
      <c r="T74" s="18">
        <f>IF(Database!BK74="","",IFERROR(BDP(LEFT(Database!BK74,FIND(".",Database!BK74)-1)&amp;"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Database!AF75</f>
        <v/>
      </c>
      <c r="J75" s="24">
        <f>IFERROR(BDP(Database!$A75&amp;" HK Equity","PE_RATIO"),"")</f>
        <v/>
      </c>
      <c r="K75" s="10">
        <f>IFERROR(BDP(Database!$A75&amp;" HK Equity","A/H_SHARE_CONVERSION"),"")</f>
        <v/>
      </c>
      <c r="L75" s="16">
        <f>IF(Database!BK75="","(none found)",Database!BK75)</f>
        <v/>
      </c>
      <c r="M75" s="18">
        <f>IFERROR(BDH(Database!$A75&amp;" HK Equity","CUR_MKT_CAP",Database!$H75,Database!$H75),"")</f>
        <v/>
      </c>
      <c r="N75" s="97">
        <f>Database!Q75</f>
        <v/>
      </c>
      <c r="O75" s="24">
        <f>IFERROR(BDH(Database!$A75&amp;" HK Equity","PE_RATIO",Database!$H75,Database!$H75),"")</f>
        <v/>
      </c>
      <c r="P75" s="101">
        <f>IF(Database!BE75="","(n/m or not derivable)",Database!BE75)</f>
        <v/>
      </c>
      <c r="Q75" s="24">
        <f>IF(Database!BK75="","",IFERROR(BDH(LEFT(Database!BK75,FIND(".",Database!BK75)-1)&amp;" CH Equity","PE_RATIO",Database!$H75,Database!$H75),""))</f>
        <v/>
      </c>
      <c r="R75" s="24">
        <f>IF(Database!BK75="","",IFERROR(BDH("HSAHP Index","PX_LAST",Database!$H75,Database!$H75),""))</f>
        <v/>
      </c>
      <c r="S75" s="24">
        <f>IFERROR(BDP(Database!$A75&amp;" HK Equity","PX_TO_SALES_RATIO"),"")</f>
        <v/>
      </c>
      <c r="T75" s="18">
        <f>IF(Database!BK75="","",IFERROR(BDP(LEFT(Database!BK75,FIND(".",Database!BK75)-1)&amp;"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Database!AF76</f>
        <v/>
      </c>
      <c r="J76" s="24">
        <f>IFERROR(BDP(Database!$A76&amp;" HK Equity","PE_RATIO"),"")</f>
        <v/>
      </c>
      <c r="K76" s="10">
        <f>IFERROR(BDP(Database!$A76&amp;" HK Equity","A/H_SHARE_CONVERSION"),"")</f>
        <v/>
      </c>
      <c r="L76" s="16">
        <f>IF(Database!BK76="","(none found)",Database!BK76)</f>
        <v/>
      </c>
      <c r="M76" s="18">
        <f>IFERROR(BDH(Database!$A76&amp;" HK Equity","CUR_MKT_CAP",Database!$H76,Database!$H76),"")</f>
        <v/>
      </c>
      <c r="N76" s="97">
        <f>Database!Q76</f>
        <v/>
      </c>
      <c r="O76" s="24">
        <f>IFERROR(BDH(Database!$A76&amp;" HK Equity","PE_RATIO",Database!$H76,Database!$H76),"")</f>
        <v/>
      </c>
      <c r="P76" s="101">
        <f>IF(Database!BE76="","(n/m or not derivable)",Database!BE76)</f>
        <v/>
      </c>
      <c r="Q76" s="24">
        <f>IF(Database!BK76="","",IFERROR(BDH(LEFT(Database!BK76,FIND(".",Database!BK76)-1)&amp;" CH Equity","PE_RATIO",Database!$H76,Database!$H76),""))</f>
        <v/>
      </c>
      <c r="R76" s="24">
        <f>IF(Database!BK76="","",IFERROR(BDH("HSAHP Index","PX_LAST",Database!$H76,Database!$H76),""))</f>
        <v/>
      </c>
      <c r="S76" s="24">
        <f>IFERROR(BDP(Database!$A76&amp;" HK Equity","PX_TO_SALES_RATIO"),"")</f>
        <v/>
      </c>
      <c r="T76" s="18">
        <f>IF(Database!BK76="","",IFERROR(BDP(LEFT(Database!BK76,FIND(".",Database!BK76)-1)&amp;"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Database!AF77</f>
        <v/>
      </c>
      <c r="J77" s="24">
        <f>IFERROR(BDP(Database!$A77&amp;" HK Equity","PE_RATIO"),"")</f>
        <v/>
      </c>
      <c r="K77" s="10">
        <f>IFERROR(BDP(Database!$A77&amp;" HK Equity","A/H_SHARE_CONVERSION"),"")</f>
        <v/>
      </c>
      <c r="L77" s="16">
        <f>IF(Database!BK77="","(none found)",Database!BK77)</f>
        <v/>
      </c>
      <c r="M77" s="18">
        <f>IFERROR(BDH(Database!$A77&amp;" HK Equity","CUR_MKT_CAP",Database!$H77,Database!$H77),"")</f>
        <v/>
      </c>
      <c r="N77" s="97">
        <f>Database!Q77</f>
        <v/>
      </c>
      <c r="O77" s="24">
        <f>IFERROR(BDH(Database!$A77&amp;" HK Equity","PE_RATIO",Database!$H77,Database!$H77),"")</f>
        <v/>
      </c>
      <c r="P77" s="101">
        <f>IF(Database!BE77="","(n/m or not derivable)",Database!BE77)</f>
        <v/>
      </c>
      <c r="Q77" s="24">
        <f>IF(Database!BK77="","",IFERROR(BDH(LEFT(Database!BK77,FIND(".",Database!BK77)-1)&amp;" CH Equity","PE_RATIO",Database!$H77,Database!$H77),""))</f>
        <v/>
      </c>
      <c r="R77" s="24">
        <f>IF(Database!BK77="","",IFERROR(BDH("HSAHP Index","PX_LAST",Database!$H77,Database!$H77),""))</f>
        <v/>
      </c>
      <c r="S77" s="24">
        <f>IFERROR(BDP(Database!$A77&amp;" HK Equity","PX_TO_SALES_RATIO"),"")</f>
        <v/>
      </c>
      <c r="T77" s="18">
        <f>IF(Database!BK77="","",IFERROR(BDP(LEFT(Database!BK77,FIND(".",Database!BK77)-1)&amp;"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Database!AF78</f>
        <v/>
      </c>
      <c r="J78" s="24">
        <f>IFERROR(BDP(Database!$A78&amp;" HK Equity","PE_RATIO"),"")</f>
        <v/>
      </c>
      <c r="K78" s="10">
        <f>IFERROR(BDP(Database!$A78&amp;" HK Equity","A/H_SHARE_CONVERSION"),"")</f>
        <v/>
      </c>
      <c r="L78" s="16">
        <f>IF(Database!BK78="","(none found)",Database!BK78)</f>
        <v/>
      </c>
      <c r="M78" s="18">
        <f>IFERROR(BDH(Database!$A78&amp;" HK Equity","CUR_MKT_CAP",Database!$H78,Database!$H78),"")</f>
        <v/>
      </c>
      <c r="N78" s="97">
        <f>Database!Q78</f>
        <v/>
      </c>
      <c r="O78" s="24">
        <f>IFERROR(BDH(Database!$A78&amp;" HK Equity","PE_RATIO",Database!$H78,Database!$H78),"")</f>
        <v/>
      </c>
      <c r="P78" s="101">
        <f>IF(Database!BE78="","(n/m or not derivable)",Database!BE78)</f>
        <v/>
      </c>
      <c r="Q78" s="24">
        <f>IF(Database!BK78="","",IFERROR(BDH(LEFT(Database!BK78,FIND(".",Database!BK78)-1)&amp;" CH Equity","PE_RATIO",Database!$H78,Database!$H78),""))</f>
        <v/>
      </c>
      <c r="R78" s="24">
        <f>IF(Database!BK78="","",IFERROR(BDH("HSAHP Index","PX_LAST",Database!$H78,Database!$H78),""))</f>
        <v/>
      </c>
      <c r="S78" s="24">
        <f>IFERROR(BDP(Database!$A78&amp;" HK Equity","PX_TO_SALES_RATIO"),"")</f>
        <v/>
      </c>
      <c r="T78" s="18">
        <f>IF(Database!BK78="","",IFERROR(BDP(LEFT(Database!BK78,FIND(".",Database!BK78)-1)&amp;"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Database!AF79</f>
        <v/>
      </c>
      <c r="J79" s="24">
        <f>IFERROR(BDP(Database!$A79&amp;" HK Equity","PE_RATIO"),"")</f>
        <v/>
      </c>
      <c r="K79" s="10">
        <f>IFERROR(BDP(Database!$A79&amp;" HK Equity","A/H_SHARE_CONVERSION"),"")</f>
        <v/>
      </c>
      <c r="L79" s="16">
        <f>IF(Database!BK79="","(none found)",Database!BK79)</f>
        <v/>
      </c>
      <c r="M79" s="18">
        <f>IFERROR(BDH(Database!$A79&amp;" HK Equity","CUR_MKT_CAP",Database!$H79,Database!$H79),"")</f>
        <v/>
      </c>
      <c r="N79" s="97">
        <f>Database!Q79</f>
        <v/>
      </c>
      <c r="O79" s="24">
        <f>IFERROR(BDH(Database!$A79&amp;" HK Equity","PE_RATIO",Database!$H79,Database!$H79),"")</f>
        <v/>
      </c>
      <c r="P79" s="101">
        <f>IF(Database!BE79="","(n/m or not derivable)",Database!BE79)</f>
        <v/>
      </c>
      <c r="Q79" s="24">
        <f>IF(Database!BK79="","",IFERROR(BDH(LEFT(Database!BK79,FIND(".",Database!BK79)-1)&amp;" CH Equity","PE_RATIO",Database!$H79,Database!$H79),""))</f>
        <v/>
      </c>
      <c r="R79" s="24">
        <f>IF(Database!BK79="","",IFERROR(BDH("HSAHP Index","PX_LAST",Database!$H79,Database!$H79),""))</f>
        <v/>
      </c>
      <c r="S79" s="24">
        <f>IFERROR(BDP(Database!$A79&amp;" HK Equity","PX_TO_SALES_RATIO"),"")</f>
        <v/>
      </c>
      <c r="T79" s="18">
        <f>IF(Database!BK79="","",IFERROR(BDP(LEFT(Database!BK79,FIND(".",Database!BK79)-1)&amp;"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Database!AF80</f>
        <v/>
      </c>
      <c r="J80" s="24">
        <f>IFERROR(BDP(Database!$A80&amp;" HK Equity","PE_RATIO"),"")</f>
        <v/>
      </c>
      <c r="K80" s="10">
        <f>IFERROR(BDP(Database!$A80&amp;" HK Equity","A/H_SHARE_CONVERSION"),"")</f>
        <v/>
      </c>
      <c r="L80" s="16">
        <f>IF(Database!BK80="","(none found)",Database!BK80)</f>
        <v/>
      </c>
      <c r="M80" s="18">
        <f>IFERROR(BDH(Database!$A80&amp;" HK Equity","CUR_MKT_CAP",Database!$H80,Database!$H80),"")</f>
        <v/>
      </c>
      <c r="N80" s="97">
        <f>Database!Q80</f>
        <v/>
      </c>
      <c r="O80" s="24">
        <f>IFERROR(BDH(Database!$A80&amp;" HK Equity","PE_RATIO",Database!$H80,Database!$H80),"")</f>
        <v/>
      </c>
      <c r="P80" s="101">
        <f>IF(Database!BE80="","(n/m or not derivable)",Database!BE80)</f>
        <v/>
      </c>
      <c r="Q80" s="24">
        <f>IF(Database!BK80="","",IFERROR(BDH(LEFT(Database!BK80,FIND(".",Database!BK80)-1)&amp;" CH Equity","PE_RATIO",Database!$H80,Database!$H80),""))</f>
        <v/>
      </c>
      <c r="R80" s="24">
        <f>IF(Database!BK80="","",IFERROR(BDH("HSAHP Index","PX_LAST",Database!$H80,Database!$H80),""))</f>
        <v/>
      </c>
      <c r="S80" s="24">
        <f>IFERROR(BDP(Database!$A80&amp;" HK Equity","PX_TO_SALES_RATIO"),"")</f>
        <v/>
      </c>
      <c r="T80" s="18">
        <f>IF(Database!BK80="","",IFERROR(BDP(LEFT(Database!BK80,FIND(".",Database!BK80)-1)&amp;"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Database!AF81</f>
        <v/>
      </c>
      <c r="J81" s="24">
        <f>IFERROR(BDP(Database!$A81&amp;" HK Equity","PE_RATIO"),"")</f>
        <v/>
      </c>
      <c r="K81" s="10">
        <f>IFERROR(BDP(Database!$A81&amp;" HK Equity","A/H_SHARE_CONVERSION"),"")</f>
        <v/>
      </c>
      <c r="L81" s="16">
        <f>IF(Database!BK81="","(none found)",Database!BK81)</f>
        <v/>
      </c>
      <c r="M81" s="18">
        <f>IFERROR(BDH(Database!$A81&amp;" HK Equity","CUR_MKT_CAP",Database!$H81,Database!$H81),"")</f>
        <v/>
      </c>
      <c r="N81" s="97">
        <f>Database!Q81</f>
        <v/>
      </c>
      <c r="O81" s="24">
        <f>IFERROR(BDH(Database!$A81&amp;" HK Equity","PE_RATIO",Database!$H81,Database!$H81),"")</f>
        <v/>
      </c>
      <c r="P81" s="101">
        <f>IF(Database!BE81="","(n/m or not derivable)",Database!BE81)</f>
        <v/>
      </c>
      <c r="Q81" s="24">
        <f>IF(Database!BK81="","",IFERROR(BDH(LEFT(Database!BK81,FIND(".",Database!BK81)-1)&amp;" CH Equity","PE_RATIO",Database!$H81,Database!$H81),""))</f>
        <v/>
      </c>
      <c r="R81" s="24">
        <f>IF(Database!BK81="","",IFERROR(BDH("HSAHP Index","PX_LAST",Database!$H81,Database!$H81),""))</f>
        <v/>
      </c>
      <c r="S81" s="24">
        <f>IFERROR(BDP(Database!$A81&amp;" HK Equity","PX_TO_SALES_RATIO"),"")</f>
        <v/>
      </c>
      <c r="T81" s="18">
        <f>IF(Database!BK81="","",IFERROR(BDP(LEFT(Database!BK81,FIND(".",Database!BK81)-1)&amp;"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Database!AF82</f>
        <v/>
      </c>
      <c r="J82" s="24">
        <f>IFERROR(BDP(Database!$A82&amp;" HK Equity","PE_RATIO"),"")</f>
        <v/>
      </c>
      <c r="K82" s="10">
        <f>IFERROR(BDP(Database!$A82&amp;" HK Equity","A/H_SHARE_CONVERSION"),"")</f>
        <v/>
      </c>
      <c r="L82" s="16">
        <f>IF(Database!BK82="","(none found)",Database!BK82)</f>
        <v/>
      </c>
      <c r="M82" s="18">
        <f>IFERROR(BDH(Database!$A82&amp;" HK Equity","CUR_MKT_CAP",Database!$H82,Database!$H82),"")</f>
        <v/>
      </c>
      <c r="N82" s="97">
        <f>Database!Q82</f>
        <v/>
      </c>
      <c r="O82" s="24">
        <f>IFERROR(BDH(Database!$A82&amp;" HK Equity","PE_RATIO",Database!$H82,Database!$H82),"")</f>
        <v/>
      </c>
      <c r="P82" s="101">
        <f>IF(Database!BE82="","(n/m or not derivable)",Database!BE82)</f>
        <v/>
      </c>
      <c r="Q82" s="24">
        <f>IF(Database!BK82="","",IFERROR(BDH(LEFT(Database!BK82,FIND(".",Database!BK82)-1)&amp;" CH Equity","PE_RATIO",Database!$H82,Database!$H82),""))</f>
        <v/>
      </c>
      <c r="R82" s="24">
        <f>IF(Database!BK82="","",IFERROR(BDH("HSAHP Index","PX_LAST",Database!$H82,Database!$H82),""))</f>
        <v/>
      </c>
      <c r="S82" s="24">
        <f>IFERROR(BDP(Database!$A82&amp;" HK Equity","PX_TO_SALES_RATIO"),"")</f>
        <v/>
      </c>
      <c r="T82" s="18">
        <f>IF(Database!BK82="","",IFERROR(BDP(LEFT(Database!BK82,FIND(".",Database!BK82)-1)&amp;"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Database!AF83</f>
        <v/>
      </c>
      <c r="J83" s="24">
        <f>IFERROR(BDP(Database!$A83&amp;" HK Equity","PE_RATIO"),"")</f>
        <v/>
      </c>
      <c r="K83" s="10">
        <f>IFERROR(BDP(Database!$A83&amp;" HK Equity","A/H_SHARE_CONVERSION"),"")</f>
        <v/>
      </c>
      <c r="L83" s="16">
        <f>IF(Database!BK83="","(none found)",Database!BK83)</f>
        <v/>
      </c>
      <c r="M83" s="18">
        <f>IFERROR(BDH(Database!$A83&amp;" HK Equity","CUR_MKT_CAP",Database!$H83,Database!$H83),"")</f>
        <v/>
      </c>
      <c r="N83" s="97">
        <f>Database!Q83</f>
        <v/>
      </c>
      <c r="O83" s="24">
        <f>IFERROR(BDH(Database!$A83&amp;" HK Equity","PE_RATIO",Database!$H83,Database!$H83),"")</f>
        <v/>
      </c>
      <c r="P83" s="101">
        <f>IF(Database!BE83="","(n/m or not derivable)",Database!BE83)</f>
        <v/>
      </c>
      <c r="Q83" s="24">
        <f>IF(Database!BK83="","",IFERROR(BDH(LEFT(Database!BK83,FIND(".",Database!BK83)-1)&amp;" CH Equity","PE_RATIO",Database!$H83,Database!$H83),""))</f>
        <v/>
      </c>
      <c r="R83" s="24">
        <f>IF(Database!BK83="","",IFERROR(BDH("HSAHP Index","PX_LAST",Database!$H83,Database!$H83),""))</f>
        <v/>
      </c>
      <c r="S83" s="24">
        <f>IFERROR(BDP(Database!$A83&amp;" HK Equity","PX_TO_SALES_RATIO"),"")</f>
        <v/>
      </c>
      <c r="T83" s="18">
        <f>IF(Database!BK83="","",IFERROR(BDP(LEFT(Database!BK83,FIND(".",Database!BK83)-1)&amp;"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Database!AF84</f>
        <v/>
      </c>
      <c r="J84" s="24">
        <f>IFERROR(BDP(Database!$A84&amp;" HK Equity","PE_RATIO"),"")</f>
        <v/>
      </c>
      <c r="K84" s="10">
        <f>IFERROR(BDP(Database!$A84&amp;" HK Equity","A/H_SHARE_CONVERSION"),"")</f>
        <v/>
      </c>
      <c r="L84" s="16">
        <f>IF(Database!BK84="","(none found)",Database!BK84)</f>
        <v/>
      </c>
      <c r="M84" s="18">
        <f>IFERROR(BDH(Database!$A84&amp;" HK Equity","CUR_MKT_CAP",Database!$H84,Database!$H84),"")</f>
        <v/>
      </c>
      <c r="N84" s="97">
        <f>Database!Q84</f>
        <v/>
      </c>
      <c r="O84" s="24">
        <f>IFERROR(BDH(Database!$A84&amp;" HK Equity","PE_RATIO",Database!$H84,Database!$H84),"")</f>
        <v/>
      </c>
      <c r="P84" s="101">
        <f>IF(Database!BE84="","(n/m or not derivable)",Database!BE84)</f>
        <v/>
      </c>
      <c r="Q84" s="24">
        <f>IF(Database!BK84="","",IFERROR(BDH(LEFT(Database!BK84,FIND(".",Database!BK84)-1)&amp;" CH Equity","PE_RATIO",Database!$H84,Database!$H84),""))</f>
        <v/>
      </c>
      <c r="R84" s="24">
        <f>IF(Database!BK84="","",IFERROR(BDH("HSAHP Index","PX_LAST",Database!$H84,Database!$H84),""))</f>
        <v/>
      </c>
      <c r="S84" s="24">
        <f>IFERROR(BDP(Database!$A84&amp;" HK Equity","PX_TO_SALES_RATIO"),"")</f>
        <v/>
      </c>
      <c r="T84" s="18">
        <f>IF(Database!BK84="","",IFERROR(BDP(LEFT(Database!BK84,FIND(".",Database!BK84)-1)&amp;"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Database!AF85</f>
        <v/>
      </c>
      <c r="J85" s="24">
        <f>IFERROR(BDP(Database!$A85&amp;" HK Equity","PE_RATIO"),"")</f>
        <v/>
      </c>
      <c r="K85" s="10">
        <f>IFERROR(BDP(Database!$A85&amp;" HK Equity","A/H_SHARE_CONVERSION"),"")</f>
        <v/>
      </c>
      <c r="L85" s="16">
        <f>IF(Database!BK85="","(none found)",Database!BK85)</f>
        <v/>
      </c>
      <c r="M85" s="18">
        <f>IFERROR(BDH(Database!$A85&amp;" HK Equity","CUR_MKT_CAP",Database!$H85,Database!$H85),"")</f>
        <v/>
      </c>
      <c r="N85" s="97">
        <f>Database!Q85</f>
        <v/>
      </c>
      <c r="O85" s="24">
        <f>IFERROR(BDH(Database!$A85&amp;" HK Equity","PE_RATIO",Database!$H85,Database!$H85),"")</f>
        <v/>
      </c>
      <c r="P85" s="101">
        <f>IF(Database!BE85="","(n/m or not derivable)",Database!BE85)</f>
        <v/>
      </c>
      <c r="Q85" s="24">
        <f>IF(Database!BK85="","",IFERROR(BDH(LEFT(Database!BK85,FIND(".",Database!BK85)-1)&amp;" CH Equity","PE_RATIO",Database!$H85,Database!$H85),""))</f>
        <v/>
      </c>
      <c r="R85" s="24">
        <f>IF(Database!BK85="","",IFERROR(BDH("HSAHP Index","PX_LAST",Database!$H85,Database!$H85),""))</f>
        <v/>
      </c>
      <c r="S85" s="24">
        <f>IFERROR(BDP(Database!$A85&amp;" HK Equity","PX_TO_SALES_RATIO"),"")</f>
        <v/>
      </c>
      <c r="T85" s="18">
        <f>IF(Database!BK85="","",IFERROR(BDP(LEFT(Database!BK85,FIND(".",Database!BK85)-1)&amp;"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Database!AF86</f>
        <v/>
      </c>
      <c r="J86" s="24">
        <f>IFERROR(BDP(Database!$A86&amp;" HK Equity","PE_RATIO"),"")</f>
        <v/>
      </c>
      <c r="K86" s="10">
        <f>IFERROR(BDP(Database!$A86&amp;" HK Equity","A/H_SHARE_CONVERSION"),"")</f>
        <v/>
      </c>
      <c r="L86" s="16">
        <f>IF(Database!BK86="","(none found)",Database!BK86)</f>
        <v/>
      </c>
      <c r="M86" s="18">
        <f>IFERROR(BDH(Database!$A86&amp;" HK Equity","CUR_MKT_CAP",Database!$H86,Database!$H86),"")</f>
        <v/>
      </c>
      <c r="N86" s="97">
        <f>Database!Q86</f>
        <v/>
      </c>
      <c r="O86" s="24">
        <f>IFERROR(BDH(Database!$A86&amp;" HK Equity","PE_RATIO",Database!$H86,Database!$H86),"")</f>
        <v/>
      </c>
      <c r="P86" s="101">
        <f>IF(Database!BE86="","(n/m or not derivable)",Database!BE86)</f>
        <v/>
      </c>
      <c r="Q86" s="24">
        <f>IF(Database!BK86="","",IFERROR(BDH(LEFT(Database!BK86,FIND(".",Database!BK86)-1)&amp;" CH Equity","PE_RATIO",Database!$H86,Database!$H86),""))</f>
        <v/>
      </c>
      <c r="R86" s="24">
        <f>IF(Database!BK86="","",IFERROR(BDH("HSAHP Index","PX_LAST",Database!$H86,Database!$H86),""))</f>
        <v/>
      </c>
      <c r="S86" s="24">
        <f>IFERROR(BDP(Database!$A86&amp;" HK Equity","PX_TO_SALES_RATIO"),"")</f>
        <v/>
      </c>
      <c r="T86" s="18">
        <f>IF(Database!BK86="","",IFERROR(BDP(LEFT(Database!BK86,FIND(".",Database!BK86)-1)&amp;"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Database!AF87</f>
        <v/>
      </c>
      <c r="J87" s="24">
        <f>IFERROR(BDP(Database!$A87&amp;" HK Equity","PE_RATIO"),"")</f>
        <v/>
      </c>
      <c r="K87" s="10">
        <f>IFERROR(BDP(Database!$A87&amp;" HK Equity","A/H_SHARE_CONVERSION"),"")</f>
        <v/>
      </c>
      <c r="L87" s="16">
        <f>IF(Database!BK87="","(none found)",Database!BK87)</f>
        <v/>
      </c>
      <c r="M87" s="18">
        <f>IFERROR(BDH(Database!$A87&amp;" HK Equity","CUR_MKT_CAP",Database!$H87,Database!$H87),"")</f>
        <v/>
      </c>
      <c r="N87" s="97">
        <f>Database!Q87</f>
        <v/>
      </c>
      <c r="O87" s="24">
        <f>IFERROR(BDH(Database!$A87&amp;" HK Equity","PE_RATIO",Database!$H87,Database!$H87),"")</f>
        <v/>
      </c>
      <c r="P87" s="101">
        <f>IF(Database!BE87="","(n/m or not derivable)",Database!BE87)</f>
        <v/>
      </c>
      <c r="Q87" s="24">
        <f>IF(Database!BK87="","",IFERROR(BDH(LEFT(Database!BK87,FIND(".",Database!BK87)-1)&amp;" CH Equity","PE_RATIO",Database!$H87,Database!$H87),""))</f>
        <v/>
      </c>
      <c r="R87" s="24">
        <f>IF(Database!BK87="","",IFERROR(BDH("HSAHP Index","PX_LAST",Database!$H87,Database!$H87),""))</f>
        <v/>
      </c>
      <c r="S87" s="24">
        <f>IFERROR(BDP(Database!$A87&amp;" HK Equity","PX_TO_SALES_RATIO"),"")</f>
        <v/>
      </c>
      <c r="T87" s="18">
        <f>IF(Database!BK87="","",IFERROR(BDP(LEFT(Database!BK87,FIND(".",Database!BK87)-1)&amp;"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Database!AF88</f>
        <v/>
      </c>
      <c r="J88" s="24">
        <f>IFERROR(BDP(Database!$A88&amp;" HK Equity","PE_RATIO"),"")</f>
        <v/>
      </c>
      <c r="K88" s="10">
        <f>IFERROR(BDP(Database!$A88&amp;" HK Equity","A/H_SHARE_CONVERSION"),"")</f>
        <v/>
      </c>
      <c r="L88" s="16">
        <f>IF(Database!BK88="","(none found)",Database!BK88)</f>
        <v/>
      </c>
      <c r="M88" s="18">
        <f>IFERROR(BDH(Database!$A88&amp;" HK Equity","CUR_MKT_CAP",Database!$H88,Database!$H88),"")</f>
        <v/>
      </c>
      <c r="N88" s="97">
        <f>Database!Q88</f>
        <v/>
      </c>
      <c r="O88" s="24">
        <f>IFERROR(BDH(Database!$A88&amp;" HK Equity","PE_RATIO",Database!$H88,Database!$H88),"")</f>
        <v/>
      </c>
      <c r="P88" s="101">
        <f>IF(Database!BE88="","(n/m or not derivable)",Database!BE88)</f>
        <v/>
      </c>
      <c r="Q88" s="24">
        <f>IF(Database!BK88="","",IFERROR(BDH(LEFT(Database!BK88,FIND(".",Database!BK88)-1)&amp;" CH Equity","PE_RATIO",Database!$H88,Database!$H88),""))</f>
        <v/>
      </c>
      <c r="R88" s="24">
        <f>IF(Database!BK88="","",IFERROR(BDH("HSAHP Index","PX_LAST",Database!$H88,Database!$H88),""))</f>
        <v/>
      </c>
      <c r="S88" s="24">
        <f>IFERROR(BDP(Database!$A88&amp;" HK Equity","PX_TO_SALES_RATIO"),"")</f>
        <v/>
      </c>
      <c r="T88" s="18">
        <f>IF(Database!BK88="","",IFERROR(BDP(LEFT(Database!BK88,FIND(".",Database!BK88)-1)&amp;"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Database!AF89</f>
        <v/>
      </c>
      <c r="J89" s="24">
        <f>IFERROR(BDP(Database!$A89&amp;" HK Equity","PE_RATIO"),"")</f>
        <v/>
      </c>
      <c r="K89" s="10">
        <f>IFERROR(BDP(Database!$A89&amp;" HK Equity","A/H_SHARE_CONVERSION"),"")</f>
        <v/>
      </c>
      <c r="L89" s="16">
        <f>IF(Database!BK89="","(none found)",Database!BK89)</f>
        <v/>
      </c>
      <c r="M89" s="18">
        <f>IFERROR(BDH(Database!$A89&amp;" HK Equity","CUR_MKT_CAP",Database!$H89,Database!$H89),"")</f>
        <v/>
      </c>
      <c r="N89" s="97">
        <f>Database!Q89</f>
        <v/>
      </c>
      <c r="O89" s="24">
        <f>IFERROR(BDH(Database!$A89&amp;" HK Equity","PE_RATIO",Database!$H89,Database!$H89),"")</f>
        <v/>
      </c>
      <c r="P89" s="101">
        <f>IF(Database!BE89="","(n/m or not derivable)",Database!BE89)</f>
        <v/>
      </c>
      <c r="Q89" s="24">
        <f>IF(Database!BK89="","",IFERROR(BDH(LEFT(Database!BK89,FIND(".",Database!BK89)-1)&amp;" CH Equity","PE_RATIO",Database!$H89,Database!$H89),""))</f>
        <v/>
      </c>
      <c r="R89" s="24">
        <f>IF(Database!BK89="","",IFERROR(BDH("HSAHP Index","PX_LAST",Database!$H89,Database!$H89),""))</f>
        <v/>
      </c>
      <c r="S89" s="24">
        <f>IFERROR(BDP(Database!$A89&amp;" HK Equity","PX_TO_SALES_RATIO"),"")</f>
        <v/>
      </c>
      <c r="T89" s="18">
        <f>IF(Database!BK89="","",IFERROR(BDP(LEFT(Database!BK89,FIND(".",Database!BK89)-1)&amp;"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Database!AF90</f>
        <v/>
      </c>
      <c r="J90" s="24">
        <f>IFERROR(BDP(Database!$A90&amp;" HK Equity","PE_RATIO"),"")</f>
        <v/>
      </c>
      <c r="K90" s="10">
        <f>IFERROR(BDP(Database!$A90&amp;" HK Equity","A/H_SHARE_CONVERSION"),"")</f>
        <v/>
      </c>
      <c r="L90" s="16">
        <f>IF(Database!BK90="","(none found)",Database!BK90)</f>
        <v/>
      </c>
      <c r="M90" s="18">
        <f>IFERROR(BDH(Database!$A90&amp;" HK Equity","CUR_MKT_CAP",Database!$H90,Database!$H90),"")</f>
        <v/>
      </c>
      <c r="N90" s="97">
        <f>Database!Q90</f>
        <v/>
      </c>
      <c r="O90" s="24">
        <f>IFERROR(BDH(Database!$A90&amp;" HK Equity","PE_RATIO",Database!$H90,Database!$H90),"")</f>
        <v/>
      </c>
      <c r="P90" s="101">
        <f>IF(Database!BE90="","(n/m or not derivable)",Database!BE90)</f>
        <v/>
      </c>
      <c r="Q90" s="24">
        <f>IF(Database!BK90="","",IFERROR(BDH(LEFT(Database!BK90,FIND(".",Database!BK90)-1)&amp;" CH Equity","PE_RATIO",Database!$H90,Database!$H90),""))</f>
        <v/>
      </c>
      <c r="R90" s="24">
        <f>IF(Database!BK90="","",IFERROR(BDH("HSAHP Index","PX_LAST",Database!$H90,Database!$H90),""))</f>
        <v/>
      </c>
      <c r="S90" s="24">
        <f>IFERROR(BDP(Database!$A90&amp;" HK Equity","PX_TO_SALES_RATIO"),"")</f>
        <v/>
      </c>
      <c r="T90" s="18">
        <f>IF(Database!BK90="","",IFERROR(BDP(LEFT(Database!BK90,FIND(".",Database!BK90)-1)&amp;"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Database!AF91</f>
        <v/>
      </c>
      <c r="J91" s="24">
        <f>IFERROR(BDP(Database!$A91&amp;" HK Equity","PE_RATIO"),"")</f>
        <v/>
      </c>
      <c r="K91" s="10">
        <f>IFERROR(BDP(Database!$A91&amp;" HK Equity","A/H_SHARE_CONVERSION"),"")</f>
        <v/>
      </c>
      <c r="L91" s="16">
        <f>IF(Database!BK91="","(none found)",Database!BK91)</f>
        <v/>
      </c>
      <c r="M91" s="18">
        <f>IFERROR(BDH(Database!$A91&amp;" HK Equity","CUR_MKT_CAP",Database!$H91,Database!$H91),"")</f>
        <v/>
      </c>
      <c r="N91" s="97">
        <f>Database!Q91</f>
        <v/>
      </c>
      <c r="O91" s="24">
        <f>IFERROR(BDH(Database!$A91&amp;" HK Equity","PE_RATIO",Database!$H91,Database!$H91),"")</f>
        <v/>
      </c>
      <c r="P91" s="101">
        <f>IF(Database!BE91="","(n/m or not derivable)",Database!BE91)</f>
        <v/>
      </c>
      <c r="Q91" s="24">
        <f>IF(Database!BK91="","",IFERROR(BDH(LEFT(Database!BK91,FIND(".",Database!BK91)-1)&amp;" CH Equity","PE_RATIO",Database!$H91,Database!$H91),""))</f>
        <v/>
      </c>
      <c r="R91" s="24">
        <f>IF(Database!BK91="","",IFERROR(BDH("HSAHP Index","PX_LAST",Database!$H91,Database!$H91),""))</f>
        <v/>
      </c>
      <c r="S91" s="24">
        <f>IFERROR(BDP(Database!$A91&amp;" HK Equity","PX_TO_SALES_RATIO"),"")</f>
        <v/>
      </c>
      <c r="T91" s="18">
        <f>IF(Database!BK91="","",IFERROR(BDP(LEFT(Database!BK91,FIND(".",Database!BK91)-1)&amp;"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Database!AF92</f>
        <v/>
      </c>
      <c r="J92" s="24">
        <f>IFERROR(BDP(Database!$A92&amp;" HK Equity","PE_RATIO"),"")</f>
        <v/>
      </c>
      <c r="K92" s="10">
        <f>IFERROR(BDP(Database!$A92&amp;" HK Equity","A/H_SHARE_CONVERSION"),"")</f>
        <v/>
      </c>
      <c r="L92" s="16">
        <f>IF(Database!BK92="","(none found)",Database!BK92)</f>
        <v/>
      </c>
      <c r="M92" s="18">
        <f>IFERROR(BDH(Database!$A92&amp;" HK Equity","CUR_MKT_CAP",Database!$H92,Database!$H92),"")</f>
        <v/>
      </c>
      <c r="N92" s="97">
        <f>Database!Q92</f>
        <v/>
      </c>
      <c r="O92" s="24">
        <f>IFERROR(BDH(Database!$A92&amp;" HK Equity","PE_RATIO",Database!$H92,Database!$H92),"")</f>
        <v/>
      </c>
      <c r="P92" s="101">
        <f>IF(Database!BE92="","(n/m or not derivable)",Database!BE92)</f>
        <v/>
      </c>
      <c r="Q92" s="24">
        <f>IF(Database!BK92="","",IFERROR(BDH(LEFT(Database!BK92,FIND(".",Database!BK92)-1)&amp;" CH Equity","PE_RATIO",Database!$H92,Database!$H92),""))</f>
        <v/>
      </c>
      <c r="R92" s="24">
        <f>IF(Database!BK92="","",IFERROR(BDH("HSAHP Index","PX_LAST",Database!$H92,Database!$H92),""))</f>
        <v/>
      </c>
      <c r="S92" s="24">
        <f>IFERROR(BDP(Database!$A92&amp;" HK Equity","PX_TO_SALES_RATIO"),"")</f>
        <v/>
      </c>
      <c r="T92" s="18">
        <f>IF(Database!BK92="","",IFERROR(BDP(LEFT(Database!BK92,FIND(".",Database!BK92)-1)&amp;"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Database!AF93</f>
        <v/>
      </c>
      <c r="J93" s="24">
        <f>IFERROR(BDP(Database!$A93&amp;" HK Equity","PE_RATIO"),"")</f>
        <v/>
      </c>
      <c r="K93" s="10">
        <f>IFERROR(BDP(Database!$A93&amp;" HK Equity","A/H_SHARE_CONVERSION"),"")</f>
        <v/>
      </c>
      <c r="L93" s="16">
        <f>IF(Database!BK93="","(none found)",Database!BK93)</f>
        <v/>
      </c>
      <c r="M93" s="18">
        <f>IFERROR(BDH(Database!$A93&amp;" HK Equity","CUR_MKT_CAP",Database!$H93,Database!$H93),"")</f>
        <v/>
      </c>
      <c r="N93" s="97">
        <f>Database!Q93</f>
        <v/>
      </c>
      <c r="O93" s="24">
        <f>IFERROR(BDH(Database!$A93&amp;" HK Equity","PE_RATIO",Database!$H93,Database!$H93),"")</f>
        <v/>
      </c>
      <c r="P93" s="101">
        <f>IF(Database!BE93="","(n/m or not derivable)",Database!BE93)</f>
        <v/>
      </c>
      <c r="Q93" s="24">
        <f>IF(Database!BK93="","",IFERROR(BDH(LEFT(Database!BK93,FIND(".",Database!BK93)-1)&amp;" CH Equity","PE_RATIO",Database!$H93,Database!$H93),""))</f>
        <v/>
      </c>
      <c r="R93" s="24">
        <f>IF(Database!BK93="","",IFERROR(BDH("HSAHP Index","PX_LAST",Database!$H93,Database!$H93),""))</f>
        <v/>
      </c>
      <c r="S93" s="24">
        <f>IFERROR(BDP(Database!$A93&amp;" HK Equity","PX_TO_SALES_RATIO"),"")</f>
        <v/>
      </c>
      <c r="T93" s="18">
        <f>IF(Database!BK93="","",IFERROR(BDP(LEFT(Database!BK93,FIND(".",Database!BK93)-1)&amp;"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Database!AF94</f>
        <v/>
      </c>
      <c r="J94" s="24">
        <f>IFERROR(BDP(Database!$A94&amp;" HK Equity","PE_RATIO"),"")</f>
        <v/>
      </c>
      <c r="K94" s="10">
        <f>IFERROR(BDP(Database!$A94&amp;" HK Equity","A/H_SHARE_CONVERSION"),"")</f>
        <v/>
      </c>
      <c r="L94" s="16">
        <f>IF(Database!BK94="","(none found)",Database!BK94)</f>
        <v/>
      </c>
      <c r="M94" s="18">
        <f>IFERROR(BDH(Database!$A94&amp;" HK Equity","CUR_MKT_CAP",Database!$H94,Database!$H94),"")</f>
        <v/>
      </c>
      <c r="N94" s="97">
        <f>Database!Q94</f>
        <v/>
      </c>
      <c r="O94" s="24">
        <f>IFERROR(BDH(Database!$A94&amp;" HK Equity","PE_RATIO",Database!$H94,Database!$H94),"")</f>
        <v/>
      </c>
      <c r="P94" s="101">
        <f>IF(Database!BE94="","(n/m or not derivable)",Database!BE94)</f>
        <v/>
      </c>
      <c r="Q94" s="24">
        <f>IF(Database!BK94="","",IFERROR(BDH(LEFT(Database!BK94,FIND(".",Database!BK94)-1)&amp;" CH Equity","PE_RATIO",Database!$H94,Database!$H94),""))</f>
        <v/>
      </c>
      <c r="R94" s="24">
        <f>IF(Database!BK94="","",IFERROR(BDH("HSAHP Index","PX_LAST",Database!$H94,Database!$H94),""))</f>
        <v/>
      </c>
      <c r="S94" s="24">
        <f>IFERROR(BDP(Database!$A94&amp;" HK Equity","PX_TO_SALES_RATIO"),"")</f>
        <v/>
      </c>
      <c r="T94" s="18">
        <f>IF(Database!BK94="","",IFERROR(BDP(LEFT(Database!BK94,FIND(".",Database!BK94)-1)&amp;"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Database!AF95</f>
        <v/>
      </c>
      <c r="J95" s="24">
        <f>IFERROR(BDP(Database!$A95&amp;" HK Equity","PE_RATIO"),"")</f>
        <v/>
      </c>
      <c r="K95" s="10">
        <f>IFERROR(BDP(Database!$A95&amp;" HK Equity","A/H_SHARE_CONVERSION"),"")</f>
        <v/>
      </c>
      <c r="L95" s="16">
        <f>IF(Database!BK95="","(none found)",Database!BK95)</f>
        <v/>
      </c>
      <c r="M95" s="18">
        <f>IFERROR(BDH(Database!$A95&amp;" HK Equity","CUR_MKT_CAP",Database!$H95,Database!$H95),"")</f>
        <v/>
      </c>
      <c r="N95" s="97">
        <f>Database!Q95</f>
        <v/>
      </c>
      <c r="O95" s="24">
        <f>IFERROR(BDH(Database!$A95&amp;" HK Equity","PE_RATIO",Database!$H95,Database!$H95),"")</f>
        <v/>
      </c>
      <c r="P95" s="101">
        <f>IF(Database!BE95="","(n/m or not derivable)",Database!BE95)</f>
        <v/>
      </c>
      <c r="Q95" s="24">
        <f>IF(Database!BK95="","",IFERROR(BDH(LEFT(Database!BK95,FIND(".",Database!BK95)-1)&amp;" CH Equity","PE_RATIO",Database!$H95,Database!$H95),""))</f>
        <v/>
      </c>
      <c r="R95" s="24">
        <f>IF(Database!BK95="","",IFERROR(BDH("HSAHP Index","PX_LAST",Database!$H95,Database!$H95),""))</f>
        <v/>
      </c>
      <c r="S95" s="24">
        <f>IFERROR(BDP(Database!$A95&amp;" HK Equity","PX_TO_SALES_RATIO"),"")</f>
        <v/>
      </c>
      <c r="T95" s="18">
        <f>IF(Database!BK95="","",IFERROR(BDP(LEFT(Database!BK95,FIND(".",Database!BK95)-1)&amp;"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Database!AF96</f>
        <v/>
      </c>
      <c r="J96" s="24">
        <f>IFERROR(BDP(Database!$A96&amp;" HK Equity","PE_RATIO"),"")</f>
        <v/>
      </c>
      <c r="K96" s="10">
        <f>IFERROR(BDP(Database!$A96&amp;" HK Equity","A/H_SHARE_CONVERSION"),"")</f>
        <v/>
      </c>
      <c r="L96" s="16">
        <f>IF(Database!BK96="","(none found)",Database!BK96)</f>
        <v/>
      </c>
      <c r="M96" s="18">
        <f>IFERROR(BDH(Database!$A96&amp;" HK Equity","CUR_MKT_CAP",Database!$H96,Database!$H96),"")</f>
        <v/>
      </c>
      <c r="N96" s="97">
        <f>Database!Q96</f>
        <v/>
      </c>
      <c r="O96" s="24">
        <f>IFERROR(BDH(Database!$A96&amp;" HK Equity","PE_RATIO",Database!$H96,Database!$H96),"")</f>
        <v/>
      </c>
      <c r="P96" s="101">
        <f>IF(Database!BE96="","(n/m or not derivable)",Database!BE96)</f>
        <v/>
      </c>
      <c r="Q96" s="24">
        <f>IF(Database!BK96="","",IFERROR(BDH(LEFT(Database!BK96,FIND(".",Database!BK96)-1)&amp;" CH Equity","PE_RATIO",Database!$H96,Database!$H96),""))</f>
        <v/>
      </c>
      <c r="R96" s="24">
        <f>IF(Database!BK96="","",IFERROR(BDH("HSAHP Index","PX_LAST",Database!$H96,Database!$H96),""))</f>
        <v/>
      </c>
      <c r="S96" s="24">
        <f>IFERROR(BDP(Database!$A96&amp;" HK Equity","PX_TO_SALES_RATIO"),"")</f>
        <v/>
      </c>
      <c r="T96" s="18">
        <f>IF(Database!BK96="","",IFERROR(BDP(LEFT(Database!BK96,FIND(".",Database!BK96)-1)&amp;"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Database!AF97</f>
        <v/>
      </c>
      <c r="J97" s="24">
        <f>IFERROR(BDP(Database!$A97&amp;" HK Equity","PE_RATIO"),"")</f>
        <v/>
      </c>
      <c r="K97" s="10">
        <f>IFERROR(BDP(Database!$A97&amp;" HK Equity","A/H_SHARE_CONVERSION"),"")</f>
        <v/>
      </c>
      <c r="L97" s="16">
        <f>IF(Database!BK97="","(none found)",Database!BK97)</f>
        <v/>
      </c>
      <c r="M97" s="18">
        <f>IFERROR(BDH(Database!$A97&amp;" HK Equity","CUR_MKT_CAP",Database!$H97,Database!$H97),"")</f>
        <v/>
      </c>
      <c r="N97" s="97">
        <f>Database!Q97</f>
        <v/>
      </c>
      <c r="O97" s="24">
        <f>IFERROR(BDH(Database!$A97&amp;" HK Equity","PE_RATIO",Database!$H97,Database!$H97),"")</f>
        <v/>
      </c>
      <c r="P97" s="101">
        <f>IF(Database!BE97="","(n/m or not derivable)",Database!BE97)</f>
        <v/>
      </c>
      <c r="Q97" s="24">
        <f>IF(Database!BK97="","",IFERROR(BDH(LEFT(Database!BK97,FIND(".",Database!BK97)-1)&amp;" CH Equity","PE_RATIO",Database!$H97,Database!$H97),""))</f>
        <v/>
      </c>
      <c r="R97" s="24">
        <f>IF(Database!BK97="","",IFERROR(BDH("HSAHP Index","PX_LAST",Database!$H97,Database!$H97),""))</f>
        <v/>
      </c>
      <c r="S97" s="24">
        <f>IFERROR(BDP(Database!$A97&amp;" HK Equity","PX_TO_SALES_RATIO"),"")</f>
        <v/>
      </c>
      <c r="T97" s="18">
        <f>IF(Database!BK97="","",IFERROR(BDP(LEFT(Database!BK97,FIND(".",Database!BK97)-1)&amp;"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Database!AF98</f>
        <v/>
      </c>
      <c r="J98" s="24">
        <f>IFERROR(BDP(Database!$A98&amp;" HK Equity","PE_RATIO"),"")</f>
        <v/>
      </c>
      <c r="K98" s="10">
        <f>IFERROR(BDP(Database!$A98&amp;" HK Equity","A/H_SHARE_CONVERSION"),"")</f>
        <v/>
      </c>
      <c r="L98" s="16">
        <f>IF(Database!BK98="","(none found)",Database!BK98)</f>
        <v/>
      </c>
      <c r="M98" s="18">
        <f>IFERROR(BDH(Database!$A98&amp;" HK Equity","CUR_MKT_CAP",Database!$H98,Database!$H98),"")</f>
        <v/>
      </c>
      <c r="N98" s="97">
        <f>Database!Q98</f>
        <v/>
      </c>
      <c r="O98" s="24">
        <f>IFERROR(BDH(Database!$A98&amp;" HK Equity","PE_RATIO",Database!$H98,Database!$H98),"")</f>
        <v/>
      </c>
      <c r="P98" s="101">
        <f>IF(Database!BE98="","(n/m or not derivable)",Database!BE98)</f>
        <v/>
      </c>
      <c r="Q98" s="24">
        <f>IF(Database!BK98="","",IFERROR(BDH(LEFT(Database!BK98,FIND(".",Database!BK98)-1)&amp;" CH Equity","PE_RATIO",Database!$H98,Database!$H98),""))</f>
        <v/>
      </c>
      <c r="R98" s="24">
        <f>IF(Database!BK98="","",IFERROR(BDH("HSAHP Index","PX_LAST",Database!$H98,Database!$H98),""))</f>
        <v/>
      </c>
      <c r="S98" s="24">
        <f>IFERROR(BDP(Database!$A98&amp;" HK Equity","PX_TO_SALES_RATIO"),"")</f>
        <v/>
      </c>
      <c r="T98" s="18">
        <f>IF(Database!BK98="","",IFERROR(BDP(LEFT(Database!BK98,FIND(".",Database!BK98)-1)&amp;"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Database!AF99</f>
        <v/>
      </c>
      <c r="J99" s="24">
        <f>IFERROR(BDP(Database!$A99&amp;" HK Equity","PE_RATIO"),"")</f>
        <v/>
      </c>
      <c r="K99" s="10">
        <f>IFERROR(BDP(Database!$A99&amp;" HK Equity","A/H_SHARE_CONVERSION"),"")</f>
        <v/>
      </c>
      <c r="L99" s="16">
        <f>IF(Database!BK99="","(none found)",Database!BK99)</f>
        <v/>
      </c>
      <c r="M99" s="18">
        <f>IFERROR(BDH(Database!$A99&amp;" HK Equity","CUR_MKT_CAP",Database!$H99,Database!$H99),"")</f>
        <v/>
      </c>
      <c r="N99" s="97">
        <f>Database!Q99</f>
        <v/>
      </c>
      <c r="O99" s="24">
        <f>IFERROR(BDH(Database!$A99&amp;" HK Equity","PE_RATIO",Database!$H99,Database!$H99),"")</f>
        <v/>
      </c>
      <c r="P99" s="101">
        <f>IF(Database!BE99="","(n/m or not derivable)",Database!BE99)</f>
        <v/>
      </c>
      <c r="Q99" s="24">
        <f>IF(Database!BK99="","",IFERROR(BDH(LEFT(Database!BK99,FIND(".",Database!BK99)-1)&amp;" CH Equity","PE_RATIO",Database!$H99,Database!$H99),""))</f>
        <v/>
      </c>
      <c r="R99" s="24">
        <f>IF(Database!BK99="","",IFERROR(BDH("HSAHP Index","PX_LAST",Database!$H99,Database!$H99),""))</f>
        <v/>
      </c>
      <c r="S99" s="24">
        <f>IFERROR(BDP(Database!$A99&amp;" HK Equity","PX_TO_SALES_RATIO"),"")</f>
        <v/>
      </c>
      <c r="T99" s="18">
        <f>IF(Database!BK99="","",IFERROR(BDP(LEFT(Database!BK99,FIND(".",Database!BK99)-1)&amp;"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Database!AF100</f>
        <v/>
      </c>
      <c r="J100" s="24">
        <f>IFERROR(BDP(Database!$A100&amp;" HK Equity","PE_RATIO"),"")</f>
        <v/>
      </c>
      <c r="K100" s="10">
        <f>IFERROR(BDP(Database!$A100&amp;" HK Equity","A/H_SHARE_CONVERSION"),"")</f>
        <v/>
      </c>
      <c r="L100" s="16">
        <f>IF(Database!BK100="","(none found)",Database!BK100)</f>
        <v/>
      </c>
      <c r="M100" s="18">
        <f>IFERROR(BDH(Database!$A100&amp;" HK Equity","CUR_MKT_CAP",Database!$H100,Database!$H100),"")</f>
        <v/>
      </c>
      <c r="N100" s="97">
        <f>Database!Q100</f>
        <v/>
      </c>
      <c r="O100" s="24">
        <f>IFERROR(BDH(Database!$A100&amp;" HK Equity","PE_RATIO",Database!$H100,Database!$H100),"")</f>
        <v/>
      </c>
      <c r="P100" s="101">
        <f>IF(Database!BE100="","(n/m or not derivable)",Database!BE100)</f>
        <v/>
      </c>
      <c r="Q100" s="24">
        <f>IF(Database!BK100="","",IFERROR(BDH(LEFT(Database!BK100,FIND(".",Database!BK100)-1)&amp;" CH Equity","PE_RATIO",Database!$H100,Database!$H100),""))</f>
        <v/>
      </c>
      <c r="R100" s="24">
        <f>IF(Database!BK100="","",IFERROR(BDH("HSAHP Index","PX_LAST",Database!$H100,Database!$H100),""))</f>
        <v/>
      </c>
      <c r="S100" s="24">
        <f>IFERROR(BDP(Database!$A100&amp;" HK Equity","PX_TO_SALES_RATIO"),"")</f>
        <v/>
      </c>
      <c r="T100" s="18">
        <f>IF(Database!BK100="","",IFERROR(BDP(LEFT(Database!BK100,FIND(".",Database!BK100)-1)&amp;"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Database!AF101</f>
        <v/>
      </c>
      <c r="J101" s="24">
        <f>IFERROR(BDP(Database!$A101&amp;" HK Equity","PE_RATIO"),"")</f>
        <v/>
      </c>
      <c r="K101" s="10">
        <f>IFERROR(BDP(Database!$A101&amp;" HK Equity","A/H_SHARE_CONVERSION"),"")</f>
        <v/>
      </c>
      <c r="L101" s="16">
        <f>IF(Database!BK101="","(none found)",Database!BK101)</f>
        <v/>
      </c>
      <c r="M101" s="18">
        <f>IFERROR(BDH(Database!$A101&amp;" HK Equity","CUR_MKT_CAP",Database!$H101,Database!$H101),"")</f>
        <v/>
      </c>
      <c r="N101" s="97">
        <f>Database!Q101</f>
        <v/>
      </c>
      <c r="O101" s="24">
        <f>IFERROR(BDH(Database!$A101&amp;" HK Equity","PE_RATIO",Database!$H101,Database!$H101),"")</f>
        <v/>
      </c>
      <c r="P101" s="101">
        <f>IF(Database!BE101="","(n/m or not derivable)",Database!BE101)</f>
        <v/>
      </c>
      <c r="Q101" s="24">
        <f>IF(Database!BK101="","",IFERROR(BDH(LEFT(Database!BK101,FIND(".",Database!BK101)-1)&amp;" CH Equity","PE_RATIO",Database!$H101,Database!$H101),""))</f>
        <v/>
      </c>
      <c r="R101" s="24">
        <f>IF(Database!BK101="","",IFERROR(BDH("HSAHP Index","PX_LAST",Database!$H101,Database!$H101),""))</f>
        <v/>
      </c>
      <c r="S101" s="24">
        <f>IFERROR(BDP(Database!$A101&amp;" HK Equity","PX_TO_SALES_RATIO"),"")</f>
        <v/>
      </c>
      <c r="T101" s="18">
        <f>IF(Database!BK101="","",IFERROR(BDP(LEFT(Database!BK101,FIND(".",Database!BK101)-1)&amp;"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Database!AF102</f>
        <v/>
      </c>
      <c r="J102" s="24">
        <f>IFERROR(BDP(Database!$A102&amp;" HK Equity","PE_RATIO"),"")</f>
        <v/>
      </c>
      <c r="K102" s="10">
        <f>IFERROR(BDP(Database!$A102&amp;" HK Equity","A/H_SHARE_CONVERSION"),"")</f>
        <v/>
      </c>
      <c r="L102" s="16">
        <f>IF(Database!BK102="","(none found)",Database!BK102)</f>
        <v/>
      </c>
      <c r="M102" s="18">
        <f>IFERROR(BDH(Database!$A102&amp;" HK Equity","CUR_MKT_CAP",Database!$H102,Database!$H102),"")</f>
        <v/>
      </c>
      <c r="N102" s="97">
        <f>Database!Q102</f>
        <v/>
      </c>
      <c r="O102" s="24">
        <f>IFERROR(BDH(Database!$A102&amp;" HK Equity","PE_RATIO",Database!$H102,Database!$H102),"")</f>
        <v/>
      </c>
      <c r="P102" s="101">
        <f>IF(Database!BE102="","(n/m or not derivable)",Database!BE102)</f>
        <v/>
      </c>
      <c r="Q102" s="24">
        <f>IF(Database!BK102="","",IFERROR(BDH(LEFT(Database!BK102,FIND(".",Database!BK102)-1)&amp;" CH Equity","PE_RATIO",Database!$H102,Database!$H102),""))</f>
        <v/>
      </c>
      <c r="R102" s="24">
        <f>IF(Database!BK102="","",IFERROR(BDH("HSAHP Index","PX_LAST",Database!$H102,Database!$H102),""))</f>
        <v/>
      </c>
      <c r="S102" s="24">
        <f>IFERROR(BDP(Database!$A102&amp;" HK Equity","PX_TO_SALES_RATIO"),"")</f>
        <v/>
      </c>
      <c r="T102" s="18">
        <f>IF(Database!BK102="","",IFERROR(BDP(LEFT(Database!BK102,FIND(".",Database!BK102)-1)&amp;"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Database!AF103</f>
        <v/>
      </c>
      <c r="J103" s="24">
        <f>IFERROR(BDP(Database!$A103&amp;" HK Equity","PE_RATIO"),"")</f>
        <v/>
      </c>
      <c r="K103" s="10">
        <f>IFERROR(BDP(Database!$A103&amp;" HK Equity","A/H_SHARE_CONVERSION"),"")</f>
        <v/>
      </c>
      <c r="L103" s="16">
        <f>IF(Database!BK103="","(none found)",Database!BK103)</f>
        <v/>
      </c>
      <c r="M103" s="18">
        <f>IFERROR(BDH(Database!$A103&amp;" HK Equity","CUR_MKT_CAP",Database!$H103,Database!$H103),"")</f>
        <v/>
      </c>
      <c r="N103" s="97">
        <f>Database!Q103</f>
        <v/>
      </c>
      <c r="O103" s="24">
        <f>IFERROR(BDH(Database!$A103&amp;" HK Equity","PE_RATIO",Database!$H103,Database!$H103),"")</f>
        <v/>
      </c>
      <c r="P103" s="101">
        <f>IF(Database!BE103="","(n/m or not derivable)",Database!BE103)</f>
        <v/>
      </c>
      <c r="Q103" s="24">
        <f>IF(Database!BK103="","",IFERROR(BDH(LEFT(Database!BK103,FIND(".",Database!BK103)-1)&amp;" CH Equity","PE_RATIO",Database!$H103,Database!$H103),""))</f>
        <v/>
      </c>
      <c r="R103" s="24">
        <f>IF(Database!BK103="","",IFERROR(BDH("HSAHP Index","PX_LAST",Database!$H103,Database!$H103),""))</f>
        <v/>
      </c>
      <c r="S103" s="24">
        <f>IFERROR(BDP(Database!$A103&amp;" HK Equity","PX_TO_SALES_RATIO"),"")</f>
        <v/>
      </c>
      <c r="T103" s="18">
        <f>IF(Database!BK103="","",IFERROR(BDP(LEFT(Database!BK103,FIND(".",Database!BK103)-1)&amp;"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Database!AF104</f>
        <v/>
      </c>
      <c r="J104" s="24">
        <f>IFERROR(BDP(Database!$A104&amp;" HK Equity","PE_RATIO"),"")</f>
        <v/>
      </c>
      <c r="K104" s="10">
        <f>IFERROR(BDP(Database!$A104&amp;" HK Equity","A/H_SHARE_CONVERSION"),"")</f>
        <v/>
      </c>
      <c r="L104" s="16">
        <f>IF(Database!BK104="","(none found)",Database!BK104)</f>
        <v/>
      </c>
      <c r="M104" s="18">
        <f>IFERROR(BDH(Database!$A104&amp;" HK Equity","CUR_MKT_CAP",Database!$H104,Database!$H104),"")</f>
        <v/>
      </c>
      <c r="N104" s="97">
        <f>Database!Q104</f>
        <v/>
      </c>
      <c r="O104" s="24">
        <f>IFERROR(BDH(Database!$A104&amp;" HK Equity","PE_RATIO",Database!$H104,Database!$H104),"")</f>
        <v/>
      </c>
      <c r="P104" s="101">
        <f>IF(Database!BE104="","(n/m or not derivable)",Database!BE104)</f>
        <v/>
      </c>
      <c r="Q104" s="24">
        <f>IF(Database!BK104="","",IFERROR(BDH(LEFT(Database!BK104,FIND(".",Database!BK104)-1)&amp;" CH Equity","PE_RATIO",Database!$H104,Database!$H104),""))</f>
        <v/>
      </c>
      <c r="R104" s="24">
        <f>IF(Database!BK104="","",IFERROR(BDH("HSAHP Index","PX_LAST",Database!$H104,Database!$H104),""))</f>
        <v/>
      </c>
      <c r="S104" s="24">
        <f>IFERROR(BDP(Database!$A104&amp;" HK Equity","PX_TO_SALES_RATIO"),"")</f>
        <v/>
      </c>
      <c r="T104" s="18">
        <f>IF(Database!BK104="","",IFERROR(BDP(LEFT(Database!BK104,FIND(".",Database!BK104)-1)&amp;"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Database!AF105</f>
        <v/>
      </c>
      <c r="J105" s="24">
        <f>IFERROR(BDP(Database!$A105&amp;" HK Equity","PE_RATIO"),"")</f>
        <v/>
      </c>
      <c r="K105" s="10">
        <f>IFERROR(BDP(Database!$A105&amp;" HK Equity","A/H_SHARE_CONVERSION"),"")</f>
        <v/>
      </c>
      <c r="L105" s="16">
        <f>IF(Database!BK105="","(none found)",Database!BK105)</f>
        <v/>
      </c>
      <c r="M105" s="18">
        <f>IFERROR(BDH(Database!$A105&amp;" HK Equity","CUR_MKT_CAP",Database!$H105,Database!$H105),"")</f>
        <v/>
      </c>
      <c r="N105" s="97">
        <f>Database!Q105</f>
        <v/>
      </c>
      <c r="O105" s="24">
        <f>IFERROR(BDH(Database!$A105&amp;" HK Equity","PE_RATIO",Database!$H105,Database!$H105),"")</f>
        <v/>
      </c>
      <c r="P105" s="101">
        <f>IF(Database!BE105="","(n/m or not derivable)",Database!BE105)</f>
        <v/>
      </c>
      <c r="Q105" s="24">
        <f>IF(Database!BK105="","",IFERROR(BDH(LEFT(Database!BK105,FIND(".",Database!BK105)-1)&amp;" CH Equity","PE_RATIO",Database!$H105,Database!$H105),""))</f>
        <v/>
      </c>
      <c r="R105" s="24">
        <f>IF(Database!BK105="","",IFERROR(BDH("HSAHP Index","PX_LAST",Database!$H105,Database!$H105),""))</f>
        <v/>
      </c>
      <c r="S105" s="24">
        <f>IFERROR(BDP(Database!$A105&amp;" HK Equity","PX_TO_SALES_RATIO"),"")</f>
        <v/>
      </c>
      <c r="T105" s="18">
        <f>IF(Database!BK105="","",IFERROR(BDP(LEFT(Database!BK105,FIND(".",Database!BK105)-1)&amp;"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Database!AF106</f>
        <v/>
      </c>
      <c r="J106" s="24">
        <f>IFERROR(BDP(Database!$A106&amp;" HK Equity","PE_RATIO"),"")</f>
        <v/>
      </c>
      <c r="K106" s="10">
        <f>IFERROR(BDP(Database!$A106&amp;" HK Equity","A/H_SHARE_CONVERSION"),"")</f>
        <v/>
      </c>
      <c r="L106" s="16">
        <f>IF(Database!BK106="","(none found)",Database!BK106)</f>
        <v/>
      </c>
      <c r="M106" s="18">
        <f>IFERROR(BDH(Database!$A106&amp;" HK Equity","CUR_MKT_CAP",Database!$H106,Database!$H106),"")</f>
        <v/>
      </c>
      <c r="N106" s="97">
        <f>Database!Q106</f>
        <v/>
      </c>
      <c r="O106" s="24">
        <f>IFERROR(BDH(Database!$A106&amp;" HK Equity","PE_RATIO",Database!$H106,Database!$H106),"")</f>
        <v/>
      </c>
      <c r="P106" s="101">
        <f>IF(Database!BE106="","(n/m or not derivable)",Database!BE106)</f>
        <v/>
      </c>
      <c r="Q106" s="24">
        <f>IF(Database!BK106="","",IFERROR(BDH(LEFT(Database!BK106,FIND(".",Database!BK106)-1)&amp;" CH Equity","PE_RATIO",Database!$H106,Database!$H106),""))</f>
        <v/>
      </c>
      <c r="R106" s="24">
        <f>IF(Database!BK106="","",IFERROR(BDH("HSAHP Index","PX_LAST",Database!$H106,Database!$H106),""))</f>
        <v/>
      </c>
      <c r="S106" s="24">
        <f>IFERROR(BDP(Database!$A106&amp;" HK Equity","PX_TO_SALES_RATIO"),"")</f>
        <v/>
      </c>
      <c r="T106" s="18">
        <f>IF(Database!BK106="","",IFERROR(BDP(LEFT(Database!BK106,FIND(".",Database!BK106)-1)&amp;"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Database!AF107</f>
        <v/>
      </c>
      <c r="J107" s="24">
        <f>IFERROR(BDP(Database!$A107&amp;" HK Equity","PE_RATIO"),"")</f>
        <v/>
      </c>
      <c r="K107" s="10">
        <f>IFERROR(BDP(Database!$A107&amp;" HK Equity","A/H_SHARE_CONVERSION"),"")</f>
        <v/>
      </c>
      <c r="L107" s="16">
        <f>IF(Database!BK107="","(none found)",Database!BK107)</f>
        <v/>
      </c>
      <c r="M107" s="18">
        <f>IFERROR(BDH(Database!$A107&amp;" HK Equity","CUR_MKT_CAP",Database!$H107,Database!$H107),"")</f>
        <v/>
      </c>
      <c r="N107" s="97">
        <f>Database!Q107</f>
        <v/>
      </c>
      <c r="O107" s="24">
        <f>IFERROR(BDH(Database!$A107&amp;" HK Equity","PE_RATIO",Database!$H107,Database!$H107),"")</f>
        <v/>
      </c>
      <c r="P107" s="101">
        <f>IF(Database!BE107="","(n/m or not derivable)",Database!BE107)</f>
        <v/>
      </c>
      <c r="Q107" s="24">
        <f>IF(Database!BK107="","",IFERROR(BDH(LEFT(Database!BK107,FIND(".",Database!BK107)-1)&amp;" CH Equity","PE_RATIO",Database!$H107,Database!$H107),""))</f>
        <v/>
      </c>
      <c r="R107" s="24">
        <f>IF(Database!BK107="","",IFERROR(BDH("HSAHP Index","PX_LAST",Database!$H107,Database!$H107),""))</f>
        <v/>
      </c>
      <c r="S107" s="24">
        <f>IFERROR(BDP(Database!$A107&amp;" HK Equity","PX_TO_SALES_RATIO"),"")</f>
        <v/>
      </c>
      <c r="T107" s="18">
        <f>IF(Database!BK107="","",IFERROR(BDP(LEFT(Database!BK107,FIND(".",Database!BK107)-1)&amp;"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Database!AF108</f>
        <v/>
      </c>
      <c r="J108" s="24">
        <f>IFERROR(BDP(Database!$A108&amp;" HK Equity","PE_RATIO"),"")</f>
        <v/>
      </c>
      <c r="K108" s="10">
        <f>IFERROR(BDP(Database!$A108&amp;" HK Equity","A/H_SHARE_CONVERSION"),"")</f>
        <v/>
      </c>
      <c r="L108" s="16">
        <f>IF(Database!BK108="","(none found)",Database!BK108)</f>
        <v/>
      </c>
      <c r="M108" s="18">
        <f>IFERROR(BDH(Database!$A108&amp;" HK Equity","CUR_MKT_CAP",Database!$H108,Database!$H108),"")</f>
        <v/>
      </c>
      <c r="N108" s="97">
        <f>Database!Q108</f>
        <v/>
      </c>
      <c r="O108" s="24">
        <f>IFERROR(BDH(Database!$A108&amp;" HK Equity","PE_RATIO",Database!$H108,Database!$H108),"")</f>
        <v/>
      </c>
      <c r="P108" s="101">
        <f>IF(Database!BE108="","(n/m or not derivable)",Database!BE108)</f>
        <v/>
      </c>
      <c r="Q108" s="24">
        <f>IF(Database!BK108="","",IFERROR(BDH(LEFT(Database!BK108,FIND(".",Database!BK108)-1)&amp;" CH Equity","PE_RATIO",Database!$H108,Database!$H108),""))</f>
        <v/>
      </c>
      <c r="R108" s="24">
        <f>IF(Database!BK108="","",IFERROR(BDH("HSAHP Index","PX_LAST",Database!$H108,Database!$H108),""))</f>
        <v/>
      </c>
      <c r="S108" s="24">
        <f>IFERROR(BDP(Database!$A108&amp;" HK Equity","PX_TO_SALES_RATIO"),"")</f>
        <v/>
      </c>
      <c r="T108" s="18">
        <f>IF(Database!BK108="","",IFERROR(BDP(LEFT(Database!BK108,FIND(".",Database!BK108)-1)&amp;"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Database!AF109</f>
        <v/>
      </c>
      <c r="J109" s="24">
        <f>IFERROR(BDP(Database!$A109&amp;" HK Equity","PE_RATIO"),"")</f>
        <v/>
      </c>
      <c r="K109" s="10">
        <f>IFERROR(BDP(Database!$A109&amp;" HK Equity","A/H_SHARE_CONVERSION"),"")</f>
        <v/>
      </c>
      <c r="L109" s="16">
        <f>IF(Database!BK109="","(none found)",Database!BK109)</f>
        <v/>
      </c>
      <c r="M109" s="18">
        <f>IFERROR(BDH(Database!$A109&amp;" HK Equity","CUR_MKT_CAP",Database!$H109,Database!$H109),"")</f>
        <v/>
      </c>
      <c r="N109" s="97">
        <f>Database!Q109</f>
        <v/>
      </c>
      <c r="O109" s="24">
        <f>IFERROR(BDH(Database!$A109&amp;" HK Equity","PE_RATIO",Database!$H109,Database!$H109),"")</f>
        <v/>
      </c>
      <c r="P109" s="101">
        <f>IF(Database!BE109="","(n/m or not derivable)",Database!BE109)</f>
        <v/>
      </c>
      <c r="Q109" s="24">
        <f>IF(Database!BK109="","",IFERROR(BDH(LEFT(Database!BK109,FIND(".",Database!BK109)-1)&amp;" CH Equity","PE_RATIO",Database!$H109,Database!$H109),""))</f>
        <v/>
      </c>
      <c r="R109" s="24">
        <f>IF(Database!BK109="","",IFERROR(BDH("HSAHP Index","PX_LAST",Database!$H109,Database!$H109),""))</f>
        <v/>
      </c>
      <c r="S109" s="24">
        <f>IFERROR(BDP(Database!$A109&amp;" HK Equity","PX_TO_SALES_RATIO"),"")</f>
        <v/>
      </c>
      <c r="T109" s="18">
        <f>IF(Database!BK109="","",IFERROR(BDP(LEFT(Database!BK109,FIND(".",Database!BK109)-1)&amp;"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Database!AF110</f>
        <v/>
      </c>
      <c r="J110" s="24">
        <f>IFERROR(BDP(Database!$A110&amp;" HK Equity","PE_RATIO"),"")</f>
        <v/>
      </c>
      <c r="K110" s="10">
        <f>IFERROR(BDP(Database!$A110&amp;" HK Equity","A/H_SHARE_CONVERSION"),"")</f>
        <v/>
      </c>
      <c r="L110" s="16">
        <f>IF(Database!BK110="","(none found)",Database!BK110)</f>
        <v/>
      </c>
      <c r="M110" s="18">
        <f>IFERROR(BDH(Database!$A110&amp;" HK Equity","CUR_MKT_CAP",Database!$H110,Database!$H110),"")</f>
        <v/>
      </c>
      <c r="N110" s="97">
        <f>Database!Q110</f>
        <v/>
      </c>
      <c r="O110" s="24">
        <f>IFERROR(BDH(Database!$A110&amp;" HK Equity","PE_RATIO",Database!$H110,Database!$H110),"")</f>
        <v/>
      </c>
      <c r="P110" s="101">
        <f>IF(Database!BE110="","(n/m or not derivable)",Database!BE110)</f>
        <v/>
      </c>
      <c r="Q110" s="24">
        <f>IF(Database!BK110="","",IFERROR(BDH(LEFT(Database!BK110,FIND(".",Database!BK110)-1)&amp;" CH Equity","PE_RATIO",Database!$H110,Database!$H110),""))</f>
        <v/>
      </c>
      <c r="R110" s="24">
        <f>IF(Database!BK110="","",IFERROR(BDH("HSAHP Index","PX_LAST",Database!$H110,Database!$H110),""))</f>
        <v/>
      </c>
      <c r="S110" s="24">
        <f>IFERROR(BDP(Database!$A110&amp;" HK Equity","PX_TO_SALES_RATIO"),"")</f>
        <v/>
      </c>
      <c r="T110" s="18">
        <f>IF(Database!BK110="","",IFERROR(BDP(LEFT(Database!BK110,FIND(".",Database!BK110)-1)&amp;"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Database!AF111</f>
        <v/>
      </c>
      <c r="J111" s="24">
        <f>IFERROR(BDP(Database!$A111&amp;" HK Equity","PE_RATIO"),"")</f>
        <v/>
      </c>
      <c r="K111" s="10">
        <f>IFERROR(BDP(Database!$A111&amp;" HK Equity","A/H_SHARE_CONVERSION"),"")</f>
        <v/>
      </c>
      <c r="L111" s="16">
        <f>IF(Database!BK111="","(none found)",Database!BK111)</f>
        <v/>
      </c>
      <c r="M111" s="18">
        <f>IFERROR(BDH(Database!$A111&amp;" HK Equity","CUR_MKT_CAP",Database!$H111,Database!$H111),"")</f>
        <v/>
      </c>
      <c r="N111" s="97">
        <f>Database!Q111</f>
        <v/>
      </c>
      <c r="O111" s="24">
        <f>IFERROR(BDH(Database!$A111&amp;" HK Equity","PE_RATIO",Database!$H111,Database!$H111),"")</f>
        <v/>
      </c>
      <c r="P111" s="101">
        <f>IF(Database!BE111="","(n/m or not derivable)",Database!BE111)</f>
        <v/>
      </c>
      <c r="Q111" s="24">
        <f>IF(Database!BK111="","",IFERROR(BDH(LEFT(Database!BK111,FIND(".",Database!BK111)-1)&amp;" CH Equity","PE_RATIO",Database!$H111,Database!$H111),""))</f>
        <v/>
      </c>
      <c r="R111" s="24">
        <f>IF(Database!BK111="","",IFERROR(BDH("HSAHP Index","PX_LAST",Database!$H111,Database!$H111),""))</f>
        <v/>
      </c>
      <c r="S111" s="24">
        <f>IFERROR(BDP(Database!$A111&amp;" HK Equity","PX_TO_SALES_RATIO"),"")</f>
        <v/>
      </c>
      <c r="T111" s="18">
        <f>IF(Database!BK111="","",IFERROR(BDP(LEFT(Database!BK111,FIND(".",Database!BK111)-1)&amp;"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Database!AF112</f>
        <v/>
      </c>
      <c r="J112" s="24">
        <f>IFERROR(BDP(Database!$A112&amp;" HK Equity","PE_RATIO"),"")</f>
        <v/>
      </c>
      <c r="K112" s="10">
        <f>IFERROR(BDP(Database!$A112&amp;" HK Equity","A/H_SHARE_CONVERSION"),"")</f>
        <v/>
      </c>
      <c r="L112" s="16">
        <f>IF(Database!BK112="","(none found)",Database!BK112)</f>
        <v/>
      </c>
      <c r="M112" s="18">
        <f>IFERROR(BDH(Database!$A112&amp;" HK Equity","CUR_MKT_CAP",Database!$H112,Database!$H112),"")</f>
        <v/>
      </c>
      <c r="N112" s="97">
        <f>Database!Q112</f>
        <v/>
      </c>
      <c r="O112" s="24">
        <f>IFERROR(BDH(Database!$A112&amp;" HK Equity","PE_RATIO",Database!$H112,Database!$H112),"")</f>
        <v/>
      </c>
      <c r="P112" s="101">
        <f>IF(Database!BE112="","(n/m or not derivable)",Database!BE112)</f>
        <v/>
      </c>
      <c r="Q112" s="24">
        <f>IF(Database!BK112="","",IFERROR(BDH(LEFT(Database!BK112,FIND(".",Database!BK112)-1)&amp;" CH Equity","PE_RATIO",Database!$H112,Database!$H112),""))</f>
        <v/>
      </c>
      <c r="R112" s="24">
        <f>IF(Database!BK112="","",IFERROR(BDH("HSAHP Index","PX_LAST",Database!$H112,Database!$H112),""))</f>
        <v/>
      </c>
      <c r="S112" s="24">
        <f>IFERROR(BDP(Database!$A112&amp;" HK Equity","PX_TO_SALES_RATIO"),"")</f>
        <v/>
      </c>
      <c r="T112" s="18">
        <f>IF(Database!BK112="","",IFERROR(BDP(LEFT(Database!BK112,FIND(".",Database!BK112)-1)&amp;"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Database!AF113</f>
        <v/>
      </c>
      <c r="J113" s="24">
        <f>IFERROR(BDP(Database!$A113&amp;" HK Equity","PE_RATIO"),"")</f>
        <v/>
      </c>
      <c r="K113" s="10">
        <f>IFERROR(BDP(Database!$A113&amp;" HK Equity","A/H_SHARE_CONVERSION"),"")</f>
        <v/>
      </c>
      <c r="L113" s="16">
        <f>IF(Database!BK113="","(none found)",Database!BK113)</f>
        <v/>
      </c>
      <c r="M113" s="18">
        <f>IFERROR(BDH(Database!$A113&amp;" HK Equity","CUR_MKT_CAP",Database!$H113,Database!$H113),"")</f>
        <v/>
      </c>
      <c r="N113" s="97">
        <f>Database!Q113</f>
        <v/>
      </c>
      <c r="O113" s="24">
        <f>IFERROR(BDH(Database!$A113&amp;" HK Equity","PE_RATIO",Database!$H113,Database!$H113),"")</f>
        <v/>
      </c>
      <c r="P113" s="101">
        <f>IF(Database!BE113="","(n/m or not derivable)",Database!BE113)</f>
        <v/>
      </c>
      <c r="Q113" s="24">
        <f>IF(Database!BK113="","",IFERROR(BDH(LEFT(Database!BK113,FIND(".",Database!BK113)-1)&amp;" CH Equity","PE_RATIO",Database!$H113,Database!$H113),""))</f>
        <v/>
      </c>
      <c r="R113" s="24">
        <f>IF(Database!BK113="","",IFERROR(BDH("HSAHP Index","PX_LAST",Database!$H113,Database!$H113),""))</f>
        <v/>
      </c>
      <c r="S113" s="24">
        <f>IFERROR(BDP(Database!$A113&amp;" HK Equity","PX_TO_SALES_RATIO"),"")</f>
        <v/>
      </c>
      <c r="T113" s="18">
        <f>IF(Database!BK113="","",IFERROR(BDP(LEFT(Database!BK113,FIND(".",Database!BK113)-1)&amp;"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Database!AF114</f>
        <v/>
      </c>
      <c r="J114" s="24">
        <f>IFERROR(BDP(Database!$A114&amp;" HK Equity","PE_RATIO"),"")</f>
        <v/>
      </c>
      <c r="K114" s="10">
        <f>IFERROR(BDP(Database!$A114&amp;" HK Equity","A/H_SHARE_CONVERSION"),"")</f>
        <v/>
      </c>
      <c r="L114" s="16">
        <f>IF(Database!BK114="","(none found)",Database!BK114)</f>
        <v/>
      </c>
      <c r="M114" s="18">
        <f>IFERROR(BDH(Database!$A114&amp;" HK Equity","CUR_MKT_CAP",Database!$H114,Database!$H114),"")</f>
        <v/>
      </c>
      <c r="N114" s="97">
        <f>Database!Q114</f>
        <v/>
      </c>
      <c r="O114" s="24">
        <f>IFERROR(BDH(Database!$A114&amp;" HK Equity","PE_RATIO",Database!$H114,Database!$H114),"")</f>
        <v/>
      </c>
      <c r="P114" s="101">
        <f>IF(Database!BE114="","(n/m or not derivable)",Database!BE114)</f>
        <v/>
      </c>
      <c r="Q114" s="24">
        <f>IF(Database!BK114="","",IFERROR(BDH(LEFT(Database!BK114,FIND(".",Database!BK114)-1)&amp;" CH Equity","PE_RATIO",Database!$H114,Database!$H114),""))</f>
        <v/>
      </c>
      <c r="R114" s="24">
        <f>IF(Database!BK114="","",IFERROR(BDH("HSAHP Index","PX_LAST",Database!$H114,Database!$H114),""))</f>
        <v/>
      </c>
      <c r="S114" s="24">
        <f>IFERROR(BDP(Database!$A114&amp;" HK Equity","PX_TO_SALES_RATIO"),"")</f>
        <v/>
      </c>
      <c r="T114" s="18">
        <f>IF(Database!BK114="","",IFERROR(BDP(LEFT(Database!BK114,FIND(".",Database!BK114)-1)&amp;"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Database!AF115</f>
        <v/>
      </c>
      <c r="J115" s="24">
        <f>IFERROR(BDP(Database!$A115&amp;" HK Equity","PE_RATIO"),"")</f>
        <v/>
      </c>
      <c r="K115" s="10">
        <f>IFERROR(BDP(Database!$A115&amp;" HK Equity","A/H_SHARE_CONVERSION"),"")</f>
        <v/>
      </c>
      <c r="L115" s="16">
        <f>IF(Database!BK115="","(none found)",Database!BK115)</f>
        <v/>
      </c>
      <c r="M115" s="18">
        <f>IFERROR(BDH(Database!$A115&amp;" HK Equity","CUR_MKT_CAP",Database!$H115,Database!$H115),"")</f>
        <v/>
      </c>
      <c r="N115" s="97">
        <f>Database!Q115</f>
        <v/>
      </c>
      <c r="O115" s="24">
        <f>IFERROR(BDH(Database!$A115&amp;" HK Equity","PE_RATIO",Database!$H115,Database!$H115),"")</f>
        <v/>
      </c>
      <c r="P115" s="101">
        <f>IF(Database!BE115="","(n/m or not derivable)",Database!BE115)</f>
        <v/>
      </c>
      <c r="Q115" s="24">
        <f>IF(Database!BK115="","",IFERROR(BDH(LEFT(Database!BK115,FIND(".",Database!BK115)-1)&amp;" CH Equity","PE_RATIO",Database!$H115,Database!$H115),""))</f>
        <v/>
      </c>
      <c r="R115" s="24">
        <f>IF(Database!BK115="","",IFERROR(BDH("HSAHP Index","PX_LAST",Database!$H115,Database!$H115),""))</f>
        <v/>
      </c>
      <c r="S115" s="24">
        <f>IFERROR(BDP(Database!$A115&amp;" HK Equity","PX_TO_SALES_RATIO"),"")</f>
        <v/>
      </c>
      <c r="T115" s="18">
        <f>IF(Database!BK115="","",IFERROR(BDP(LEFT(Database!BK115,FIND(".",Database!BK115)-1)&amp;"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Database!AF116</f>
        <v/>
      </c>
      <c r="J116" s="24">
        <f>IFERROR(BDP(Database!$A116&amp;" HK Equity","PE_RATIO"),"")</f>
        <v/>
      </c>
      <c r="K116" s="10">
        <f>IFERROR(BDP(Database!$A116&amp;" HK Equity","A/H_SHARE_CONVERSION"),"")</f>
        <v/>
      </c>
      <c r="L116" s="16">
        <f>IF(Database!BK116="","(none found)",Database!BK116)</f>
        <v/>
      </c>
      <c r="M116" s="18">
        <f>IFERROR(BDH(Database!$A116&amp;" HK Equity","CUR_MKT_CAP",Database!$H116,Database!$H116),"")</f>
        <v/>
      </c>
      <c r="N116" s="97">
        <f>Database!Q116</f>
        <v/>
      </c>
      <c r="O116" s="24">
        <f>IFERROR(BDH(Database!$A116&amp;" HK Equity","PE_RATIO",Database!$H116,Database!$H116),"")</f>
        <v/>
      </c>
      <c r="P116" s="101">
        <f>IF(Database!BE116="","(n/m or not derivable)",Database!BE116)</f>
        <v/>
      </c>
      <c r="Q116" s="24">
        <f>IF(Database!BK116="","",IFERROR(BDH(LEFT(Database!BK116,FIND(".",Database!BK116)-1)&amp;" CH Equity","PE_RATIO",Database!$H116,Database!$H116),""))</f>
        <v/>
      </c>
      <c r="R116" s="24">
        <f>IF(Database!BK116="","",IFERROR(BDH("HSAHP Index","PX_LAST",Database!$H116,Database!$H116),""))</f>
        <v/>
      </c>
      <c r="S116" s="24">
        <f>IFERROR(BDP(Database!$A116&amp;" HK Equity","PX_TO_SALES_RATIO"),"")</f>
        <v/>
      </c>
      <c r="T116" s="18">
        <f>IF(Database!BK116="","",IFERROR(BDP(LEFT(Database!BK116,FIND(".",Database!BK116)-1)&amp;"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Database!AF117</f>
        <v/>
      </c>
      <c r="J117" s="24">
        <f>IFERROR(BDP(Database!$A117&amp;" HK Equity","PE_RATIO"),"")</f>
        <v/>
      </c>
      <c r="K117" s="10">
        <f>IFERROR(BDP(Database!$A117&amp;" HK Equity","A/H_SHARE_CONVERSION"),"")</f>
        <v/>
      </c>
      <c r="L117" s="16">
        <f>IF(Database!BK117="","(none found)",Database!BK117)</f>
        <v/>
      </c>
      <c r="M117" s="18">
        <f>IFERROR(BDH(Database!$A117&amp;" HK Equity","CUR_MKT_CAP",Database!$H117,Database!$H117),"")</f>
        <v/>
      </c>
      <c r="N117" s="97">
        <f>Database!Q117</f>
        <v/>
      </c>
      <c r="O117" s="24">
        <f>IFERROR(BDH(Database!$A117&amp;" HK Equity","PE_RATIO",Database!$H117,Database!$H117),"")</f>
        <v/>
      </c>
      <c r="P117" s="101">
        <f>IF(Database!BE117="","(n/m or not derivable)",Database!BE117)</f>
        <v/>
      </c>
      <c r="Q117" s="24">
        <f>IF(Database!BK117="","",IFERROR(BDH(LEFT(Database!BK117,FIND(".",Database!BK117)-1)&amp;" CH Equity","PE_RATIO",Database!$H117,Database!$H117),""))</f>
        <v/>
      </c>
      <c r="R117" s="24">
        <f>IF(Database!BK117="","",IFERROR(BDH("HSAHP Index","PX_LAST",Database!$H117,Database!$H117),""))</f>
        <v/>
      </c>
      <c r="S117" s="24">
        <f>IFERROR(BDP(Database!$A117&amp;" HK Equity","PX_TO_SALES_RATIO"),"")</f>
        <v/>
      </c>
      <c r="T117" s="18">
        <f>IF(Database!BK117="","",IFERROR(BDP(LEFT(Database!BK117,FIND(".",Database!BK117)-1)&amp;"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Database!AF118</f>
        <v/>
      </c>
      <c r="J118" s="24">
        <f>IFERROR(BDP(Database!$A118&amp;" HK Equity","PE_RATIO"),"")</f>
        <v/>
      </c>
      <c r="K118" s="10">
        <f>IFERROR(BDP(Database!$A118&amp;" HK Equity","A/H_SHARE_CONVERSION"),"")</f>
        <v/>
      </c>
      <c r="L118" s="16">
        <f>IF(Database!BK118="","(none found)",Database!BK118)</f>
        <v/>
      </c>
      <c r="M118" s="18">
        <f>IFERROR(BDH(Database!$A118&amp;" HK Equity","CUR_MKT_CAP",Database!$H118,Database!$H118),"")</f>
        <v/>
      </c>
      <c r="N118" s="97">
        <f>Database!Q118</f>
        <v/>
      </c>
      <c r="O118" s="24">
        <f>IFERROR(BDH(Database!$A118&amp;" HK Equity","PE_RATIO",Database!$H118,Database!$H118),"")</f>
        <v/>
      </c>
      <c r="P118" s="101">
        <f>IF(Database!BE118="","(n/m or not derivable)",Database!BE118)</f>
        <v/>
      </c>
      <c r="Q118" s="24">
        <f>IF(Database!BK118="","",IFERROR(BDH(LEFT(Database!BK118,FIND(".",Database!BK118)-1)&amp;" CH Equity","PE_RATIO",Database!$H118,Database!$H118),""))</f>
        <v/>
      </c>
      <c r="R118" s="24">
        <f>IF(Database!BK118="","",IFERROR(BDH("HSAHP Index","PX_LAST",Database!$H118,Database!$H118),""))</f>
        <v/>
      </c>
      <c r="S118" s="24">
        <f>IFERROR(BDP(Database!$A118&amp;" HK Equity","PX_TO_SALES_RATIO"),"")</f>
        <v/>
      </c>
      <c r="T118" s="18">
        <f>IF(Database!BK118="","",IFERROR(BDP(LEFT(Database!BK118,FIND(".",Database!BK118)-1)&amp;"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Database!AF119</f>
        <v/>
      </c>
      <c r="J119" s="24">
        <f>IFERROR(BDP(Database!$A119&amp;" HK Equity","PE_RATIO"),"")</f>
        <v/>
      </c>
      <c r="K119" s="10">
        <f>IFERROR(BDP(Database!$A119&amp;" HK Equity","A/H_SHARE_CONVERSION"),"")</f>
        <v/>
      </c>
      <c r="L119" s="16">
        <f>IF(Database!BK119="","(none found)",Database!BK119)</f>
        <v/>
      </c>
      <c r="M119" s="18">
        <f>IFERROR(BDH(Database!$A119&amp;" HK Equity","CUR_MKT_CAP",Database!$H119,Database!$H119),"")</f>
        <v/>
      </c>
      <c r="N119" s="97">
        <f>Database!Q119</f>
        <v/>
      </c>
      <c r="O119" s="24">
        <f>IFERROR(BDH(Database!$A119&amp;" HK Equity","PE_RATIO",Database!$H119,Database!$H119),"")</f>
        <v/>
      </c>
      <c r="P119" s="101">
        <f>IF(Database!BE119="","(n/m or not derivable)",Database!BE119)</f>
        <v/>
      </c>
      <c r="Q119" s="24">
        <f>IF(Database!BK119="","",IFERROR(BDH(LEFT(Database!BK119,FIND(".",Database!BK119)-1)&amp;" CH Equity","PE_RATIO",Database!$H119,Database!$H119),""))</f>
        <v/>
      </c>
      <c r="R119" s="24">
        <f>IF(Database!BK119="","",IFERROR(BDH("HSAHP Index","PX_LAST",Database!$H119,Database!$H119),""))</f>
        <v/>
      </c>
      <c r="S119" s="24">
        <f>IFERROR(BDP(Database!$A119&amp;" HK Equity","PX_TO_SALES_RATIO"),"")</f>
        <v/>
      </c>
      <c r="T119" s="18">
        <f>IF(Database!BK119="","",IFERROR(BDP(LEFT(Database!BK119,FIND(".",Database!BK119)-1)&amp;"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Database!AF120</f>
        <v/>
      </c>
      <c r="J120" s="24">
        <f>IFERROR(BDP(Database!$A120&amp;" HK Equity","PE_RATIO"),"")</f>
        <v/>
      </c>
      <c r="K120" s="10">
        <f>IFERROR(BDP(Database!$A120&amp;" HK Equity","A/H_SHARE_CONVERSION"),"")</f>
        <v/>
      </c>
      <c r="L120" s="16">
        <f>IF(Database!BK120="","(none found)",Database!BK120)</f>
        <v/>
      </c>
      <c r="M120" s="18">
        <f>IFERROR(BDH(Database!$A120&amp;" HK Equity","CUR_MKT_CAP",Database!$H120,Database!$H120),"")</f>
        <v/>
      </c>
      <c r="N120" s="97">
        <f>Database!Q120</f>
        <v/>
      </c>
      <c r="O120" s="24">
        <f>IFERROR(BDH(Database!$A120&amp;" HK Equity","PE_RATIO",Database!$H120,Database!$H120),"")</f>
        <v/>
      </c>
      <c r="P120" s="101">
        <f>IF(Database!BE120="","(n/m or not derivable)",Database!BE120)</f>
        <v/>
      </c>
      <c r="Q120" s="24">
        <f>IF(Database!BK120="","",IFERROR(BDH(LEFT(Database!BK120,FIND(".",Database!BK120)-1)&amp;" CH Equity","PE_RATIO",Database!$H120,Database!$H120),""))</f>
        <v/>
      </c>
      <c r="R120" s="24">
        <f>IF(Database!BK120="","",IFERROR(BDH("HSAHP Index","PX_LAST",Database!$H120,Database!$H120),""))</f>
        <v/>
      </c>
      <c r="S120" s="24">
        <f>IFERROR(BDP(Database!$A120&amp;" HK Equity","PX_TO_SALES_RATIO"),"")</f>
        <v/>
      </c>
      <c r="T120" s="18">
        <f>IF(Database!BK120="","",IFERROR(BDP(LEFT(Database!BK120,FIND(".",Database!BK120)-1)&amp;"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Database!AF121</f>
        <v/>
      </c>
      <c r="J121" s="24">
        <f>IFERROR(BDP(Database!$A121&amp;" HK Equity","PE_RATIO"),"")</f>
        <v/>
      </c>
      <c r="K121" s="10">
        <f>IFERROR(BDP(Database!$A121&amp;" HK Equity","A/H_SHARE_CONVERSION"),"")</f>
        <v/>
      </c>
      <c r="L121" s="16">
        <f>IF(Database!BK121="","(none found)",Database!BK121)</f>
        <v/>
      </c>
      <c r="M121" s="18">
        <f>IFERROR(BDH(Database!$A121&amp;" HK Equity","CUR_MKT_CAP",Database!$H121,Database!$H121),"")</f>
        <v/>
      </c>
      <c r="N121" s="97">
        <f>Database!Q121</f>
        <v/>
      </c>
      <c r="O121" s="24">
        <f>IFERROR(BDH(Database!$A121&amp;" HK Equity","PE_RATIO",Database!$H121,Database!$H121),"")</f>
        <v/>
      </c>
      <c r="P121" s="101">
        <f>IF(Database!BE121="","(n/m or not derivable)",Database!BE121)</f>
        <v/>
      </c>
      <c r="Q121" s="24">
        <f>IF(Database!BK121="","",IFERROR(BDH(LEFT(Database!BK121,FIND(".",Database!BK121)-1)&amp;" CH Equity","PE_RATIO",Database!$H121,Database!$H121),""))</f>
        <v/>
      </c>
      <c r="R121" s="24">
        <f>IF(Database!BK121="","",IFERROR(BDH("HSAHP Index","PX_LAST",Database!$H121,Database!$H121),""))</f>
        <v/>
      </c>
      <c r="S121" s="24">
        <f>IFERROR(BDP(Database!$A121&amp;" HK Equity","PX_TO_SALES_RATIO"),"")</f>
        <v/>
      </c>
      <c r="T121" s="18">
        <f>IF(Database!BK121="","",IFERROR(BDP(LEFT(Database!BK121,FIND(".",Database!BK121)-1)&amp;"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Database!AF122</f>
        <v/>
      </c>
      <c r="J122" s="24">
        <f>IFERROR(BDP(Database!$A122&amp;" HK Equity","PE_RATIO"),"")</f>
        <v/>
      </c>
      <c r="K122" s="10">
        <f>IFERROR(BDP(Database!$A122&amp;" HK Equity","A/H_SHARE_CONVERSION"),"")</f>
        <v/>
      </c>
      <c r="L122" s="16">
        <f>IF(Database!BK122="","(none found)",Database!BK122)</f>
        <v/>
      </c>
      <c r="M122" s="18">
        <f>IFERROR(BDH(Database!$A122&amp;" HK Equity","CUR_MKT_CAP",Database!$H122,Database!$H122),"")</f>
        <v/>
      </c>
      <c r="N122" s="97">
        <f>Database!Q122</f>
        <v/>
      </c>
      <c r="O122" s="24">
        <f>IFERROR(BDH(Database!$A122&amp;" HK Equity","PE_RATIO",Database!$H122,Database!$H122),"")</f>
        <v/>
      </c>
      <c r="P122" s="101">
        <f>IF(Database!BE122="","(n/m or not derivable)",Database!BE122)</f>
        <v/>
      </c>
      <c r="Q122" s="24">
        <f>IF(Database!BK122="","",IFERROR(BDH(LEFT(Database!BK122,FIND(".",Database!BK122)-1)&amp;" CH Equity","PE_RATIO",Database!$H122,Database!$H122),""))</f>
        <v/>
      </c>
      <c r="R122" s="24">
        <f>IF(Database!BK122="","",IFERROR(BDH("HSAHP Index","PX_LAST",Database!$H122,Database!$H122),""))</f>
        <v/>
      </c>
      <c r="S122" s="24">
        <f>IFERROR(BDP(Database!$A122&amp;" HK Equity","PX_TO_SALES_RATIO"),"")</f>
        <v/>
      </c>
      <c r="T122" s="18">
        <f>IF(Database!BK122="","",IFERROR(BDP(LEFT(Database!BK122,FIND(".",Database!BK122)-1)&amp;"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Database!AF123</f>
        <v/>
      </c>
      <c r="J123" s="24">
        <f>IFERROR(BDP(Database!$A123&amp;" HK Equity","PE_RATIO"),"")</f>
        <v/>
      </c>
      <c r="K123" s="10">
        <f>IFERROR(BDP(Database!$A123&amp;" HK Equity","A/H_SHARE_CONVERSION"),"")</f>
        <v/>
      </c>
      <c r="L123" s="16">
        <f>IF(Database!BK123="","(none found)",Database!BK123)</f>
        <v/>
      </c>
      <c r="M123" s="18">
        <f>IFERROR(BDH(Database!$A123&amp;" HK Equity","CUR_MKT_CAP",Database!$H123,Database!$H123),"")</f>
        <v/>
      </c>
      <c r="N123" s="97">
        <f>Database!Q123</f>
        <v/>
      </c>
      <c r="O123" s="24">
        <f>IFERROR(BDH(Database!$A123&amp;" HK Equity","PE_RATIO",Database!$H123,Database!$H123),"")</f>
        <v/>
      </c>
      <c r="P123" s="101">
        <f>IF(Database!BE123="","(n/m or not derivable)",Database!BE123)</f>
        <v/>
      </c>
      <c r="Q123" s="24">
        <f>IF(Database!BK123="","",IFERROR(BDH(LEFT(Database!BK123,FIND(".",Database!BK123)-1)&amp;" CH Equity","PE_RATIO",Database!$H123,Database!$H123),""))</f>
        <v/>
      </c>
      <c r="R123" s="24">
        <f>IF(Database!BK123="","",IFERROR(BDH("HSAHP Index","PX_LAST",Database!$H123,Database!$H123),""))</f>
        <v/>
      </c>
      <c r="S123" s="24">
        <f>IFERROR(BDP(Database!$A123&amp;" HK Equity","PX_TO_SALES_RATIO"),"")</f>
        <v/>
      </c>
      <c r="T123" s="18">
        <f>IF(Database!BK123="","",IFERROR(BDP(LEFT(Database!BK123,FIND(".",Database!BK123)-1)&amp;"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Database!AF124</f>
        <v/>
      </c>
      <c r="J124" s="24">
        <f>IFERROR(BDP(Database!$A124&amp;" HK Equity","PE_RATIO"),"")</f>
        <v/>
      </c>
      <c r="K124" s="10">
        <f>IFERROR(BDP(Database!$A124&amp;" HK Equity","A/H_SHARE_CONVERSION"),"")</f>
        <v/>
      </c>
      <c r="L124" s="16">
        <f>IF(Database!BK124="","(none found)",Database!BK124)</f>
        <v/>
      </c>
      <c r="M124" s="18">
        <f>IFERROR(BDH(Database!$A124&amp;" HK Equity","CUR_MKT_CAP",Database!$H124,Database!$H124),"")</f>
        <v/>
      </c>
      <c r="N124" s="97">
        <f>Database!Q124</f>
        <v/>
      </c>
      <c r="O124" s="24">
        <f>IFERROR(BDH(Database!$A124&amp;" HK Equity","PE_RATIO",Database!$H124,Database!$H124),"")</f>
        <v/>
      </c>
      <c r="P124" s="101">
        <f>IF(Database!BE124="","(n/m or not derivable)",Database!BE124)</f>
        <v/>
      </c>
      <c r="Q124" s="24">
        <f>IF(Database!BK124="","",IFERROR(BDH(LEFT(Database!BK124,FIND(".",Database!BK124)-1)&amp;" CH Equity","PE_RATIO",Database!$H124,Database!$H124),""))</f>
        <v/>
      </c>
      <c r="R124" s="24">
        <f>IF(Database!BK124="","",IFERROR(BDH("HSAHP Index","PX_LAST",Database!$H124,Database!$H124),""))</f>
        <v/>
      </c>
      <c r="S124" s="24">
        <f>IFERROR(BDP(Database!$A124&amp;" HK Equity","PX_TO_SALES_RATIO"),"")</f>
        <v/>
      </c>
      <c r="T124" s="18">
        <f>IF(Database!BK124="","",IFERROR(BDP(LEFT(Database!BK124,FIND(".",Database!BK124)-1)&amp;"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Database!AF125</f>
        <v/>
      </c>
      <c r="J125" s="24">
        <f>IFERROR(BDP(Database!$A125&amp;" HK Equity","PE_RATIO"),"")</f>
        <v/>
      </c>
      <c r="K125" s="10">
        <f>IFERROR(BDP(Database!$A125&amp;" HK Equity","A/H_SHARE_CONVERSION"),"")</f>
        <v/>
      </c>
      <c r="L125" s="16">
        <f>IF(Database!BK125="","(none found)",Database!BK125)</f>
        <v/>
      </c>
      <c r="M125" s="18">
        <f>IFERROR(BDH(Database!$A125&amp;" HK Equity","CUR_MKT_CAP",Database!$H125,Database!$H125),"")</f>
        <v/>
      </c>
      <c r="N125" s="97">
        <f>Database!Q125</f>
        <v/>
      </c>
      <c r="O125" s="24">
        <f>IFERROR(BDH(Database!$A125&amp;" HK Equity","PE_RATIO",Database!$H125,Database!$H125),"")</f>
        <v/>
      </c>
      <c r="P125" s="101">
        <f>IF(Database!BE125="","(n/m or not derivable)",Database!BE125)</f>
        <v/>
      </c>
      <c r="Q125" s="24">
        <f>IF(Database!BK125="","",IFERROR(BDH(LEFT(Database!BK125,FIND(".",Database!BK125)-1)&amp;" CH Equity","PE_RATIO",Database!$H125,Database!$H125),""))</f>
        <v/>
      </c>
      <c r="R125" s="24">
        <f>IF(Database!BK125="","",IFERROR(BDH("HSAHP Index","PX_LAST",Database!$H125,Database!$H125),""))</f>
        <v/>
      </c>
      <c r="S125" s="24">
        <f>IFERROR(BDP(Database!$A125&amp;" HK Equity","PX_TO_SALES_RATIO"),"")</f>
        <v/>
      </c>
      <c r="T125" s="18">
        <f>IF(Database!BK125="","",IFERROR(BDP(LEFT(Database!BK125,FIND(".",Database!BK125)-1)&amp;"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Database!AF126</f>
        <v/>
      </c>
      <c r="J126" s="24">
        <f>IFERROR(BDP(Database!$A126&amp;" HK Equity","PE_RATIO"),"")</f>
        <v/>
      </c>
      <c r="K126" s="10">
        <f>IFERROR(BDP(Database!$A126&amp;" HK Equity","A/H_SHARE_CONVERSION"),"")</f>
        <v/>
      </c>
      <c r="L126" s="16">
        <f>IF(Database!BK126="","(none found)",Database!BK126)</f>
        <v/>
      </c>
      <c r="M126" s="18">
        <f>IFERROR(BDH(Database!$A126&amp;" HK Equity","CUR_MKT_CAP",Database!$H126,Database!$H126),"")</f>
        <v/>
      </c>
      <c r="N126" s="97">
        <f>Database!Q126</f>
        <v/>
      </c>
      <c r="O126" s="24">
        <f>IFERROR(BDH(Database!$A126&amp;" HK Equity","PE_RATIO",Database!$H126,Database!$H126),"")</f>
        <v/>
      </c>
      <c r="P126" s="101">
        <f>IF(Database!BE126="","(n/m or not derivable)",Database!BE126)</f>
        <v/>
      </c>
      <c r="Q126" s="24">
        <f>IF(Database!BK126="","",IFERROR(BDH(LEFT(Database!BK126,FIND(".",Database!BK126)-1)&amp;" CH Equity","PE_RATIO",Database!$H126,Database!$H126),""))</f>
        <v/>
      </c>
      <c r="R126" s="24">
        <f>IF(Database!BK126="","",IFERROR(BDH("HSAHP Index","PX_LAST",Database!$H126,Database!$H126),""))</f>
        <v/>
      </c>
      <c r="S126" s="24">
        <f>IFERROR(BDP(Database!$A126&amp;" HK Equity","PX_TO_SALES_RATIO"),"")</f>
        <v/>
      </c>
      <c r="T126" s="18">
        <f>IF(Database!BK126="","",IFERROR(BDP(LEFT(Database!BK126,FIND(".",Database!BK126)-1)&amp;"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Database!AF127</f>
        <v/>
      </c>
      <c r="J127" s="24">
        <f>IFERROR(BDP(Database!$A127&amp;" HK Equity","PE_RATIO"),"")</f>
        <v/>
      </c>
      <c r="K127" s="10">
        <f>IFERROR(BDP(Database!$A127&amp;" HK Equity","A/H_SHARE_CONVERSION"),"")</f>
        <v/>
      </c>
      <c r="L127" s="16">
        <f>IF(Database!BK127="","(none found)",Database!BK127)</f>
        <v/>
      </c>
      <c r="M127" s="18">
        <f>IFERROR(BDH(Database!$A127&amp;" HK Equity","CUR_MKT_CAP",Database!$H127,Database!$H127),"")</f>
        <v/>
      </c>
      <c r="N127" s="97">
        <f>Database!Q127</f>
        <v/>
      </c>
      <c r="O127" s="24">
        <f>IFERROR(BDH(Database!$A127&amp;" HK Equity","PE_RATIO",Database!$H127,Database!$H127),"")</f>
        <v/>
      </c>
      <c r="P127" s="101">
        <f>IF(Database!BE127="","(n/m or not derivable)",Database!BE127)</f>
        <v/>
      </c>
      <c r="Q127" s="24">
        <f>IF(Database!BK127="","",IFERROR(BDH(LEFT(Database!BK127,FIND(".",Database!BK127)-1)&amp;" CH Equity","PE_RATIO",Database!$H127,Database!$H127),""))</f>
        <v/>
      </c>
      <c r="R127" s="24">
        <f>IF(Database!BK127="","",IFERROR(BDH("HSAHP Index","PX_LAST",Database!$H127,Database!$H127),""))</f>
        <v/>
      </c>
      <c r="S127" s="24">
        <f>IFERROR(BDP(Database!$A127&amp;" HK Equity","PX_TO_SALES_RATIO"),"")</f>
        <v/>
      </c>
      <c r="T127" s="18">
        <f>IF(Database!BK127="","",IFERROR(BDP(LEFT(Database!BK127,FIND(".",Database!BK127)-1)&amp;"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Database!AF128</f>
        <v/>
      </c>
      <c r="J128" s="24">
        <f>IFERROR(BDP(Database!$A128&amp;" HK Equity","PE_RATIO"),"")</f>
        <v/>
      </c>
      <c r="K128" s="10">
        <f>IFERROR(BDP(Database!$A128&amp;" HK Equity","A/H_SHARE_CONVERSION"),"")</f>
        <v/>
      </c>
      <c r="L128" s="16">
        <f>IF(Database!BK128="","(none found)",Database!BK128)</f>
        <v/>
      </c>
      <c r="M128" s="18">
        <f>IFERROR(BDH(Database!$A128&amp;" HK Equity","CUR_MKT_CAP",Database!$H128,Database!$H128),"")</f>
        <v/>
      </c>
      <c r="N128" s="97">
        <f>Database!Q128</f>
        <v/>
      </c>
      <c r="O128" s="24">
        <f>IFERROR(BDH(Database!$A128&amp;" HK Equity","PE_RATIO",Database!$H128,Database!$H128),"")</f>
        <v/>
      </c>
      <c r="P128" s="101">
        <f>IF(Database!BE128="","(n/m or not derivable)",Database!BE128)</f>
        <v/>
      </c>
      <c r="Q128" s="24">
        <f>IF(Database!BK128="","",IFERROR(BDH(LEFT(Database!BK128,FIND(".",Database!BK128)-1)&amp;" CH Equity","PE_RATIO",Database!$H128,Database!$H128),""))</f>
        <v/>
      </c>
      <c r="R128" s="24">
        <f>IF(Database!BK128="","",IFERROR(BDH("HSAHP Index","PX_LAST",Database!$H128,Database!$H128),""))</f>
        <v/>
      </c>
      <c r="S128" s="24">
        <f>IFERROR(BDP(Database!$A128&amp;" HK Equity","PX_TO_SALES_RATIO"),"")</f>
        <v/>
      </c>
      <c r="T128" s="18">
        <f>IF(Database!BK128="","",IFERROR(BDP(LEFT(Database!BK128,FIND(".",Database!BK128)-1)&amp;"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Database!AF129</f>
        <v/>
      </c>
      <c r="J129" s="24">
        <f>IFERROR(BDP(Database!$A129&amp;" HK Equity","PE_RATIO"),"")</f>
        <v/>
      </c>
      <c r="K129" s="10">
        <f>IFERROR(BDP(Database!$A129&amp;" HK Equity","A/H_SHARE_CONVERSION"),"")</f>
        <v/>
      </c>
      <c r="L129" s="16">
        <f>IF(Database!BK129="","(none found)",Database!BK129)</f>
        <v/>
      </c>
      <c r="M129" s="18">
        <f>IFERROR(BDH(Database!$A129&amp;" HK Equity","CUR_MKT_CAP",Database!$H129,Database!$H129),"")</f>
        <v/>
      </c>
      <c r="N129" s="97">
        <f>Database!Q129</f>
        <v/>
      </c>
      <c r="O129" s="24">
        <f>IFERROR(BDH(Database!$A129&amp;" HK Equity","PE_RATIO",Database!$H129,Database!$H129),"")</f>
        <v/>
      </c>
      <c r="P129" s="101">
        <f>IF(Database!BE129="","(n/m or not derivable)",Database!BE129)</f>
        <v/>
      </c>
      <c r="Q129" s="24">
        <f>IF(Database!BK129="","",IFERROR(BDH(LEFT(Database!BK129,FIND(".",Database!BK129)-1)&amp;" CH Equity","PE_RATIO",Database!$H129,Database!$H129),""))</f>
        <v/>
      </c>
      <c r="R129" s="24">
        <f>IF(Database!BK129="","",IFERROR(BDH("HSAHP Index","PX_LAST",Database!$H129,Database!$H129),""))</f>
        <v/>
      </c>
      <c r="S129" s="24">
        <f>IFERROR(BDP(Database!$A129&amp;" HK Equity","PX_TO_SALES_RATIO"),"")</f>
        <v/>
      </c>
      <c r="T129" s="18">
        <f>IF(Database!BK129="","",IFERROR(BDP(LEFT(Database!BK129,FIND(".",Database!BK129)-1)&amp;"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Database!AF130</f>
        <v/>
      </c>
      <c r="J130" s="24">
        <f>IFERROR(BDP(Database!$A130&amp;" HK Equity","PE_RATIO"),"")</f>
        <v/>
      </c>
      <c r="K130" s="10">
        <f>IFERROR(BDP(Database!$A130&amp;" HK Equity","A/H_SHARE_CONVERSION"),"")</f>
        <v/>
      </c>
      <c r="L130" s="16">
        <f>IF(Database!BK130="","(none found)",Database!BK130)</f>
        <v/>
      </c>
      <c r="M130" s="18">
        <f>IFERROR(BDH(Database!$A130&amp;" HK Equity","CUR_MKT_CAP",Database!$H130,Database!$H130),"")</f>
        <v/>
      </c>
      <c r="N130" s="97">
        <f>Database!Q130</f>
        <v/>
      </c>
      <c r="O130" s="24">
        <f>IFERROR(BDH(Database!$A130&amp;" HK Equity","PE_RATIO",Database!$H130,Database!$H130),"")</f>
        <v/>
      </c>
      <c r="P130" s="101">
        <f>IF(Database!BE130="","(n/m or not derivable)",Database!BE130)</f>
        <v/>
      </c>
      <c r="Q130" s="24">
        <f>IF(Database!BK130="","",IFERROR(BDH(LEFT(Database!BK130,FIND(".",Database!BK130)-1)&amp;" CH Equity","PE_RATIO",Database!$H130,Database!$H130),""))</f>
        <v/>
      </c>
      <c r="R130" s="24">
        <f>IF(Database!BK130="","",IFERROR(BDH("HSAHP Index","PX_LAST",Database!$H130,Database!$H130),""))</f>
        <v/>
      </c>
      <c r="S130" s="24">
        <f>IFERROR(BDP(Database!$A130&amp;" HK Equity","PX_TO_SALES_RATIO"),"")</f>
        <v/>
      </c>
      <c r="T130" s="18">
        <f>IF(Database!BK130="","",IFERROR(BDP(LEFT(Database!BK130,FIND(".",Database!BK130)-1)&amp;"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Database!AF131</f>
        <v/>
      </c>
      <c r="J131" s="24">
        <f>IFERROR(BDP(Database!$A131&amp;" HK Equity","PE_RATIO"),"")</f>
        <v/>
      </c>
      <c r="K131" s="10">
        <f>IFERROR(BDP(Database!$A131&amp;" HK Equity","A/H_SHARE_CONVERSION"),"")</f>
        <v/>
      </c>
      <c r="L131" s="16">
        <f>IF(Database!BK131="","(none found)",Database!BK131)</f>
        <v/>
      </c>
      <c r="M131" s="18">
        <f>IFERROR(BDH(Database!$A131&amp;" HK Equity","CUR_MKT_CAP",Database!$H131,Database!$H131),"")</f>
        <v/>
      </c>
      <c r="N131" s="97">
        <f>Database!Q131</f>
        <v/>
      </c>
      <c r="O131" s="24">
        <f>IFERROR(BDH(Database!$A131&amp;" HK Equity","PE_RATIO",Database!$H131,Database!$H131),"")</f>
        <v/>
      </c>
      <c r="P131" s="101">
        <f>IF(Database!BE131="","(n/m or not derivable)",Database!BE131)</f>
        <v/>
      </c>
      <c r="Q131" s="24">
        <f>IF(Database!BK131="","",IFERROR(BDH(LEFT(Database!BK131,FIND(".",Database!BK131)-1)&amp;" CH Equity","PE_RATIO",Database!$H131,Database!$H131),""))</f>
        <v/>
      </c>
      <c r="R131" s="24">
        <f>IF(Database!BK131="","",IFERROR(BDH("HSAHP Index","PX_LAST",Database!$H131,Database!$H131),""))</f>
        <v/>
      </c>
      <c r="S131" s="24">
        <f>IFERROR(BDP(Database!$A131&amp;" HK Equity","PX_TO_SALES_RATIO"),"")</f>
        <v/>
      </c>
      <c r="T131" s="18">
        <f>IF(Database!BK131="","",IFERROR(BDP(LEFT(Database!BK131,FIND(".",Database!BK131)-1)&amp;"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Database!AF132</f>
        <v/>
      </c>
      <c r="J132" s="24">
        <f>IFERROR(BDP(Database!$A132&amp;" HK Equity","PE_RATIO"),"")</f>
        <v/>
      </c>
      <c r="K132" s="10">
        <f>IFERROR(BDP(Database!$A132&amp;" HK Equity","A/H_SHARE_CONVERSION"),"")</f>
        <v/>
      </c>
      <c r="L132" s="16">
        <f>IF(Database!BK132="","(none found)",Database!BK132)</f>
        <v/>
      </c>
      <c r="M132" s="18">
        <f>IFERROR(BDH(Database!$A132&amp;" HK Equity","CUR_MKT_CAP",Database!$H132,Database!$H132),"")</f>
        <v/>
      </c>
      <c r="N132" s="97">
        <f>Database!Q132</f>
        <v/>
      </c>
      <c r="O132" s="24">
        <f>IFERROR(BDH(Database!$A132&amp;" HK Equity","PE_RATIO",Database!$H132,Database!$H132),"")</f>
        <v/>
      </c>
      <c r="P132" s="101">
        <f>IF(Database!BE132="","(n/m or not derivable)",Database!BE132)</f>
        <v/>
      </c>
      <c r="Q132" s="24">
        <f>IF(Database!BK132="","",IFERROR(BDH(LEFT(Database!BK132,FIND(".",Database!BK132)-1)&amp;" CH Equity","PE_RATIO",Database!$H132,Database!$H132),""))</f>
        <v/>
      </c>
      <c r="R132" s="24">
        <f>IF(Database!BK132="","",IFERROR(BDH("HSAHP Index","PX_LAST",Database!$H132,Database!$H132),""))</f>
        <v/>
      </c>
      <c r="S132" s="24">
        <f>IFERROR(BDP(Database!$A132&amp;" HK Equity","PX_TO_SALES_RATIO"),"")</f>
        <v/>
      </c>
      <c r="T132" s="18">
        <f>IF(Database!BK132="","",IFERROR(BDP(LEFT(Database!BK132,FIND(".",Database!BK132)-1)&amp;"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Database!AF133</f>
        <v/>
      </c>
      <c r="J133" s="24">
        <f>IFERROR(BDP(Database!$A133&amp;" HK Equity","PE_RATIO"),"")</f>
        <v/>
      </c>
      <c r="K133" s="10">
        <f>IFERROR(BDP(Database!$A133&amp;" HK Equity","A/H_SHARE_CONVERSION"),"")</f>
        <v/>
      </c>
      <c r="L133" s="16">
        <f>IF(Database!BK133="","(none found)",Database!BK133)</f>
        <v/>
      </c>
      <c r="M133" s="18">
        <f>IFERROR(BDH(Database!$A133&amp;" HK Equity","CUR_MKT_CAP",Database!$H133,Database!$H133),"")</f>
        <v/>
      </c>
      <c r="N133" s="97">
        <f>Database!Q133</f>
        <v/>
      </c>
      <c r="O133" s="24">
        <f>IFERROR(BDH(Database!$A133&amp;" HK Equity","PE_RATIO",Database!$H133,Database!$H133),"")</f>
        <v/>
      </c>
      <c r="P133" s="101">
        <f>IF(Database!BE133="","(n/m or not derivable)",Database!BE133)</f>
        <v/>
      </c>
      <c r="Q133" s="24">
        <f>IF(Database!BK133="","",IFERROR(BDH(LEFT(Database!BK133,FIND(".",Database!BK133)-1)&amp;" CH Equity","PE_RATIO",Database!$H133,Database!$H133),""))</f>
        <v/>
      </c>
      <c r="R133" s="24">
        <f>IF(Database!BK133="","",IFERROR(BDH("HSAHP Index","PX_LAST",Database!$H133,Database!$H133),""))</f>
        <v/>
      </c>
      <c r="S133" s="24">
        <f>IFERROR(BDP(Database!$A133&amp;" HK Equity","PX_TO_SALES_RATIO"),"")</f>
        <v/>
      </c>
      <c r="T133" s="18">
        <f>IF(Database!BK133="","",IFERROR(BDP(LEFT(Database!BK133,FIND(".",Database!BK133)-1)&amp;"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Database!AF134</f>
        <v/>
      </c>
      <c r="J134" s="24">
        <f>IFERROR(BDP(Database!$A134&amp;" HK Equity","PE_RATIO"),"")</f>
        <v/>
      </c>
      <c r="K134" s="10">
        <f>IFERROR(BDP(Database!$A134&amp;" HK Equity","A/H_SHARE_CONVERSION"),"")</f>
        <v/>
      </c>
      <c r="L134" s="16">
        <f>IF(Database!BK134="","(none found)",Database!BK134)</f>
        <v/>
      </c>
      <c r="M134" s="18">
        <f>IFERROR(BDH(Database!$A134&amp;" HK Equity","CUR_MKT_CAP",Database!$H134,Database!$H134),"")</f>
        <v/>
      </c>
      <c r="N134" s="97">
        <f>Database!Q134</f>
        <v/>
      </c>
      <c r="O134" s="24">
        <f>IFERROR(BDH(Database!$A134&amp;" HK Equity","PE_RATIO",Database!$H134,Database!$H134),"")</f>
        <v/>
      </c>
      <c r="P134" s="101">
        <f>IF(Database!BE134="","(n/m or not derivable)",Database!BE134)</f>
        <v/>
      </c>
      <c r="Q134" s="24">
        <f>IF(Database!BK134="","",IFERROR(BDH(LEFT(Database!BK134,FIND(".",Database!BK134)-1)&amp;" CH Equity","PE_RATIO",Database!$H134,Database!$H134),""))</f>
        <v/>
      </c>
      <c r="R134" s="24">
        <f>IF(Database!BK134="","",IFERROR(BDH("HSAHP Index","PX_LAST",Database!$H134,Database!$H134),""))</f>
        <v/>
      </c>
      <c r="S134" s="24">
        <f>IFERROR(BDP(Database!$A134&amp;" HK Equity","PX_TO_SALES_RATIO"),"")</f>
        <v/>
      </c>
      <c r="T134" s="18">
        <f>IF(Database!BK134="","",IFERROR(BDP(LEFT(Database!BK134,FIND(".",Database!BK134)-1)&amp;"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Database!AF135</f>
        <v/>
      </c>
      <c r="J135" s="24">
        <f>IFERROR(BDP(Database!$A135&amp;" HK Equity","PE_RATIO"),"")</f>
        <v/>
      </c>
      <c r="K135" s="10">
        <f>IFERROR(BDP(Database!$A135&amp;" HK Equity","A/H_SHARE_CONVERSION"),"")</f>
        <v/>
      </c>
      <c r="L135" s="16">
        <f>IF(Database!BK135="","(none found)",Database!BK135)</f>
        <v/>
      </c>
      <c r="M135" s="18">
        <f>IFERROR(BDH(Database!$A135&amp;" HK Equity","CUR_MKT_CAP",Database!$H135,Database!$H135),"")</f>
        <v/>
      </c>
      <c r="N135" s="97">
        <f>Database!Q135</f>
        <v/>
      </c>
      <c r="O135" s="24">
        <f>IFERROR(BDH(Database!$A135&amp;" HK Equity","PE_RATIO",Database!$H135,Database!$H135),"")</f>
        <v/>
      </c>
      <c r="P135" s="101">
        <f>IF(Database!BE135="","(n/m or not derivable)",Database!BE135)</f>
        <v/>
      </c>
      <c r="Q135" s="24">
        <f>IF(Database!BK135="","",IFERROR(BDH(LEFT(Database!BK135,FIND(".",Database!BK135)-1)&amp;" CH Equity","PE_RATIO",Database!$H135,Database!$H135),""))</f>
        <v/>
      </c>
      <c r="R135" s="24">
        <f>IF(Database!BK135="","",IFERROR(BDH("HSAHP Index","PX_LAST",Database!$H135,Database!$H135),""))</f>
        <v/>
      </c>
      <c r="S135" s="24">
        <f>IFERROR(BDP(Database!$A135&amp;" HK Equity","PX_TO_SALES_RATIO"),"")</f>
        <v/>
      </c>
      <c r="T135" s="18">
        <f>IF(Database!BK135="","",IFERROR(BDP(LEFT(Database!BK135,FIND(".",Database!BK135)-1)&amp;"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Database!AF136</f>
        <v/>
      </c>
      <c r="J136" s="24">
        <f>IFERROR(BDP(Database!$A136&amp;" HK Equity","PE_RATIO"),"")</f>
        <v/>
      </c>
      <c r="K136" s="10">
        <f>IFERROR(BDP(Database!$A136&amp;" HK Equity","A/H_SHARE_CONVERSION"),"")</f>
        <v/>
      </c>
      <c r="L136" s="16">
        <f>IF(Database!BK136="","(none found)",Database!BK136)</f>
        <v/>
      </c>
      <c r="M136" s="18">
        <f>IFERROR(BDH(Database!$A136&amp;" HK Equity","CUR_MKT_CAP",Database!$H136,Database!$H136),"")</f>
        <v/>
      </c>
      <c r="N136" s="97">
        <f>Database!Q136</f>
        <v/>
      </c>
      <c r="O136" s="24">
        <f>IFERROR(BDH(Database!$A136&amp;" HK Equity","PE_RATIO",Database!$H136,Database!$H136),"")</f>
        <v/>
      </c>
      <c r="P136" s="101">
        <f>IF(Database!BE136="","(n/m or not derivable)",Database!BE136)</f>
        <v/>
      </c>
      <c r="Q136" s="24">
        <f>IF(Database!BK136="","",IFERROR(BDH(LEFT(Database!BK136,FIND(".",Database!BK136)-1)&amp;" CH Equity","PE_RATIO",Database!$H136,Database!$H136),""))</f>
        <v/>
      </c>
      <c r="R136" s="24">
        <f>IF(Database!BK136="","",IFERROR(BDH("HSAHP Index","PX_LAST",Database!$H136,Database!$H136),""))</f>
        <v/>
      </c>
      <c r="S136" s="24">
        <f>IFERROR(BDP(Database!$A136&amp;" HK Equity","PX_TO_SALES_RATIO"),"")</f>
        <v/>
      </c>
      <c r="T136" s="18">
        <f>IF(Database!BK136="","",IFERROR(BDP(LEFT(Database!BK136,FIND(".",Database!BK136)-1)&amp;"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Database!AF137</f>
        <v/>
      </c>
      <c r="J137" s="24">
        <f>IFERROR(BDP(Database!$A137&amp;" HK Equity","PE_RATIO"),"")</f>
        <v/>
      </c>
      <c r="K137" s="10">
        <f>IFERROR(BDP(Database!$A137&amp;" HK Equity","A/H_SHARE_CONVERSION"),"")</f>
        <v/>
      </c>
      <c r="L137" s="16">
        <f>IF(Database!BK137="","(none found)",Database!BK137)</f>
        <v/>
      </c>
      <c r="M137" s="18">
        <f>IFERROR(BDH(Database!$A137&amp;" HK Equity","CUR_MKT_CAP",Database!$H137,Database!$H137),"")</f>
        <v/>
      </c>
      <c r="N137" s="97">
        <f>Database!Q137</f>
        <v/>
      </c>
      <c r="O137" s="24">
        <f>IFERROR(BDH(Database!$A137&amp;" HK Equity","PE_RATIO",Database!$H137,Database!$H137),"")</f>
        <v/>
      </c>
      <c r="P137" s="101">
        <f>IF(Database!BE137="","(n/m or not derivable)",Database!BE137)</f>
        <v/>
      </c>
      <c r="Q137" s="24">
        <f>IF(Database!BK137="","",IFERROR(BDH(LEFT(Database!BK137,FIND(".",Database!BK137)-1)&amp;" CH Equity","PE_RATIO",Database!$H137,Database!$H137),""))</f>
        <v/>
      </c>
      <c r="R137" s="24">
        <f>IF(Database!BK137="","",IFERROR(BDH("HSAHP Index","PX_LAST",Database!$H137,Database!$H137),""))</f>
        <v/>
      </c>
      <c r="S137" s="24">
        <f>IFERROR(BDP(Database!$A137&amp;" HK Equity","PX_TO_SALES_RATIO"),"")</f>
        <v/>
      </c>
      <c r="T137" s="18">
        <f>IF(Database!BK137="","",IFERROR(BDP(LEFT(Database!BK137,FIND(".",Database!BK137)-1)&amp;"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Database!AF138</f>
        <v/>
      </c>
      <c r="J138" s="24">
        <f>IFERROR(BDP(Database!$A138&amp;" HK Equity","PE_RATIO"),"")</f>
        <v/>
      </c>
      <c r="K138" s="10">
        <f>IFERROR(BDP(Database!$A138&amp;" HK Equity","A/H_SHARE_CONVERSION"),"")</f>
        <v/>
      </c>
      <c r="L138" s="16">
        <f>IF(Database!BK138="","(none found)",Database!BK138)</f>
        <v/>
      </c>
      <c r="M138" s="18">
        <f>IFERROR(BDH(Database!$A138&amp;" HK Equity","CUR_MKT_CAP",Database!$H138,Database!$H138),"")</f>
        <v/>
      </c>
      <c r="N138" s="97">
        <f>Database!Q138</f>
        <v/>
      </c>
      <c r="O138" s="24">
        <f>IFERROR(BDH(Database!$A138&amp;" HK Equity","PE_RATIO",Database!$H138,Database!$H138),"")</f>
        <v/>
      </c>
      <c r="P138" s="101">
        <f>IF(Database!BE138="","(n/m or not derivable)",Database!BE138)</f>
        <v/>
      </c>
      <c r="Q138" s="24">
        <f>IF(Database!BK138="","",IFERROR(BDH(LEFT(Database!BK138,FIND(".",Database!BK138)-1)&amp;" CH Equity","PE_RATIO",Database!$H138,Database!$H138),""))</f>
        <v/>
      </c>
      <c r="R138" s="24">
        <f>IF(Database!BK138="","",IFERROR(BDH("HSAHP Index","PX_LAST",Database!$H138,Database!$H138),""))</f>
        <v/>
      </c>
      <c r="S138" s="24">
        <f>IFERROR(BDP(Database!$A138&amp;" HK Equity","PX_TO_SALES_RATIO"),"")</f>
        <v/>
      </c>
      <c r="T138" s="18">
        <f>IF(Database!BK138="","",IFERROR(BDP(LEFT(Database!BK138,FIND(".",Database!BK138)-1)&amp;"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Database!AF139</f>
        <v/>
      </c>
      <c r="J139" s="24">
        <f>IFERROR(BDP(Database!$A139&amp;" HK Equity","PE_RATIO"),"")</f>
        <v/>
      </c>
      <c r="K139" s="10">
        <f>IFERROR(BDP(Database!$A139&amp;" HK Equity","A/H_SHARE_CONVERSION"),"")</f>
        <v/>
      </c>
      <c r="L139" s="16">
        <f>IF(Database!BK139="","(none found)",Database!BK139)</f>
        <v/>
      </c>
      <c r="M139" s="18">
        <f>IFERROR(BDH(Database!$A139&amp;" HK Equity","CUR_MKT_CAP",Database!$H139,Database!$H139),"")</f>
        <v/>
      </c>
      <c r="N139" s="97">
        <f>Database!Q139</f>
        <v/>
      </c>
      <c r="O139" s="24">
        <f>IFERROR(BDH(Database!$A139&amp;" HK Equity","PE_RATIO",Database!$H139,Database!$H139),"")</f>
        <v/>
      </c>
      <c r="P139" s="101">
        <f>IF(Database!BE139="","(n/m or not derivable)",Database!BE139)</f>
        <v/>
      </c>
      <c r="Q139" s="24">
        <f>IF(Database!BK139="","",IFERROR(BDH(LEFT(Database!BK139,FIND(".",Database!BK139)-1)&amp;" CH Equity","PE_RATIO",Database!$H139,Database!$H139),""))</f>
        <v/>
      </c>
      <c r="R139" s="24">
        <f>IF(Database!BK139="","",IFERROR(BDH("HSAHP Index","PX_LAST",Database!$H139,Database!$H139),""))</f>
        <v/>
      </c>
      <c r="S139" s="24">
        <f>IFERROR(BDP(Database!$A139&amp;" HK Equity","PX_TO_SALES_RATIO"),"")</f>
        <v/>
      </c>
      <c r="T139" s="18">
        <f>IF(Database!BK139="","",IFERROR(BDP(LEFT(Database!BK139,FIND(".",Database!BK139)-1)&amp;"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Database!AF140</f>
        <v/>
      </c>
      <c r="J140" s="24">
        <f>IFERROR(BDP(Database!$A140&amp;" HK Equity","PE_RATIO"),"")</f>
        <v/>
      </c>
      <c r="K140" s="10">
        <f>IFERROR(BDP(Database!$A140&amp;" HK Equity","A/H_SHARE_CONVERSION"),"")</f>
        <v/>
      </c>
      <c r="L140" s="16">
        <f>IF(Database!BK140="","(none found)",Database!BK140)</f>
        <v/>
      </c>
      <c r="M140" s="18">
        <f>IFERROR(BDH(Database!$A140&amp;" HK Equity","CUR_MKT_CAP",Database!$H140,Database!$H140),"")</f>
        <v/>
      </c>
      <c r="N140" s="97">
        <f>Database!Q140</f>
        <v/>
      </c>
      <c r="O140" s="24">
        <f>IFERROR(BDH(Database!$A140&amp;" HK Equity","PE_RATIO",Database!$H140,Database!$H140),"")</f>
        <v/>
      </c>
      <c r="P140" s="101">
        <f>IF(Database!BE140="","(n/m or not derivable)",Database!BE140)</f>
        <v/>
      </c>
      <c r="Q140" s="24">
        <f>IF(Database!BK140="","",IFERROR(BDH(LEFT(Database!BK140,FIND(".",Database!BK140)-1)&amp;" CH Equity","PE_RATIO",Database!$H140,Database!$H140),""))</f>
        <v/>
      </c>
      <c r="R140" s="24">
        <f>IF(Database!BK140="","",IFERROR(BDH("HSAHP Index","PX_LAST",Database!$H140,Database!$H140),""))</f>
        <v/>
      </c>
      <c r="S140" s="24">
        <f>IFERROR(BDP(Database!$A140&amp;" HK Equity","PX_TO_SALES_RATIO"),"")</f>
        <v/>
      </c>
      <c r="T140" s="18">
        <f>IF(Database!BK140="","",IFERROR(BDP(LEFT(Database!BK140,FIND(".",Database!BK140)-1)&amp;"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Database!AF141</f>
        <v/>
      </c>
      <c r="J141" s="24">
        <f>IFERROR(BDP(Database!$A141&amp;" HK Equity","PE_RATIO"),"")</f>
        <v/>
      </c>
      <c r="K141" s="10">
        <f>IFERROR(BDP(Database!$A141&amp;" HK Equity","A/H_SHARE_CONVERSION"),"")</f>
        <v/>
      </c>
      <c r="L141" s="16">
        <f>IF(Database!BK141="","(none found)",Database!BK141)</f>
        <v/>
      </c>
      <c r="M141" s="18">
        <f>IFERROR(BDH(Database!$A141&amp;" HK Equity","CUR_MKT_CAP",Database!$H141,Database!$H141),"")</f>
        <v/>
      </c>
      <c r="N141" s="97">
        <f>Database!Q141</f>
        <v/>
      </c>
      <c r="O141" s="24">
        <f>IFERROR(BDH(Database!$A141&amp;" HK Equity","PE_RATIO",Database!$H141,Database!$H141),"")</f>
        <v/>
      </c>
      <c r="P141" s="101">
        <f>IF(Database!BE141="","(n/m or not derivable)",Database!BE141)</f>
        <v/>
      </c>
      <c r="Q141" s="24">
        <f>IF(Database!BK141="","",IFERROR(BDH(LEFT(Database!BK141,FIND(".",Database!BK141)-1)&amp;" CH Equity","PE_RATIO",Database!$H141,Database!$H141),""))</f>
        <v/>
      </c>
      <c r="R141" s="24">
        <f>IF(Database!BK141="","",IFERROR(BDH("HSAHP Index","PX_LAST",Database!$H141,Database!$H141),""))</f>
        <v/>
      </c>
      <c r="S141" s="24">
        <f>IFERROR(BDP(Database!$A141&amp;" HK Equity","PX_TO_SALES_RATIO"),"")</f>
        <v/>
      </c>
      <c r="T141" s="18">
        <f>IF(Database!BK141="","",IFERROR(BDP(LEFT(Database!BK141,FIND(".",Database!BK141)-1)&amp;"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Database!AF142</f>
        <v/>
      </c>
      <c r="J142" s="24">
        <f>IFERROR(BDP(Database!$A142&amp;" HK Equity","PE_RATIO"),"")</f>
        <v/>
      </c>
      <c r="K142" s="10">
        <f>IFERROR(BDP(Database!$A142&amp;" HK Equity","A/H_SHARE_CONVERSION"),"")</f>
        <v/>
      </c>
      <c r="L142" s="16">
        <f>IF(Database!BK142="","(none found)",Database!BK142)</f>
        <v/>
      </c>
      <c r="M142" s="18">
        <f>IFERROR(BDH(Database!$A142&amp;" HK Equity","CUR_MKT_CAP",Database!$H142,Database!$H142),"")</f>
        <v/>
      </c>
      <c r="N142" s="97">
        <f>Database!Q142</f>
        <v/>
      </c>
      <c r="O142" s="24">
        <f>IFERROR(BDH(Database!$A142&amp;" HK Equity","PE_RATIO",Database!$H142,Database!$H142),"")</f>
        <v/>
      </c>
      <c r="P142" s="101">
        <f>IF(Database!BE142="","(n/m or not derivable)",Database!BE142)</f>
        <v/>
      </c>
      <c r="Q142" s="24">
        <f>IF(Database!BK142="","",IFERROR(BDH(LEFT(Database!BK142,FIND(".",Database!BK142)-1)&amp;" CH Equity","PE_RATIO",Database!$H142,Database!$H142),""))</f>
        <v/>
      </c>
      <c r="R142" s="24">
        <f>IF(Database!BK142="","",IFERROR(BDH("HSAHP Index","PX_LAST",Database!$H142,Database!$H142),""))</f>
        <v/>
      </c>
      <c r="S142" s="24">
        <f>IFERROR(BDP(Database!$A142&amp;" HK Equity","PX_TO_SALES_RATIO"),"")</f>
        <v/>
      </c>
      <c r="T142" s="18">
        <f>IF(Database!BK142="","",IFERROR(BDP(LEFT(Database!BK142,FIND(".",Database!BK142)-1)&amp;"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Database!AF143</f>
        <v/>
      </c>
      <c r="J143" s="24">
        <f>IFERROR(BDP(Database!$A143&amp;" HK Equity","PE_RATIO"),"")</f>
        <v/>
      </c>
      <c r="K143" s="10">
        <f>IFERROR(BDP(Database!$A143&amp;" HK Equity","A/H_SHARE_CONVERSION"),"")</f>
        <v/>
      </c>
      <c r="L143" s="16">
        <f>IF(Database!BK143="","(none found)",Database!BK143)</f>
        <v/>
      </c>
      <c r="M143" s="18">
        <f>IFERROR(BDH(Database!$A143&amp;" HK Equity","CUR_MKT_CAP",Database!$H143,Database!$H143),"")</f>
        <v/>
      </c>
      <c r="N143" s="97">
        <f>Database!Q143</f>
        <v/>
      </c>
      <c r="O143" s="24">
        <f>IFERROR(BDH(Database!$A143&amp;" HK Equity","PE_RATIO",Database!$H143,Database!$H143),"")</f>
        <v/>
      </c>
      <c r="P143" s="101">
        <f>IF(Database!BE143="","(n/m or not derivable)",Database!BE143)</f>
        <v/>
      </c>
      <c r="Q143" s="24">
        <f>IF(Database!BK143="","",IFERROR(BDH(LEFT(Database!BK143,FIND(".",Database!BK143)-1)&amp;" CH Equity","PE_RATIO",Database!$H143,Database!$H143),""))</f>
        <v/>
      </c>
      <c r="R143" s="24">
        <f>IF(Database!BK143="","",IFERROR(BDH("HSAHP Index","PX_LAST",Database!$H143,Database!$H143),""))</f>
        <v/>
      </c>
      <c r="S143" s="24">
        <f>IFERROR(BDP(Database!$A143&amp;" HK Equity","PX_TO_SALES_RATIO"),"")</f>
        <v/>
      </c>
      <c r="T143" s="18">
        <f>IF(Database!BK143="","",IFERROR(BDP(LEFT(Database!BK143,FIND(".",Database!BK143)-1)&amp;"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Database!AF144</f>
        <v/>
      </c>
      <c r="J144" s="24">
        <f>IFERROR(BDP(Database!$A144&amp;" HK Equity","PE_RATIO"),"")</f>
        <v/>
      </c>
      <c r="K144" s="10">
        <f>IFERROR(BDP(Database!$A144&amp;" HK Equity","A/H_SHARE_CONVERSION"),"")</f>
        <v/>
      </c>
      <c r="L144" s="16">
        <f>IF(Database!BK144="","(none found)",Database!BK144)</f>
        <v/>
      </c>
      <c r="M144" s="18">
        <f>IFERROR(BDH(Database!$A144&amp;" HK Equity","CUR_MKT_CAP",Database!$H144,Database!$H144),"")</f>
        <v/>
      </c>
      <c r="N144" s="97">
        <f>Database!Q144</f>
        <v/>
      </c>
      <c r="O144" s="24">
        <f>IFERROR(BDH(Database!$A144&amp;" HK Equity","PE_RATIO",Database!$H144,Database!$H144),"")</f>
        <v/>
      </c>
      <c r="P144" s="101">
        <f>IF(Database!BE144="","(n/m or not derivable)",Database!BE144)</f>
        <v/>
      </c>
      <c r="Q144" s="24">
        <f>IF(Database!BK144="","",IFERROR(BDH(LEFT(Database!BK144,FIND(".",Database!BK144)-1)&amp;" CH Equity","PE_RATIO",Database!$H144,Database!$H144),""))</f>
        <v/>
      </c>
      <c r="R144" s="24">
        <f>IF(Database!BK144="","",IFERROR(BDH("HSAHP Index","PX_LAST",Database!$H144,Database!$H144),""))</f>
        <v/>
      </c>
      <c r="S144" s="24">
        <f>IFERROR(BDP(Database!$A144&amp;" HK Equity","PX_TO_SALES_RATIO"),"")</f>
        <v/>
      </c>
      <c r="T144" s="18">
        <f>IF(Database!BK144="","",IFERROR(BDP(LEFT(Database!BK144,FIND(".",Database!BK144)-1)&amp;"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Database!AF145</f>
        <v/>
      </c>
      <c r="J145" s="24">
        <f>IFERROR(BDP(Database!$A145&amp;" HK Equity","PE_RATIO"),"")</f>
        <v/>
      </c>
      <c r="K145" s="10">
        <f>IFERROR(BDP(Database!$A145&amp;" HK Equity","A/H_SHARE_CONVERSION"),"")</f>
        <v/>
      </c>
      <c r="L145" s="16">
        <f>IF(Database!BK145="","(none found)",Database!BK145)</f>
        <v/>
      </c>
      <c r="M145" s="18">
        <f>IFERROR(BDH(Database!$A145&amp;" HK Equity","CUR_MKT_CAP",Database!$H145,Database!$H145),"")</f>
        <v/>
      </c>
      <c r="N145" s="97">
        <f>Database!Q145</f>
        <v/>
      </c>
      <c r="O145" s="24">
        <f>IFERROR(BDH(Database!$A145&amp;" HK Equity","PE_RATIO",Database!$H145,Database!$H145),"")</f>
        <v/>
      </c>
      <c r="P145" s="101">
        <f>IF(Database!BE145="","(n/m or not derivable)",Database!BE145)</f>
        <v/>
      </c>
      <c r="Q145" s="24">
        <f>IF(Database!BK145="","",IFERROR(BDH(LEFT(Database!BK145,FIND(".",Database!BK145)-1)&amp;" CH Equity","PE_RATIO",Database!$H145,Database!$H145),""))</f>
        <v/>
      </c>
      <c r="R145" s="24">
        <f>IF(Database!BK145="","",IFERROR(BDH("HSAHP Index","PX_LAST",Database!$H145,Database!$H145),""))</f>
        <v/>
      </c>
      <c r="S145" s="24">
        <f>IFERROR(BDP(Database!$A145&amp;" HK Equity","PX_TO_SALES_RATIO"),"")</f>
        <v/>
      </c>
      <c r="T145" s="18">
        <f>IF(Database!BK145="","",IFERROR(BDP(LEFT(Database!BK145,FIND(".",Database!BK145)-1)&amp;"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Database!AF146</f>
        <v/>
      </c>
      <c r="J146" s="24">
        <f>IFERROR(BDP(Database!$A146&amp;" HK Equity","PE_RATIO"),"")</f>
        <v/>
      </c>
      <c r="K146" s="10">
        <f>IFERROR(BDP(Database!$A146&amp;" HK Equity","A/H_SHARE_CONVERSION"),"")</f>
        <v/>
      </c>
      <c r="L146" s="16">
        <f>IF(Database!BK146="","(none found)",Database!BK146)</f>
        <v/>
      </c>
      <c r="M146" s="18">
        <f>IFERROR(BDH(Database!$A146&amp;" HK Equity","CUR_MKT_CAP",Database!$H146,Database!$H146),"")</f>
        <v/>
      </c>
      <c r="N146" s="97">
        <f>Database!Q146</f>
        <v/>
      </c>
      <c r="O146" s="24">
        <f>IFERROR(BDH(Database!$A146&amp;" HK Equity","PE_RATIO",Database!$H146,Database!$H146),"")</f>
        <v/>
      </c>
      <c r="P146" s="101">
        <f>IF(Database!BE146="","(n/m or not derivable)",Database!BE146)</f>
        <v/>
      </c>
      <c r="Q146" s="24">
        <f>IF(Database!BK146="","",IFERROR(BDH(LEFT(Database!BK146,FIND(".",Database!BK146)-1)&amp;" CH Equity","PE_RATIO",Database!$H146,Database!$H146),""))</f>
        <v/>
      </c>
      <c r="R146" s="24">
        <f>IF(Database!BK146="","",IFERROR(BDH("HSAHP Index","PX_LAST",Database!$H146,Database!$H146),""))</f>
        <v/>
      </c>
      <c r="S146" s="24">
        <f>IFERROR(BDP(Database!$A146&amp;" HK Equity","PX_TO_SALES_RATIO"),"")</f>
        <v/>
      </c>
      <c r="T146" s="18">
        <f>IF(Database!BK146="","",IFERROR(BDP(LEFT(Database!BK146,FIND(".",Database!BK146)-1)&amp;"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Database!AF147</f>
        <v/>
      </c>
      <c r="J147" s="24">
        <f>IFERROR(BDP(Database!$A147&amp;" HK Equity","PE_RATIO"),"")</f>
        <v/>
      </c>
      <c r="K147" s="10">
        <f>IFERROR(BDP(Database!$A147&amp;" HK Equity","A/H_SHARE_CONVERSION"),"")</f>
        <v/>
      </c>
      <c r="L147" s="16">
        <f>IF(Database!BK147="","(none found)",Database!BK147)</f>
        <v/>
      </c>
      <c r="M147" s="18">
        <f>IFERROR(BDH(Database!$A147&amp;" HK Equity","CUR_MKT_CAP",Database!$H147,Database!$H147),"")</f>
        <v/>
      </c>
      <c r="N147" s="97">
        <f>Database!Q147</f>
        <v/>
      </c>
      <c r="O147" s="24">
        <f>IFERROR(BDH(Database!$A147&amp;" HK Equity","PE_RATIO",Database!$H147,Database!$H147),"")</f>
        <v/>
      </c>
      <c r="P147" s="101">
        <f>IF(Database!BE147="","(n/m or not derivable)",Database!BE147)</f>
        <v/>
      </c>
      <c r="Q147" s="24">
        <f>IF(Database!BK147="","",IFERROR(BDH(LEFT(Database!BK147,FIND(".",Database!BK147)-1)&amp;" CH Equity","PE_RATIO",Database!$H147,Database!$H147),""))</f>
        <v/>
      </c>
      <c r="R147" s="24">
        <f>IF(Database!BK147="","",IFERROR(BDH("HSAHP Index","PX_LAST",Database!$H147,Database!$H147),""))</f>
        <v/>
      </c>
      <c r="S147" s="24">
        <f>IFERROR(BDP(Database!$A147&amp;" HK Equity","PX_TO_SALES_RATIO"),"")</f>
        <v/>
      </c>
      <c r="T147" s="18">
        <f>IF(Database!BK147="","",IFERROR(BDP(LEFT(Database!BK147,FIND(".",Database!BK147)-1)&amp;"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Database!AF148</f>
        <v/>
      </c>
      <c r="J148" s="24">
        <f>IFERROR(BDP(Database!$A148&amp;" HK Equity","PE_RATIO"),"")</f>
        <v/>
      </c>
      <c r="K148" s="10">
        <f>IFERROR(BDP(Database!$A148&amp;" HK Equity","A/H_SHARE_CONVERSION"),"")</f>
        <v/>
      </c>
      <c r="L148" s="16">
        <f>IF(Database!BK148="","(none found)",Database!BK148)</f>
        <v/>
      </c>
      <c r="M148" s="18">
        <f>IFERROR(BDH(Database!$A148&amp;" HK Equity","CUR_MKT_CAP",Database!$H148,Database!$H148),"")</f>
        <v/>
      </c>
      <c r="N148" s="97">
        <f>Database!Q148</f>
        <v/>
      </c>
      <c r="O148" s="24">
        <f>IFERROR(BDH(Database!$A148&amp;" HK Equity","PE_RATIO",Database!$H148,Database!$H148),"")</f>
        <v/>
      </c>
      <c r="P148" s="101">
        <f>IF(Database!BE148="","(n/m or not derivable)",Database!BE148)</f>
        <v/>
      </c>
      <c r="Q148" s="24">
        <f>IF(Database!BK148="","",IFERROR(BDH(LEFT(Database!BK148,FIND(".",Database!BK148)-1)&amp;" CH Equity","PE_RATIO",Database!$H148,Database!$H148),""))</f>
        <v/>
      </c>
      <c r="R148" s="24">
        <f>IF(Database!BK148="","",IFERROR(BDH("HSAHP Index","PX_LAST",Database!$H148,Database!$H148),""))</f>
        <v/>
      </c>
      <c r="S148" s="24">
        <f>IFERROR(BDP(Database!$A148&amp;" HK Equity","PX_TO_SALES_RATIO"),"")</f>
        <v/>
      </c>
      <c r="T148" s="18">
        <f>IF(Database!BK148="","",IFERROR(BDP(LEFT(Database!BK148,FIND(".",Database!BK148)-1)&amp;"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Database!AF149</f>
        <v/>
      </c>
      <c r="J149" s="24">
        <f>IFERROR(BDP(Database!$A149&amp;" HK Equity","PE_RATIO"),"")</f>
        <v/>
      </c>
      <c r="K149" s="10">
        <f>IFERROR(BDP(Database!$A149&amp;" HK Equity","A/H_SHARE_CONVERSION"),"")</f>
        <v/>
      </c>
      <c r="L149" s="16">
        <f>IF(Database!BK149="","(none found)",Database!BK149)</f>
        <v/>
      </c>
      <c r="M149" s="18">
        <f>IFERROR(BDH(Database!$A149&amp;" HK Equity","CUR_MKT_CAP",Database!$H149,Database!$H149),"")</f>
        <v/>
      </c>
      <c r="N149" s="97">
        <f>Database!Q149</f>
        <v/>
      </c>
      <c r="O149" s="24">
        <f>IFERROR(BDH(Database!$A149&amp;" HK Equity","PE_RATIO",Database!$H149,Database!$H149),"")</f>
        <v/>
      </c>
      <c r="P149" s="101">
        <f>IF(Database!BE149="","(n/m or not derivable)",Database!BE149)</f>
        <v/>
      </c>
      <c r="Q149" s="24">
        <f>IF(Database!BK149="","",IFERROR(BDH(LEFT(Database!BK149,FIND(".",Database!BK149)-1)&amp;" CH Equity","PE_RATIO",Database!$H149,Database!$H149),""))</f>
        <v/>
      </c>
      <c r="R149" s="24">
        <f>IF(Database!BK149="","",IFERROR(BDH("HSAHP Index","PX_LAST",Database!$H149,Database!$H149),""))</f>
        <v/>
      </c>
      <c r="S149" s="24">
        <f>IFERROR(BDP(Database!$A149&amp;" HK Equity","PX_TO_SALES_RATIO"),"")</f>
        <v/>
      </c>
      <c r="T149" s="18">
        <f>IF(Database!BK149="","",IFERROR(BDP(LEFT(Database!BK149,FIND(".",Database!BK149)-1)&amp;"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Database!AF150</f>
        <v/>
      </c>
      <c r="J150" s="24">
        <f>IFERROR(BDP(Database!$A150&amp;" HK Equity","PE_RATIO"),"")</f>
        <v/>
      </c>
      <c r="K150" s="10">
        <f>IFERROR(BDP(Database!$A150&amp;" HK Equity","A/H_SHARE_CONVERSION"),"")</f>
        <v/>
      </c>
      <c r="L150" s="16">
        <f>IF(Database!BK150="","(none found)",Database!BK150)</f>
        <v/>
      </c>
      <c r="M150" s="18">
        <f>IFERROR(BDH(Database!$A150&amp;" HK Equity","CUR_MKT_CAP",Database!$H150,Database!$H150),"")</f>
        <v/>
      </c>
      <c r="N150" s="97">
        <f>Database!Q150</f>
        <v/>
      </c>
      <c r="O150" s="24">
        <f>IFERROR(BDH(Database!$A150&amp;" HK Equity","PE_RATIO",Database!$H150,Database!$H150),"")</f>
        <v/>
      </c>
      <c r="P150" s="101">
        <f>IF(Database!BE150="","(n/m or not derivable)",Database!BE150)</f>
        <v/>
      </c>
      <c r="Q150" s="24">
        <f>IF(Database!BK150="","",IFERROR(BDH(LEFT(Database!BK150,FIND(".",Database!BK150)-1)&amp;" CH Equity","PE_RATIO",Database!$H150,Database!$H150),""))</f>
        <v/>
      </c>
      <c r="R150" s="24">
        <f>IF(Database!BK150="","",IFERROR(BDH("HSAHP Index","PX_LAST",Database!$H150,Database!$H150),""))</f>
        <v/>
      </c>
      <c r="S150" s="24">
        <f>IFERROR(BDP(Database!$A150&amp;" HK Equity","PX_TO_SALES_RATIO"),"")</f>
        <v/>
      </c>
      <c r="T150" s="18">
        <f>IF(Database!BK150="","",IFERROR(BDP(LEFT(Database!BK150,FIND(".",Database!BK150)-1)&amp;"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Database!AF151</f>
        <v/>
      </c>
      <c r="J151" s="24">
        <f>IFERROR(BDP(Database!$A151&amp;" HK Equity","PE_RATIO"),"")</f>
        <v/>
      </c>
      <c r="K151" s="10">
        <f>IFERROR(BDP(Database!$A151&amp;" HK Equity","A/H_SHARE_CONVERSION"),"")</f>
        <v/>
      </c>
      <c r="L151" s="16">
        <f>IF(Database!BK151="","(none found)",Database!BK151)</f>
        <v/>
      </c>
      <c r="M151" s="18">
        <f>IFERROR(BDH(Database!$A151&amp;" HK Equity","CUR_MKT_CAP",Database!$H151,Database!$H151),"")</f>
        <v/>
      </c>
      <c r="N151" s="97">
        <f>Database!Q151</f>
        <v/>
      </c>
      <c r="O151" s="24">
        <f>IFERROR(BDH(Database!$A151&amp;" HK Equity","PE_RATIO",Database!$H151,Database!$H151),"")</f>
        <v/>
      </c>
      <c r="P151" s="101">
        <f>IF(Database!BE151="","(n/m or not derivable)",Database!BE151)</f>
        <v/>
      </c>
      <c r="Q151" s="24">
        <f>IF(Database!BK151="","",IFERROR(BDH(LEFT(Database!BK151,FIND(".",Database!BK151)-1)&amp;" CH Equity","PE_RATIO",Database!$H151,Database!$H151),""))</f>
        <v/>
      </c>
      <c r="R151" s="24">
        <f>IF(Database!BK151="","",IFERROR(BDH("HSAHP Index","PX_LAST",Database!$H151,Database!$H151),""))</f>
        <v/>
      </c>
      <c r="S151" s="24">
        <f>IFERROR(BDP(Database!$A151&amp;" HK Equity","PX_TO_SALES_RATIO"),"")</f>
        <v/>
      </c>
      <c r="T151" s="18">
        <f>IF(Database!BK151="","",IFERROR(BDP(LEFT(Database!BK151,FIND(".",Database!BK151)-1)&amp;"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Database!AF152</f>
        <v/>
      </c>
      <c r="J152" s="24">
        <f>IFERROR(BDP(Database!$A152&amp;" HK Equity","PE_RATIO"),"")</f>
        <v/>
      </c>
      <c r="K152" s="10">
        <f>IFERROR(BDP(Database!$A152&amp;" HK Equity","A/H_SHARE_CONVERSION"),"")</f>
        <v/>
      </c>
      <c r="L152" s="16">
        <f>IF(Database!BK152="","(none found)",Database!BK152)</f>
        <v/>
      </c>
      <c r="M152" s="18">
        <f>IFERROR(BDH(Database!$A152&amp;" HK Equity","CUR_MKT_CAP",Database!$H152,Database!$H152),"")</f>
        <v/>
      </c>
      <c r="N152" s="97">
        <f>Database!Q152</f>
        <v/>
      </c>
      <c r="O152" s="24">
        <f>IFERROR(BDH(Database!$A152&amp;" HK Equity","PE_RATIO",Database!$H152,Database!$H152),"")</f>
        <v/>
      </c>
      <c r="P152" s="101">
        <f>IF(Database!BE152="","(n/m or not derivable)",Database!BE152)</f>
        <v/>
      </c>
      <c r="Q152" s="24">
        <f>IF(Database!BK152="","",IFERROR(BDH(LEFT(Database!BK152,FIND(".",Database!BK152)-1)&amp;" CH Equity","PE_RATIO",Database!$H152,Database!$H152),""))</f>
        <v/>
      </c>
      <c r="R152" s="24">
        <f>IF(Database!BK152="","",IFERROR(BDH("HSAHP Index","PX_LAST",Database!$H152,Database!$H152),""))</f>
        <v/>
      </c>
      <c r="S152" s="24">
        <f>IFERROR(BDP(Database!$A152&amp;" HK Equity","PX_TO_SALES_RATIO"),"")</f>
        <v/>
      </c>
      <c r="T152" s="18">
        <f>IF(Database!BK152="","",IFERROR(BDP(LEFT(Database!BK152,FIND(".",Database!BK152)-1)&amp;"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Database!AF153</f>
        <v/>
      </c>
      <c r="J153" s="24">
        <f>IFERROR(BDP(Database!$A153&amp;" HK Equity","PE_RATIO"),"")</f>
        <v/>
      </c>
      <c r="K153" s="10">
        <f>IFERROR(BDP(Database!$A153&amp;" HK Equity","A/H_SHARE_CONVERSION"),"")</f>
        <v/>
      </c>
      <c r="L153" s="16">
        <f>IF(Database!BK153="","(none found)",Database!BK153)</f>
        <v/>
      </c>
      <c r="M153" s="18">
        <f>IFERROR(BDH(Database!$A153&amp;" HK Equity","CUR_MKT_CAP",Database!$H153,Database!$H153),"")</f>
        <v/>
      </c>
      <c r="N153" s="97">
        <f>Database!Q153</f>
        <v/>
      </c>
      <c r="O153" s="24">
        <f>IFERROR(BDH(Database!$A153&amp;" HK Equity","PE_RATIO",Database!$H153,Database!$H153),"")</f>
        <v/>
      </c>
      <c r="P153" s="101">
        <f>IF(Database!BE153="","(n/m or not derivable)",Database!BE153)</f>
        <v/>
      </c>
      <c r="Q153" s="24">
        <f>IF(Database!BK153="","",IFERROR(BDH(LEFT(Database!BK153,FIND(".",Database!BK153)-1)&amp;" CH Equity","PE_RATIO",Database!$H153,Database!$H153),""))</f>
        <v/>
      </c>
      <c r="R153" s="24">
        <f>IF(Database!BK153="","",IFERROR(BDH("HSAHP Index","PX_LAST",Database!$H153,Database!$H153),""))</f>
        <v/>
      </c>
      <c r="S153" s="24">
        <f>IFERROR(BDP(Database!$A153&amp;" HK Equity","PX_TO_SALES_RATIO"),"")</f>
        <v/>
      </c>
      <c r="T153" s="18">
        <f>IF(Database!BK153="","",IFERROR(BDP(LEFT(Database!BK153,FIND(".",Database!BK153)-1)&amp;"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Database!AF154</f>
        <v/>
      </c>
      <c r="J154" s="24">
        <f>IFERROR(BDP(Database!$A154&amp;" HK Equity","PE_RATIO"),"")</f>
        <v/>
      </c>
      <c r="K154" s="10">
        <f>IFERROR(BDP(Database!$A154&amp;" HK Equity","A/H_SHARE_CONVERSION"),"")</f>
        <v/>
      </c>
      <c r="L154" s="16">
        <f>IF(Database!BK154="","(none found)",Database!BK154)</f>
        <v/>
      </c>
      <c r="M154" s="18">
        <f>IFERROR(BDH(Database!$A154&amp;" HK Equity","CUR_MKT_CAP",Database!$H154,Database!$H154),"")</f>
        <v/>
      </c>
      <c r="N154" s="97">
        <f>Database!Q154</f>
        <v/>
      </c>
      <c r="O154" s="24">
        <f>IFERROR(BDH(Database!$A154&amp;" HK Equity","PE_RATIO",Database!$H154,Database!$H154),"")</f>
        <v/>
      </c>
      <c r="P154" s="101">
        <f>IF(Database!BE154="","(n/m or not derivable)",Database!BE154)</f>
        <v/>
      </c>
      <c r="Q154" s="24">
        <f>IF(Database!BK154="","",IFERROR(BDH(LEFT(Database!BK154,FIND(".",Database!BK154)-1)&amp;" CH Equity","PE_RATIO",Database!$H154,Database!$H154),""))</f>
        <v/>
      </c>
      <c r="R154" s="24">
        <f>IF(Database!BK154="","",IFERROR(BDH("HSAHP Index","PX_LAST",Database!$H154,Database!$H154),""))</f>
        <v/>
      </c>
      <c r="S154" s="24">
        <f>IFERROR(BDP(Database!$A154&amp;" HK Equity","PX_TO_SALES_RATIO"),"")</f>
        <v/>
      </c>
      <c r="T154" s="18">
        <f>IF(Database!BK154="","",IFERROR(BDP(LEFT(Database!BK154,FIND(".",Database!BK154)-1)&amp;"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Database!AF155</f>
        <v/>
      </c>
      <c r="J155" s="24">
        <f>IFERROR(BDP(Database!$A155&amp;" HK Equity","PE_RATIO"),"")</f>
        <v/>
      </c>
      <c r="K155" s="10">
        <f>IFERROR(BDP(Database!$A155&amp;" HK Equity","A/H_SHARE_CONVERSION"),"")</f>
        <v/>
      </c>
      <c r="L155" s="16">
        <f>IF(Database!BK155="","(none found)",Database!BK155)</f>
        <v/>
      </c>
      <c r="M155" s="18">
        <f>IFERROR(BDH(Database!$A155&amp;" HK Equity","CUR_MKT_CAP",Database!$H155,Database!$H155),"")</f>
        <v/>
      </c>
      <c r="N155" s="97">
        <f>Database!Q155</f>
        <v/>
      </c>
      <c r="O155" s="24">
        <f>IFERROR(BDH(Database!$A155&amp;" HK Equity","PE_RATIO",Database!$H155,Database!$H155),"")</f>
        <v/>
      </c>
      <c r="P155" s="101">
        <f>IF(Database!BE155="","(n/m or not derivable)",Database!BE155)</f>
        <v/>
      </c>
      <c r="Q155" s="24">
        <f>IF(Database!BK155="","",IFERROR(BDH(LEFT(Database!BK155,FIND(".",Database!BK155)-1)&amp;" CH Equity","PE_RATIO",Database!$H155,Database!$H155),""))</f>
        <v/>
      </c>
      <c r="R155" s="24">
        <f>IF(Database!BK155="","",IFERROR(BDH("HSAHP Index","PX_LAST",Database!$H155,Database!$H155),""))</f>
        <v/>
      </c>
      <c r="S155" s="24">
        <f>IFERROR(BDP(Database!$A155&amp;" HK Equity","PX_TO_SALES_RATIO"),"")</f>
        <v/>
      </c>
      <c r="T155" s="18">
        <f>IF(Database!BK155="","",IFERROR(BDP(LEFT(Database!BK155,FIND(".",Database!BK155)-1)&amp;"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Database!AF156</f>
        <v/>
      </c>
      <c r="J156" s="24">
        <f>IFERROR(BDP(Database!$A156&amp;" HK Equity","PE_RATIO"),"")</f>
        <v/>
      </c>
      <c r="K156" s="10">
        <f>IFERROR(BDP(Database!$A156&amp;" HK Equity","A/H_SHARE_CONVERSION"),"")</f>
        <v/>
      </c>
      <c r="L156" s="16">
        <f>IF(Database!BK156="","(none found)",Database!BK156)</f>
        <v/>
      </c>
      <c r="M156" s="18">
        <f>IFERROR(BDH(Database!$A156&amp;" HK Equity","CUR_MKT_CAP",Database!$H156,Database!$H156),"")</f>
        <v/>
      </c>
      <c r="N156" s="97">
        <f>Database!Q156</f>
        <v/>
      </c>
      <c r="O156" s="24">
        <f>IFERROR(BDH(Database!$A156&amp;" HK Equity","PE_RATIO",Database!$H156,Database!$H156),"")</f>
        <v/>
      </c>
      <c r="P156" s="101">
        <f>IF(Database!BE156="","(n/m or not derivable)",Database!BE156)</f>
        <v/>
      </c>
      <c r="Q156" s="24">
        <f>IF(Database!BK156="","",IFERROR(BDH(LEFT(Database!BK156,FIND(".",Database!BK156)-1)&amp;" CH Equity","PE_RATIO",Database!$H156,Database!$H156),""))</f>
        <v/>
      </c>
      <c r="R156" s="24">
        <f>IF(Database!BK156="","",IFERROR(BDH("HSAHP Index","PX_LAST",Database!$H156,Database!$H156),""))</f>
        <v/>
      </c>
      <c r="S156" s="24">
        <f>IFERROR(BDP(Database!$A156&amp;" HK Equity","PX_TO_SALES_RATIO"),"")</f>
        <v/>
      </c>
      <c r="T156" s="18">
        <f>IF(Database!BK156="","",IFERROR(BDP(LEFT(Database!BK156,FIND(".",Database!BK156)-1)&amp;"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Database!AF157</f>
        <v/>
      </c>
      <c r="J157" s="24">
        <f>IFERROR(BDP(Database!$A157&amp;" HK Equity","PE_RATIO"),"")</f>
        <v/>
      </c>
      <c r="K157" s="10">
        <f>IFERROR(BDP(Database!$A157&amp;" HK Equity","A/H_SHARE_CONVERSION"),"")</f>
        <v/>
      </c>
      <c r="L157" s="16">
        <f>IF(Database!BK157="","(none found)",Database!BK157)</f>
        <v/>
      </c>
      <c r="M157" s="18">
        <f>IFERROR(BDH(Database!$A157&amp;" HK Equity","CUR_MKT_CAP",Database!$H157,Database!$H157),"")</f>
        <v/>
      </c>
      <c r="N157" s="97">
        <f>Database!Q157</f>
        <v/>
      </c>
      <c r="O157" s="24">
        <f>IFERROR(BDH(Database!$A157&amp;" HK Equity","PE_RATIO",Database!$H157,Database!$H157),"")</f>
        <v/>
      </c>
      <c r="P157" s="101">
        <f>IF(Database!BE157="","(n/m or not derivable)",Database!BE157)</f>
        <v/>
      </c>
      <c r="Q157" s="24">
        <f>IF(Database!BK157="","",IFERROR(BDH(LEFT(Database!BK157,FIND(".",Database!BK157)-1)&amp;" CH Equity","PE_RATIO",Database!$H157,Database!$H157),""))</f>
        <v/>
      </c>
      <c r="R157" s="24">
        <f>IF(Database!BK157="","",IFERROR(BDH("HSAHP Index","PX_LAST",Database!$H157,Database!$H157),""))</f>
        <v/>
      </c>
      <c r="S157" s="24">
        <f>IFERROR(BDP(Database!$A157&amp;" HK Equity","PX_TO_SALES_RATIO"),"")</f>
        <v/>
      </c>
      <c r="T157" s="18">
        <f>IF(Database!BK157="","",IFERROR(BDP(LEFT(Database!BK157,FIND(".",Database!BK157)-1)&amp;"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Database!AF158</f>
        <v/>
      </c>
      <c r="J158" s="24">
        <f>IFERROR(BDP(Database!$A158&amp;" HK Equity","PE_RATIO"),"")</f>
        <v/>
      </c>
      <c r="K158" s="10">
        <f>IFERROR(BDP(Database!$A158&amp;" HK Equity","A/H_SHARE_CONVERSION"),"")</f>
        <v/>
      </c>
      <c r="L158" s="16">
        <f>IF(Database!BK158="","(none found)",Database!BK158)</f>
        <v/>
      </c>
      <c r="M158" s="18">
        <f>IFERROR(BDH(Database!$A158&amp;" HK Equity","CUR_MKT_CAP",Database!$H158,Database!$H158),"")</f>
        <v/>
      </c>
      <c r="N158" s="97">
        <f>Database!Q158</f>
        <v/>
      </c>
      <c r="O158" s="24">
        <f>IFERROR(BDH(Database!$A158&amp;" HK Equity","PE_RATIO",Database!$H158,Database!$H158),"")</f>
        <v/>
      </c>
      <c r="P158" s="101">
        <f>IF(Database!BE158="","(n/m or not derivable)",Database!BE158)</f>
        <v/>
      </c>
      <c r="Q158" s="24">
        <f>IF(Database!BK158="","",IFERROR(BDH(LEFT(Database!BK158,FIND(".",Database!BK158)-1)&amp;" CH Equity","PE_RATIO",Database!$H158,Database!$H158),""))</f>
        <v/>
      </c>
      <c r="R158" s="24">
        <f>IF(Database!BK158="","",IFERROR(BDH("HSAHP Index","PX_LAST",Database!$H158,Database!$H158),""))</f>
        <v/>
      </c>
      <c r="S158" s="24">
        <f>IFERROR(BDP(Database!$A158&amp;" HK Equity","PX_TO_SALES_RATIO"),"")</f>
        <v/>
      </c>
      <c r="T158" s="18">
        <f>IF(Database!BK158="","",IFERROR(BDP(LEFT(Database!BK158,FIND(".",Database!BK158)-1)&amp;"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Database!AF159</f>
        <v/>
      </c>
      <c r="J159" s="24">
        <f>IFERROR(BDP(Database!$A159&amp;" HK Equity","PE_RATIO"),"")</f>
        <v/>
      </c>
      <c r="K159" s="10">
        <f>IFERROR(BDP(Database!$A159&amp;" HK Equity","A/H_SHARE_CONVERSION"),"")</f>
        <v/>
      </c>
      <c r="L159" s="16">
        <f>IF(Database!BK159="","(none found)",Database!BK159)</f>
        <v/>
      </c>
      <c r="M159" s="18">
        <f>IFERROR(BDH(Database!$A159&amp;" HK Equity","CUR_MKT_CAP",Database!$H159,Database!$H159),"")</f>
        <v/>
      </c>
      <c r="N159" s="97">
        <f>Database!Q159</f>
        <v/>
      </c>
      <c r="O159" s="24">
        <f>IFERROR(BDH(Database!$A159&amp;" HK Equity","PE_RATIO",Database!$H159,Database!$H159),"")</f>
        <v/>
      </c>
      <c r="P159" s="101">
        <f>IF(Database!BE159="","(n/m or not derivable)",Database!BE159)</f>
        <v/>
      </c>
      <c r="Q159" s="24">
        <f>IF(Database!BK159="","",IFERROR(BDH(LEFT(Database!BK159,FIND(".",Database!BK159)-1)&amp;" CH Equity","PE_RATIO",Database!$H159,Database!$H159),""))</f>
        <v/>
      </c>
      <c r="R159" s="24">
        <f>IF(Database!BK159="","",IFERROR(BDH("HSAHP Index","PX_LAST",Database!$H159,Database!$H159),""))</f>
        <v/>
      </c>
      <c r="S159" s="24">
        <f>IFERROR(BDP(Database!$A159&amp;" HK Equity","PX_TO_SALES_RATIO"),"")</f>
        <v/>
      </c>
      <c r="T159" s="18">
        <f>IF(Database!BK159="","",IFERROR(BDP(LEFT(Database!BK159,FIND(".",Database!BK159)-1)&amp;"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Database!AF160</f>
        <v/>
      </c>
      <c r="J160" s="24">
        <f>IFERROR(BDP(Database!$A160&amp;" HK Equity","PE_RATIO"),"")</f>
        <v/>
      </c>
      <c r="K160" s="10">
        <f>IFERROR(BDP(Database!$A160&amp;" HK Equity","A/H_SHARE_CONVERSION"),"")</f>
        <v/>
      </c>
      <c r="L160" s="16">
        <f>IF(Database!BK160="","(none found)",Database!BK160)</f>
        <v/>
      </c>
      <c r="M160" s="18">
        <f>IFERROR(BDH(Database!$A160&amp;" HK Equity","CUR_MKT_CAP",Database!$H160,Database!$H160),"")</f>
        <v/>
      </c>
      <c r="N160" s="97">
        <f>Database!Q160</f>
        <v/>
      </c>
      <c r="O160" s="24">
        <f>IFERROR(BDH(Database!$A160&amp;" HK Equity","PE_RATIO",Database!$H160,Database!$H160),"")</f>
        <v/>
      </c>
      <c r="P160" s="101">
        <f>IF(Database!BE160="","(n/m or not derivable)",Database!BE160)</f>
        <v/>
      </c>
      <c r="Q160" s="24">
        <f>IF(Database!BK160="","",IFERROR(BDH(LEFT(Database!BK160,FIND(".",Database!BK160)-1)&amp;" CH Equity","PE_RATIO",Database!$H160,Database!$H160),""))</f>
        <v/>
      </c>
      <c r="R160" s="24">
        <f>IF(Database!BK160="","",IFERROR(BDH("HSAHP Index","PX_LAST",Database!$H160,Database!$H160),""))</f>
        <v/>
      </c>
      <c r="S160" s="24">
        <f>IFERROR(BDP(Database!$A160&amp;" HK Equity","PX_TO_SALES_RATIO"),"")</f>
        <v/>
      </c>
      <c r="T160" s="18">
        <f>IF(Database!BK160="","",IFERROR(BDP(LEFT(Database!BK160,FIND(".",Database!BK160)-1)&amp;"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Database!AF161</f>
        <v/>
      </c>
      <c r="J161" s="24">
        <f>IFERROR(BDP(Database!$A161&amp;" HK Equity","PE_RATIO"),"")</f>
        <v/>
      </c>
      <c r="K161" s="10">
        <f>IFERROR(BDP(Database!$A161&amp;" HK Equity","A/H_SHARE_CONVERSION"),"")</f>
        <v/>
      </c>
      <c r="L161" s="16">
        <f>IF(Database!BK161="","(none found)",Database!BK161)</f>
        <v/>
      </c>
      <c r="M161" s="18">
        <f>IFERROR(BDH(Database!$A161&amp;" HK Equity","CUR_MKT_CAP",Database!$H161,Database!$H161),"")</f>
        <v/>
      </c>
      <c r="N161" s="97">
        <f>Database!Q161</f>
        <v/>
      </c>
      <c r="O161" s="24">
        <f>IFERROR(BDH(Database!$A161&amp;" HK Equity","PE_RATIO",Database!$H161,Database!$H161),"")</f>
        <v/>
      </c>
      <c r="P161" s="101">
        <f>IF(Database!BE161="","(n/m or not derivable)",Database!BE161)</f>
        <v/>
      </c>
      <c r="Q161" s="24">
        <f>IF(Database!BK161="","",IFERROR(BDH(LEFT(Database!BK161,FIND(".",Database!BK161)-1)&amp;" CH Equity","PE_RATIO",Database!$H161,Database!$H161),""))</f>
        <v/>
      </c>
      <c r="R161" s="24">
        <f>IF(Database!BK161="","",IFERROR(BDH("HSAHP Index","PX_LAST",Database!$H161,Database!$H161),""))</f>
        <v/>
      </c>
      <c r="S161" s="24">
        <f>IFERROR(BDP(Database!$A161&amp;" HK Equity","PX_TO_SALES_RATIO"),"")</f>
        <v/>
      </c>
      <c r="T161" s="18">
        <f>IF(Database!BK161="","",IFERROR(BDP(LEFT(Database!BK161,FIND(".",Database!BK161)-1)&amp;"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Database!AF162</f>
        <v/>
      </c>
      <c r="J162" s="24">
        <f>IFERROR(BDP(Database!$A162&amp;" HK Equity","PE_RATIO"),"")</f>
        <v/>
      </c>
      <c r="K162" s="10">
        <f>IFERROR(BDP(Database!$A162&amp;" HK Equity","A/H_SHARE_CONVERSION"),"")</f>
        <v/>
      </c>
      <c r="L162" s="16">
        <f>IF(Database!BK162="","(none found)",Database!BK162)</f>
        <v/>
      </c>
      <c r="M162" s="18">
        <f>IFERROR(BDH(Database!$A162&amp;" HK Equity","CUR_MKT_CAP",Database!$H162,Database!$H162),"")</f>
        <v/>
      </c>
      <c r="N162" s="97">
        <f>Database!Q162</f>
        <v/>
      </c>
      <c r="O162" s="24">
        <f>IFERROR(BDH(Database!$A162&amp;" HK Equity","PE_RATIO",Database!$H162,Database!$H162),"")</f>
        <v/>
      </c>
      <c r="P162" s="101">
        <f>IF(Database!BE162="","(n/m or not derivable)",Database!BE162)</f>
        <v/>
      </c>
      <c r="Q162" s="24">
        <f>IF(Database!BK162="","",IFERROR(BDH(LEFT(Database!BK162,FIND(".",Database!BK162)-1)&amp;" CH Equity","PE_RATIO",Database!$H162,Database!$H162),""))</f>
        <v/>
      </c>
      <c r="R162" s="24">
        <f>IF(Database!BK162="","",IFERROR(BDH("HSAHP Index","PX_LAST",Database!$H162,Database!$H162),""))</f>
        <v/>
      </c>
      <c r="S162" s="24">
        <f>IFERROR(BDP(Database!$A162&amp;" HK Equity","PX_TO_SALES_RATIO"),"")</f>
        <v/>
      </c>
      <c r="T162" s="18">
        <f>IF(Database!BK162="","",IFERROR(BDP(LEFT(Database!BK162,FIND(".",Database!BK162)-1)&amp;"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Database!AF163</f>
        <v/>
      </c>
      <c r="J163" s="24">
        <f>IFERROR(BDP(Database!$A163&amp;" HK Equity","PE_RATIO"),"")</f>
        <v/>
      </c>
      <c r="K163" s="10">
        <f>IFERROR(BDP(Database!$A163&amp;" HK Equity","A/H_SHARE_CONVERSION"),"")</f>
        <v/>
      </c>
      <c r="L163" s="16">
        <f>IF(Database!BK163="","(none found)",Database!BK163)</f>
        <v/>
      </c>
      <c r="M163" s="18">
        <f>IFERROR(BDH(Database!$A163&amp;" HK Equity","CUR_MKT_CAP",Database!$H163,Database!$H163),"")</f>
        <v/>
      </c>
      <c r="N163" s="97">
        <f>Database!Q163</f>
        <v/>
      </c>
      <c r="O163" s="24">
        <f>IFERROR(BDH(Database!$A163&amp;" HK Equity","PE_RATIO",Database!$H163,Database!$H163),"")</f>
        <v/>
      </c>
      <c r="P163" s="101">
        <f>IF(Database!BE163="","(n/m or not derivable)",Database!BE163)</f>
        <v/>
      </c>
      <c r="Q163" s="24">
        <f>IF(Database!BK163="","",IFERROR(BDH(LEFT(Database!BK163,FIND(".",Database!BK163)-1)&amp;" CH Equity","PE_RATIO",Database!$H163,Database!$H163),""))</f>
        <v/>
      </c>
      <c r="R163" s="24">
        <f>IF(Database!BK163="","",IFERROR(BDH("HSAHP Index","PX_LAST",Database!$H163,Database!$H163),""))</f>
        <v/>
      </c>
      <c r="S163" s="24">
        <f>IFERROR(BDP(Database!$A163&amp;" HK Equity","PX_TO_SALES_RATIO"),"")</f>
        <v/>
      </c>
      <c r="T163" s="18">
        <f>IF(Database!BK163="","",IFERROR(BDP(LEFT(Database!BK163,FIND(".",Database!BK163)-1)&amp;"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Database!AF164</f>
        <v/>
      </c>
      <c r="J164" s="24">
        <f>IFERROR(BDP(Database!$A164&amp;" HK Equity","PE_RATIO"),"")</f>
        <v/>
      </c>
      <c r="K164" s="10">
        <f>IFERROR(BDP(Database!$A164&amp;" HK Equity","A/H_SHARE_CONVERSION"),"")</f>
        <v/>
      </c>
      <c r="L164" s="16">
        <f>IF(Database!BK164="","(none found)",Database!BK164)</f>
        <v/>
      </c>
      <c r="M164" s="18">
        <f>IFERROR(BDH(Database!$A164&amp;" HK Equity","CUR_MKT_CAP",Database!$H164,Database!$H164),"")</f>
        <v/>
      </c>
      <c r="N164" s="97">
        <f>Database!Q164</f>
        <v/>
      </c>
      <c r="O164" s="24">
        <f>IFERROR(BDH(Database!$A164&amp;" HK Equity","PE_RATIO",Database!$H164,Database!$H164),"")</f>
        <v/>
      </c>
      <c r="P164" s="101">
        <f>IF(Database!BE164="","(n/m or not derivable)",Database!BE164)</f>
        <v/>
      </c>
      <c r="Q164" s="24">
        <f>IF(Database!BK164="","",IFERROR(BDH(LEFT(Database!BK164,FIND(".",Database!BK164)-1)&amp;" CH Equity","PE_RATIO",Database!$H164,Database!$H164),""))</f>
        <v/>
      </c>
      <c r="R164" s="24">
        <f>IF(Database!BK164="","",IFERROR(BDH("HSAHP Index","PX_LAST",Database!$H164,Database!$H164),""))</f>
        <v/>
      </c>
      <c r="S164" s="24">
        <f>IFERROR(BDP(Database!$A164&amp;" HK Equity","PX_TO_SALES_RATIO"),"")</f>
        <v/>
      </c>
      <c r="T164" s="18">
        <f>IF(Database!BK164="","",IFERROR(BDP(LEFT(Database!BK164,FIND(".",Database!BK164)-1)&amp;"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Database!AF165</f>
        <v/>
      </c>
      <c r="J165" s="24">
        <f>IFERROR(BDP(Database!$A165&amp;" HK Equity","PE_RATIO"),"")</f>
        <v/>
      </c>
      <c r="K165" s="10">
        <f>IFERROR(BDP(Database!$A165&amp;" HK Equity","A/H_SHARE_CONVERSION"),"")</f>
        <v/>
      </c>
      <c r="L165" s="16">
        <f>IF(Database!BK165="","(none found)",Database!BK165)</f>
        <v/>
      </c>
      <c r="M165" s="18">
        <f>IFERROR(BDH(Database!$A165&amp;" HK Equity","CUR_MKT_CAP",Database!$H165,Database!$H165),"")</f>
        <v/>
      </c>
      <c r="N165" s="97">
        <f>Database!Q165</f>
        <v/>
      </c>
      <c r="O165" s="24">
        <f>IFERROR(BDH(Database!$A165&amp;" HK Equity","PE_RATIO",Database!$H165,Database!$H165),"")</f>
        <v/>
      </c>
      <c r="P165" s="101">
        <f>IF(Database!BE165="","(n/m or not derivable)",Database!BE165)</f>
        <v/>
      </c>
      <c r="Q165" s="24">
        <f>IF(Database!BK165="","",IFERROR(BDH(LEFT(Database!BK165,FIND(".",Database!BK165)-1)&amp;" CH Equity","PE_RATIO",Database!$H165,Database!$H165),""))</f>
        <v/>
      </c>
      <c r="R165" s="24">
        <f>IF(Database!BK165="","",IFERROR(BDH("HSAHP Index","PX_LAST",Database!$H165,Database!$H165),""))</f>
        <v/>
      </c>
      <c r="S165" s="24">
        <f>IFERROR(BDP(Database!$A165&amp;" HK Equity","PX_TO_SALES_RATIO"),"")</f>
        <v/>
      </c>
      <c r="T165" s="18">
        <f>IF(Database!BK165="","",IFERROR(BDP(LEFT(Database!BK165,FIND(".",Database!BK165)-1)&amp;"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Database!AF166</f>
        <v/>
      </c>
      <c r="J166" s="24">
        <f>IFERROR(BDP(Database!$A166&amp;" HK Equity","PE_RATIO"),"")</f>
        <v/>
      </c>
      <c r="K166" s="10">
        <f>IFERROR(BDP(Database!$A166&amp;" HK Equity","A/H_SHARE_CONVERSION"),"")</f>
        <v/>
      </c>
      <c r="L166" s="16">
        <f>IF(Database!BK166="","(none found)",Database!BK166)</f>
        <v/>
      </c>
      <c r="M166" s="18">
        <f>IFERROR(BDH(Database!$A166&amp;" HK Equity","CUR_MKT_CAP",Database!$H166,Database!$H166),"")</f>
        <v/>
      </c>
      <c r="N166" s="97">
        <f>Database!Q166</f>
        <v/>
      </c>
      <c r="O166" s="24">
        <f>IFERROR(BDH(Database!$A166&amp;" HK Equity","PE_RATIO",Database!$H166,Database!$H166),"")</f>
        <v/>
      </c>
      <c r="P166" s="101">
        <f>IF(Database!BE166="","(n/m or not derivable)",Database!BE166)</f>
        <v/>
      </c>
      <c r="Q166" s="24">
        <f>IF(Database!BK166="","",IFERROR(BDH(LEFT(Database!BK166,FIND(".",Database!BK166)-1)&amp;" CH Equity","PE_RATIO",Database!$H166,Database!$H166),""))</f>
        <v/>
      </c>
      <c r="R166" s="24">
        <f>IF(Database!BK166="","",IFERROR(BDH("HSAHP Index","PX_LAST",Database!$H166,Database!$H166),""))</f>
        <v/>
      </c>
      <c r="S166" s="24">
        <f>IFERROR(BDP(Database!$A166&amp;" HK Equity","PX_TO_SALES_RATIO"),"")</f>
        <v/>
      </c>
      <c r="T166" s="18">
        <f>IF(Database!BK166="","",IFERROR(BDP(LEFT(Database!BK166,FIND(".",Database!BK166)-1)&amp;"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Database!AF167</f>
        <v/>
      </c>
      <c r="J167" s="24">
        <f>IFERROR(BDP(Database!$A167&amp;" HK Equity","PE_RATIO"),"")</f>
        <v/>
      </c>
      <c r="K167" s="10">
        <f>IFERROR(BDP(Database!$A167&amp;" HK Equity","A/H_SHARE_CONVERSION"),"")</f>
        <v/>
      </c>
      <c r="L167" s="16">
        <f>IF(Database!BK167="","(none found)",Database!BK167)</f>
        <v/>
      </c>
      <c r="M167" s="18">
        <f>IFERROR(BDH(Database!$A167&amp;" HK Equity","CUR_MKT_CAP",Database!$H167,Database!$H167),"")</f>
        <v/>
      </c>
      <c r="N167" s="97">
        <f>Database!Q167</f>
        <v/>
      </c>
      <c r="O167" s="24">
        <f>IFERROR(BDH(Database!$A167&amp;" HK Equity","PE_RATIO",Database!$H167,Database!$H167),"")</f>
        <v/>
      </c>
      <c r="P167" s="101">
        <f>IF(Database!BE167="","(n/m or not derivable)",Database!BE167)</f>
        <v/>
      </c>
      <c r="Q167" s="24">
        <f>IF(Database!BK167="","",IFERROR(BDH(LEFT(Database!BK167,FIND(".",Database!BK167)-1)&amp;" CH Equity","PE_RATIO",Database!$H167,Database!$H167),""))</f>
        <v/>
      </c>
      <c r="R167" s="24">
        <f>IF(Database!BK167="","",IFERROR(BDH("HSAHP Index","PX_LAST",Database!$H167,Database!$H167),""))</f>
        <v/>
      </c>
      <c r="S167" s="24">
        <f>IFERROR(BDP(Database!$A167&amp;" HK Equity","PX_TO_SALES_RATIO"),"")</f>
        <v/>
      </c>
      <c r="T167" s="18">
        <f>IF(Database!BK167="","",IFERROR(BDP(LEFT(Database!BK167,FIND(".",Database!BK167)-1)&amp;"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Database!AF168</f>
        <v/>
      </c>
      <c r="J168" s="24">
        <f>IFERROR(BDP(Database!$A168&amp;" HK Equity","PE_RATIO"),"")</f>
        <v/>
      </c>
      <c r="K168" s="10">
        <f>IFERROR(BDP(Database!$A168&amp;" HK Equity","A/H_SHARE_CONVERSION"),"")</f>
        <v/>
      </c>
      <c r="L168" s="16">
        <f>IF(Database!BK168="","(none found)",Database!BK168)</f>
        <v/>
      </c>
      <c r="M168" s="18">
        <f>IFERROR(BDH(Database!$A168&amp;" HK Equity","CUR_MKT_CAP",Database!$H168,Database!$H168),"")</f>
        <v/>
      </c>
      <c r="N168" s="97">
        <f>Database!Q168</f>
        <v/>
      </c>
      <c r="O168" s="24">
        <f>IFERROR(BDH(Database!$A168&amp;" HK Equity","PE_RATIO",Database!$H168,Database!$H168),"")</f>
        <v/>
      </c>
      <c r="P168" s="101">
        <f>IF(Database!BE168="","(n/m or not derivable)",Database!BE168)</f>
        <v/>
      </c>
      <c r="Q168" s="24">
        <f>IF(Database!BK168="","",IFERROR(BDH(LEFT(Database!BK168,FIND(".",Database!BK168)-1)&amp;" CH Equity","PE_RATIO",Database!$H168,Database!$H168),""))</f>
        <v/>
      </c>
      <c r="R168" s="24">
        <f>IF(Database!BK168="","",IFERROR(BDH("HSAHP Index","PX_LAST",Database!$H168,Database!$H168),""))</f>
        <v/>
      </c>
      <c r="S168" s="24">
        <f>IFERROR(BDP(Database!$A168&amp;" HK Equity","PX_TO_SALES_RATIO"),"")</f>
        <v/>
      </c>
      <c r="T168" s="18">
        <f>IF(Database!BK168="","",IFERROR(BDP(LEFT(Database!BK168,FIND(".",Database!BK168)-1)&amp;"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Database!AF169</f>
        <v/>
      </c>
      <c r="J169" s="24">
        <f>IFERROR(BDP(Database!$A169&amp;" HK Equity","PE_RATIO"),"")</f>
        <v/>
      </c>
      <c r="K169" s="10">
        <f>IFERROR(BDP(Database!$A169&amp;" HK Equity","A/H_SHARE_CONVERSION"),"")</f>
        <v/>
      </c>
      <c r="L169" s="16">
        <f>IF(Database!BK169="","(none found)",Database!BK169)</f>
        <v/>
      </c>
      <c r="M169" s="18">
        <f>IFERROR(BDH(Database!$A169&amp;" HK Equity","CUR_MKT_CAP",Database!$H169,Database!$H169),"")</f>
        <v/>
      </c>
      <c r="N169" s="97">
        <f>Database!Q169</f>
        <v/>
      </c>
      <c r="O169" s="24">
        <f>IFERROR(BDH(Database!$A169&amp;" HK Equity","PE_RATIO",Database!$H169,Database!$H169),"")</f>
        <v/>
      </c>
      <c r="P169" s="101">
        <f>IF(Database!BE169="","(n/m or not derivable)",Database!BE169)</f>
        <v/>
      </c>
      <c r="Q169" s="24">
        <f>IF(Database!BK169="","",IFERROR(BDH(LEFT(Database!BK169,FIND(".",Database!BK169)-1)&amp;" CH Equity","PE_RATIO",Database!$H169,Database!$H169),""))</f>
        <v/>
      </c>
      <c r="R169" s="24">
        <f>IF(Database!BK169="","",IFERROR(BDH("HSAHP Index","PX_LAST",Database!$H169,Database!$H169),""))</f>
        <v/>
      </c>
      <c r="S169" s="24">
        <f>IFERROR(BDP(Database!$A169&amp;" HK Equity","PX_TO_SALES_RATIO"),"")</f>
        <v/>
      </c>
      <c r="T169" s="18">
        <f>IF(Database!BK169="","",IFERROR(BDP(LEFT(Database!BK169,FIND(".",Database!BK169)-1)&amp;"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Database!AF170</f>
        <v/>
      </c>
      <c r="J170" s="24">
        <f>IFERROR(BDP(Database!$A170&amp;" HK Equity","PE_RATIO"),"")</f>
        <v/>
      </c>
      <c r="K170" s="10">
        <f>IFERROR(BDP(Database!$A170&amp;" HK Equity","A/H_SHARE_CONVERSION"),"")</f>
        <v/>
      </c>
      <c r="L170" s="16">
        <f>IF(Database!BK170="","(none found)",Database!BK170)</f>
        <v/>
      </c>
      <c r="M170" s="18">
        <f>IFERROR(BDH(Database!$A170&amp;" HK Equity","CUR_MKT_CAP",Database!$H170,Database!$H170),"")</f>
        <v/>
      </c>
      <c r="N170" s="97">
        <f>Database!Q170</f>
        <v/>
      </c>
      <c r="O170" s="24">
        <f>IFERROR(BDH(Database!$A170&amp;" HK Equity","PE_RATIO",Database!$H170,Database!$H170),"")</f>
        <v/>
      </c>
      <c r="P170" s="101">
        <f>IF(Database!BE170="","(n/m or not derivable)",Database!BE170)</f>
        <v/>
      </c>
      <c r="Q170" s="24">
        <f>IF(Database!BK170="","",IFERROR(BDH(LEFT(Database!BK170,FIND(".",Database!BK170)-1)&amp;" CH Equity","PE_RATIO",Database!$H170,Database!$H170),""))</f>
        <v/>
      </c>
      <c r="R170" s="24">
        <f>IF(Database!BK170="","",IFERROR(BDH("HSAHP Index","PX_LAST",Database!$H170,Database!$H170),""))</f>
        <v/>
      </c>
      <c r="S170" s="24">
        <f>IFERROR(BDP(Database!$A170&amp;" HK Equity","PX_TO_SALES_RATIO"),"")</f>
        <v/>
      </c>
      <c r="T170" s="18">
        <f>IF(Database!BK170="","",IFERROR(BDP(LEFT(Database!BK170,FIND(".",Database!BK170)-1)&amp;"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Database!AF171</f>
        <v/>
      </c>
      <c r="J171" s="24">
        <f>IFERROR(BDP(Database!$A171&amp;" HK Equity","PE_RATIO"),"")</f>
        <v/>
      </c>
      <c r="K171" s="10">
        <f>IFERROR(BDP(Database!$A171&amp;" HK Equity","A/H_SHARE_CONVERSION"),"")</f>
        <v/>
      </c>
      <c r="L171" s="16">
        <f>IF(Database!BK171="","(none found)",Database!BK171)</f>
        <v/>
      </c>
      <c r="M171" s="18">
        <f>IFERROR(BDH(Database!$A171&amp;" HK Equity","CUR_MKT_CAP",Database!$H171,Database!$H171),"")</f>
        <v/>
      </c>
      <c r="N171" s="97">
        <f>Database!Q171</f>
        <v/>
      </c>
      <c r="O171" s="24">
        <f>IFERROR(BDH(Database!$A171&amp;" HK Equity","PE_RATIO",Database!$H171,Database!$H171),"")</f>
        <v/>
      </c>
      <c r="P171" s="101">
        <f>IF(Database!BE171="","(n/m or not derivable)",Database!BE171)</f>
        <v/>
      </c>
      <c r="Q171" s="24">
        <f>IF(Database!BK171="","",IFERROR(BDH(LEFT(Database!BK171,FIND(".",Database!BK171)-1)&amp;" CH Equity","PE_RATIO",Database!$H171,Database!$H171),""))</f>
        <v/>
      </c>
      <c r="R171" s="24">
        <f>IF(Database!BK171="","",IFERROR(BDH("HSAHP Index","PX_LAST",Database!$H171,Database!$H171),""))</f>
        <v/>
      </c>
      <c r="S171" s="24">
        <f>IFERROR(BDP(Database!$A171&amp;" HK Equity","PX_TO_SALES_RATIO"),"")</f>
        <v/>
      </c>
      <c r="T171" s="18">
        <f>IF(Database!BK171="","",IFERROR(BDP(LEFT(Database!BK171,FIND(".",Database!BK171)-1)&amp;"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Database!AF172</f>
        <v/>
      </c>
      <c r="J172" s="24">
        <f>IFERROR(BDP(Database!$A172&amp;" HK Equity","PE_RATIO"),"")</f>
        <v/>
      </c>
      <c r="K172" s="10">
        <f>IFERROR(BDP(Database!$A172&amp;" HK Equity","A/H_SHARE_CONVERSION"),"")</f>
        <v/>
      </c>
      <c r="L172" s="16">
        <f>IF(Database!BK172="","(none found)",Database!BK172)</f>
        <v/>
      </c>
      <c r="M172" s="18">
        <f>IFERROR(BDH(Database!$A172&amp;" HK Equity","CUR_MKT_CAP",Database!$H172,Database!$H172),"")</f>
        <v/>
      </c>
      <c r="N172" s="97">
        <f>Database!Q172</f>
        <v/>
      </c>
      <c r="O172" s="24">
        <f>IFERROR(BDH(Database!$A172&amp;" HK Equity","PE_RATIO",Database!$H172,Database!$H172),"")</f>
        <v/>
      </c>
      <c r="P172" s="101">
        <f>IF(Database!BE172="","(n/m or not derivable)",Database!BE172)</f>
        <v/>
      </c>
      <c r="Q172" s="24">
        <f>IF(Database!BK172="","",IFERROR(BDH(LEFT(Database!BK172,FIND(".",Database!BK172)-1)&amp;" CH Equity","PE_RATIO",Database!$H172,Database!$H172),""))</f>
        <v/>
      </c>
      <c r="R172" s="24">
        <f>IF(Database!BK172="","",IFERROR(BDH("HSAHP Index","PX_LAST",Database!$H172,Database!$H172),""))</f>
        <v/>
      </c>
      <c r="S172" s="24">
        <f>IFERROR(BDP(Database!$A172&amp;" HK Equity","PX_TO_SALES_RATIO"),"")</f>
        <v/>
      </c>
      <c r="T172" s="18">
        <f>IF(Database!BK172="","",IFERROR(BDP(LEFT(Database!BK172,FIND(".",Database!BK172)-1)&amp;"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Database!AF173</f>
        <v/>
      </c>
      <c r="J173" s="24">
        <f>IFERROR(BDP(Database!$A173&amp;" HK Equity","PE_RATIO"),"")</f>
        <v/>
      </c>
      <c r="K173" s="10">
        <f>IFERROR(BDP(Database!$A173&amp;" HK Equity","A/H_SHARE_CONVERSION"),"")</f>
        <v/>
      </c>
      <c r="L173" s="16">
        <f>IF(Database!BK173="","(none found)",Database!BK173)</f>
        <v/>
      </c>
      <c r="M173" s="18">
        <f>IFERROR(BDH(Database!$A173&amp;" HK Equity","CUR_MKT_CAP",Database!$H173,Database!$H173),"")</f>
        <v/>
      </c>
      <c r="N173" s="97">
        <f>Database!Q173</f>
        <v/>
      </c>
      <c r="O173" s="24">
        <f>IFERROR(BDH(Database!$A173&amp;" HK Equity","PE_RATIO",Database!$H173,Database!$H173),"")</f>
        <v/>
      </c>
      <c r="P173" s="101">
        <f>IF(Database!BE173="","(n/m or not derivable)",Database!BE173)</f>
        <v/>
      </c>
      <c r="Q173" s="24">
        <f>IF(Database!BK173="","",IFERROR(BDH(LEFT(Database!BK173,FIND(".",Database!BK173)-1)&amp;" CH Equity","PE_RATIO",Database!$H173,Database!$H173),""))</f>
        <v/>
      </c>
      <c r="R173" s="24">
        <f>IF(Database!BK173="","",IFERROR(BDH("HSAHP Index","PX_LAST",Database!$H173,Database!$H173),""))</f>
        <v/>
      </c>
      <c r="S173" s="24">
        <f>IFERROR(BDP(Database!$A173&amp;" HK Equity","PX_TO_SALES_RATIO"),"")</f>
        <v/>
      </c>
      <c r="T173" s="18">
        <f>IF(Database!BK173="","",IFERROR(BDP(LEFT(Database!BK173,FIND(".",Database!BK173)-1)&amp;"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Database!AF174</f>
        <v/>
      </c>
      <c r="J174" s="24">
        <f>IFERROR(BDP(Database!$A174&amp;" HK Equity","PE_RATIO"),"")</f>
        <v/>
      </c>
      <c r="K174" s="10">
        <f>IFERROR(BDP(Database!$A174&amp;" HK Equity","A/H_SHARE_CONVERSION"),"")</f>
        <v/>
      </c>
      <c r="L174" s="16">
        <f>IF(Database!BK174="","(none found)",Database!BK174)</f>
        <v/>
      </c>
      <c r="M174" s="18">
        <f>IFERROR(BDH(Database!$A174&amp;" HK Equity","CUR_MKT_CAP",Database!$H174,Database!$H174),"")</f>
        <v/>
      </c>
      <c r="N174" s="97">
        <f>Database!Q174</f>
        <v/>
      </c>
      <c r="O174" s="24">
        <f>IFERROR(BDH(Database!$A174&amp;" HK Equity","PE_RATIO",Database!$H174,Database!$H174),"")</f>
        <v/>
      </c>
      <c r="P174" s="101">
        <f>IF(Database!BE174="","(n/m or not derivable)",Database!BE174)</f>
        <v/>
      </c>
      <c r="Q174" s="24">
        <f>IF(Database!BK174="","",IFERROR(BDH(LEFT(Database!BK174,FIND(".",Database!BK174)-1)&amp;" CH Equity","PE_RATIO",Database!$H174,Database!$H174),""))</f>
        <v/>
      </c>
      <c r="R174" s="24">
        <f>IF(Database!BK174="","",IFERROR(BDH("HSAHP Index","PX_LAST",Database!$H174,Database!$H174),""))</f>
        <v/>
      </c>
      <c r="S174" s="24">
        <f>IFERROR(BDP(Database!$A174&amp;" HK Equity","PX_TO_SALES_RATIO"),"")</f>
        <v/>
      </c>
      <c r="T174" s="18">
        <f>IF(Database!BK174="","",IFERROR(BDP(LEFT(Database!BK174,FIND(".",Database!BK174)-1)&amp;"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Database!AF175</f>
        <v/>
      </c>
      <c r="J175" s="24">
        <f>IFERROR(BDP(Database!$A175&amp;" HK Equity","PE_RATIO"),"")</f>
        <v/>
      </c>
      <c r="K175" s="10">
        <f>IFERROR(BDP(Database!$A175&amp;" HK Equity","A/H_SHARE_CONVERSION"),"")</f>
        <v/>
      </c>
      <c r="L175" s="16">
        <f>IF(Database!BK175="","(none found)",Database!BK175)</f>
        <v/>
      </c>
      <c r="M175" s="18">
        <f>IFERROR(BDH(Database!$A175&amp;" HK Equity","CUR_MKT_CAP",Database!$H175,Database!$H175),"")</f>
        <v/>
      </c>
      <c r="N175" s="97">
        <f>Database!Q175</f>
        <v/>
      </c>
      <c r="O175" s="24">
        <f>IFERROR(BDH(Database!$A175&amp;" HK Equity","PE_RATIO",Database!$H175,Database!$H175),"")</f>
        <v/>
      </c>
      <c r="P175" s="101">
        <f>IF(Database!BE175="","(n/m or not derivable)",Database!BE175)</f>
        <v/>
      </c>
      <c r="Q175" s="24">
        <f>IF(Database!BK175="","",IFERROR(BDH(LEFT(Database!BK175,FIND(".",Database!BK175)-1)&amp;" CH Equity","PE_RATIO",Database!$H175,Database!$H175),""))</f>
        <v/>
      </c>
      <c r="R175" s="24">
        <f>IF(Database!BK175="","",IFERROR(BDH("HSAHP Index","PX_LAST",Database!$H175,Database!$H175),""))</f>
        <v/>
      </c>
      <c r="S175" s="24">
        <f>IFERROR(BDP(Database!$A175&amp;" HK Equity","PX_TO_SALES_RATIO"),"")</f>
        <v/>
      </c>
      <c r="T175" s="18">
        <f>IF(Database!BK175="","",IFERROR(BDP(LEFT(Database!BK175,FIND(".",Database!BK175)-1)&amp;"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Database!AF176</f>
        <v/>
      </c>
      <c r="J176" s="24">
        <f>IFERROR(BDP(Database!$A176&amp;" HK Equity","PE_RATIO"),"")</f>
        <v/>
      </c>
      <c r="K176" s="10">
        <f>IFERROR(BDP(Database!$A176&amp;" HK Equity","A/H_SHARE_CONVERSION"),"")</f>
        <v/>
      </c>
      <c r="L176" s="16">
        <f>IF(Database!BK176="","(none found)",Database!BK176)</f>
        <v/>
      </c>
      <c r="M176" s="18">
        <f>IFERROR(BDH(Database!$A176&amp;" HK Equity","CUR_MKT_CAP",Database!$H176,Database!$H176),"")</f>
        <v/>
      </c>
      <c r="N176" s="97">
        <f>Database!Q176</f>
        <v/>
      </c>
      <c r="O176" s="24">
        <f>IFERROR(BDH(Database!$A176&amp;" HK Equity","PE_RATIO",Database!$H176,Database!$H176),"")</f>
        <v/>
      </c>
      <c r="P176" s="101">
        <f>IF(Database!BE176="","(n/m or not derivable)",Database!BE176)</f>
        <v/>
      </c>
      <c r="Q176" s="24">
        <f>IF(Database!BK176="","",IFERROR(BDH(LEFT(Database!BK176,FIND(".",Database!BK176)-1)&amp;" CH Equity","PE_RATIO",Database!$H176,Database!$H176),""))</f>
        <v/>
      </c>
      <c r="R176" s="24">
        <f>IF(Database!BK176="","",IFERROR(BDH("HSAHP Index","PX_LAST",Database!$H176,Database!$H176),""))</f>
        <v/>
      </c>
      <c r="S176" s="24">
        <f>IFERROR(BDP(Database!$A176&amp;" HK Equity","PX_TO_SALES_RATIO"),"")</f>
        <v/>
      </c>
      <c r="T176" s="18">
        <f>IF(Database!BK176="","",IFERROR(BDP(LEFT(Database!BK176,FIND(".",Database!BK176)-1)&amp;"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Database!AF177</f>
        <v/>
      </c>
      <c r="J177" s="24">
        <f>IFERROR(BDP(Database!$A177&amp;" HK Equity","PE_RATIO"),"")</f>
        <v/>
      </c>
      <c r="K177" s="10">
        <f>IFERROR(BDP(Database!$A177&amp;" HK Equity","A/H_SHARE_CONVERSION"),"")</f>
        <v/>
      </c>
      <c r="L177" s="16">
        <f>IF(Database!BK177="","(none found)",Database!BK177)</f>
        <v/>
      </c>
      <c r="M177" s="18">
        <f>IFERROR(BDH(Database!$A177&amp;" HK Equity","CUR_MKT_CAP",Database!$H177,Database!$H177),"")</f>
        <v/>
      </c>
      <c r="N177" s="97">
        <f>Database!Q177</f>
        <v/>
      </c>
      <c r="O177" s="24">
        <f>IFERROR(BDH(Database!$A177&amp;" HK Equity","PE_RATIO",Database!$H177,Database!$H177),"")</f>
        <v/>
      </c>
      <c r="P177" s="101">
        <f>IF(Database!BE177="","(n/m or not derivable)",Database!BE177)</f>
        <v/>
      </c>
      <c r="Q177" s="24">
        <f>IF(Database!BK177="","",IFERROR(BDH(LEFT(Database!BK177,FIND(".",Database!BK177)-1)&amp;" CH Equity","PE_RATIO",Database!$H177,Database!$H177),""))</f>
        <v/>
      </c>
      <c r="R177" s="24">
        <f>IF(Database!BK177="","",IFERROR(BDH("HSAHP Index","PX_LAST",Database!$H177,Database!$H177),""))</f>
        <v/>
      </c>
      <c r="S177" s="24">
        <f>IFERROR(BDP(Database!$A177&amp;" HK Equity","PX_TO_SALES_RATIO"),"")</f>
        <v/>
      </c>
      <c r="T177" s="18">
        <f>IF(Database!BK177="","",IFERROR(BDP(LEFT(Database!BK177,FIND(".",Database!BK177)-1)&amp;"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Database!AF178</f>
        <v/>
      </c>
      <c r="J178" s="24">
        <f>IFERROR(BDP(Database!$A178&amp;" HK Equity","PE_RATIO"),"")</f>
        <v/>
      </c>
      <c r="K178" s="10">
        <f>IFERROR(BDP(Database!$A178&amp;" HK Equity","A/H_SHARE_CONVERSION"),"")</f>
        <v/>
      </c>
      <c r="L178" s="16">
        <f>IF(Database!BK178="","(none found)",Database!BK178)</f>
        <v/>
      </c>
      <c r="M178" s="18">
        <f>IFERROR(BDH(Database!$A178&amp;" HK Equity","CUR_MKT_CAP",Database!$H178,Database!$H178),"")</f>
        <v/>
      </c>
      <c r="N178" s="97">
        <f>Database!Q178</f>
        <v/>
      </c>
      <c r="O178" s="24">
        <f>IFERROR(BDH(Database!$A178&amp;" HK Equity","PE_RATIO",Database!$H178,Database!$H178),"")</f>
        <v/>
      </c>
      <c r="P178" s="101">
        <f>IF(Database!BE178="","(n/m or not derivable)",Database!BE178)</f>
        <v/>
      </c>
      <c r="Q178" s="24">
        <f>IF(Database!BK178="","",IFERROR(BDH(LEFT(Database!BK178,FIND(".",Database!BK178)-1)&amp;" CH Equity","PE_RATIO",Database!$H178,Database!$H178),""))</f>
        <v/>
      </c>
      <c r="R178" s="24">
        <f>IF(Database!BK178="","",IFERROR(BDH("HSAHP Index","PX_LAST",Database!$H178,Database!$H178),""))</f>
        <v/>
      </c>
      <c r="S178" s="24">
        <f>IFERROR(BDP(Database!$A178&amp;" HK Equity","PX_TO_SALES_RATIO"),"")</f>
        <v/>
      </c>
      <c r="T178" s="18">
        <f>IF(Database!BK178="","",IFERROR(BDP(LEFT(Database!BK178,FIND(".",Database!BK178)-1)&amp;"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Database!AF179</f>
        <v/>
      </c>
      <c r="J179" s="24">
        <f>IFERROR(BDP(Database!$A179&amp;" HK Equity","PE_RATIO"),"")</f>
        <v/>
      </c>
      <c r="K179" s="10">
        <f>IFERROR(BDP(Database!$A179&amp;" HK Equity","A/H_SHARE_CONVERSION"),"")</f>
        <v/>
      </c>
      <c r="L179" s="16">
        <f>IF(Database!BK179="","(none found)",Database!BK179)</f>
        <v/>
      </c>
      <c r="M179" s="18">
        <f>IFERROR(BDH(Database!$A179&amp;" HK Equity","CUR_MKT_CAP",Database!$H179,Database!$H179),"")</f>
        <v/>
      </c>
      <c r="N179" s="97">
        <f>Database!Q179</f>
        <v/>
      </c>
      <c r="O179" s="24">
        <f>IFERROR(BDH(Database!$A179&amp;" HK Equity","PE_RATIO",Database!$H179,Database!$H179),"")</f>
        <v/>
      </c>
      <c r="P179" s="101">
        <f>IF(Database!BE179="","(n/m or not derivable)",Database!BE179)</f>
        <v/>
      </c>
      <c r="Q179" s="24">
        <f>IF(Database!BK179="","",IFERROR(BDH(LEFT(Database!BK179,FIND(".",Database!BK179)-1)&amp;" CH Equity","PE_RATIO",Database!$H179,Database!$H179),""))</f>
        <v/>
      </c>
      <c r="R179" s="24">
        <f>IF(Database!BK179="","",IFERROR(BDH("HSAHP Index","PX_LAST",Database!$H179,Database!$H179),""))</f>
        <v/>
      </c>
      <c r="S179" s="24">
        <f>IFERROR(BDP(Database!$A179&amp;" HK Equity","PX_TO_SALES_RATIO"),"")</f>
        <v/>
      </c>
      <c r="T179" s="18">
        <f>IF(Database!BK179="","",IFERROR(BDP(LEFT(Database!BK179,FIND(".",Database!BK179)-1)&amp;"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Database!AF180</f>
        <v/>
      </c>
      <c r="J180" s="24">
        <f>IFERROR(BDP(Database!$A180&amp;" HK Equity","PE_RATIO"),"")</f>
        <v/>
      </c>
      <c r="K180" s="10">
        <f>IFERROR(BDP(Database!$A180&amp;" HK Equity","A/H_SHARE_CONVERSION"),"")</f>
        <v/>
      </c>
      <c r="L180" s="16">
        <f>IF(Database!BK180="","(none found)",Database!BK180)</f>
        <v/>
      </c>
      <c r="M180" s="18">
        <f>IFERROR(BDH(Database!$A180&amp;" HK Equity","CUR_MKT_CAP",Database!$H180,Database!$H180),"")</f>
        <v/>
      </c>
      <c r="N180" s="97">
        <f>Database!Q180</f>
        <v/>
      </c>
      <c r="O180" s="24">
        <f>IFERROR(BDH(Database!$A180&amp;" HK Equity","PE_RATIO",Database!$H180,Database!$H180),"")</f>
        <v/>
      </c>
      <c r="P180" s="101">
        <f>IF(Database!BE180="","(n/m or not derivable)",Database!BE180)</f>
        <v/>
      </c>
      <c r="Q180" s="24">
        <f>IF(Database!BK180="","",IFERROR(BDH(LEFT(Database!BK180,FIND(".",Database!BK180)-1)&amp;" CH Equity","PE_RATIO",Database!$H180,Database!$H180),""))</f>
        <v/>
      </c>
      <c r="R180" s="24">
        <f>IF(Database!BK180="","",IFERROR(BDH("HSAHP Index","PX_LAST",Database!$H180,Database!$H180),""))</f>
        <v/>
      </c>
      <c r="S180" s="24">
        <f>IFERROR(BDP(Database!$A180&amp;" HK Equity","PX_TO_SALES_RATIO"),"")</f>
        <v/>
      </c>
      <c r="T180" s="18">
        <f>IF(Database!BK180="","",IFERROR(BDP(LEFT(Database!BK180,FIND(".",Database!BK180)-1)&amp;"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Database!AF181</f>
        <v/>
      </c>
      <c r="J181" s="24">
        <f>IFERROR(BDP(Database!$A181&amp;" HK Equity","PE_RATIO"),"")</f>
        <v/>
      </c>
      <c r="K181" s="10">
        <f>IFERROR(BDP(Database!$A181&amp;" HK Equity","A/H_SHARE_CONVERSION"),"")</f>
        <v/>
      </c>
      <c r="L181" s="16">
        <f>IF(Database!BK181="","(none found)",Database!BK181)</f>
        <v/>
      </c>
      <c r="M181" s="18">
        <f>IFERROR(BDH(Database!$A181&amp;" HK Equity","CUR_MKT_CAP",Database!$H181,Database!$H181),"")</f>
        <v/>
      </c>
      <c r="N181" s="97">
        <f>Database!Q181</f>
        <v/>
      </c>
      <c r="O181" s="24">
        <f>IFERROR(BDH(Database!$A181&amp;" HK Equity","PE_RATIO",Database!$H181,Database!$H181),"")</f>
        <v/>
      </c>
      <c r="P181" s="101">
        <f>IF(Database!BE181="","(n/m or not derivable)",Database!BE181)</f>
        <v/>
      </c>
      <c r="Q181" s="24">
        <f>IF(Database!BK181="","",IFERROR(BDH(LEFT(Database!BK181,FIND(".",Database!BK181)-1)&amp;" CH Equity","PE_RATIO",Database!$H181,Database!$H181),""))</f>
        <v/>
      </c>
      <c r="R181" s="24">
        <f>IF(Database!BK181="","",IFERROR(BDH("HSAHP Index","PX_LAST",Database!$H181,Database!$H181),""))</f>
        <v/>
      </c>
      <c r="S181" s="24">
        <f>IFERROR(BDP(Database!$A181&amp;" HK Equity","PX_TO_SALES_RATIO"),"")</f>
        <v/>
      </c>
      <c r="T181" s="18">
        <f>IF(Database!BK181="","",IFERROR(BDP(LEFT(Database!BK181,FIND(".",Database!BK181)-1)&amp;"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Database!AF182</f>
        <v/>
      </c>
      <c r="J182" s="24">
        <f>IFERROR(BDP(Database!$A182&amp;" HK Equity","PE_RATIO"),"")</f>
        <v/>
      </c>
      <c r="K182" s="10">
        <f>IFERROR(BDP(Database!$A182&amp;" HK Equity","A/H_SHARE_CONVERSION"),"")</f>
        <v/>
      </c>
      <c r="L182" s="16">
        <f>IF(Database!BK182="","(none found)",Database!BK182)</f>
        <v/>
      </c>
      <c r="M182" s="18">
        <f>IFERROR(BDH(Database!$A182&amp;" HK Equity","CUR_MKT_CAP",Database!$H182,Database!$H182),"")</f>
        <v/>
      </c>
      <c r="N182" s="97">
        <f>Database!Q182</f>
        <v/>
      </c>
      <c r="O182" s="24">
        <f>IFERROR(BDH(Database!$A182&amp;" HK Equity","PE_RATIO",Database!$H182,Database!$H182),"")</f>
        <v/>
      </c>
      <c r="P182" s="101">
        <f>IF(Database!BE182="","(n/m or not derivable)",Database!BE182)</f>
        <v/>
      </c>
      <c r="Q182" s="24">
        <f>IF(Database!BK182="","",IFERROR(BDH(LEFT(Database!BK182,FIND(".",Database!BK182)-1)&amp;" CH Equity","PE_RATIO",Database!$H182,Database!$H182),""))</f>
        <v/>
      </c>
      <c r="R182" s="24">
        <f>IF(Database!BK182="","",IFERROR(BDH("HSAHP Index","PX_LAST",Database!$H182,Database!$H182),""))</f>
        <v/>
      </c>
      <c r="S182" s="24">
        <f>IFERROR(BDP(Database!$A182&amp;" HK Equity","PX_TO_SALES_RATIO"),"")</f>
        <v/>
      </c>
      <c r="T182" s="18">
        <f>IF(Database!BK182="","",IFERROR(BDP(LEFT(Database!BK182,FIND(".",Database!BK182)-1)&amp;"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Database!AF183</f>
        <v/>
      </c>
      <c r="J183" s="24">
        <f>IFERROR(BDP(Database!$A183&amp;" HK Equity","PE_RATIO"),"")</f>
        <v/>
      </c>
      <c r="K183" s="10">
        <f>IFERROR(BDP(Database!$A183&amp;" HK Equity","A/H_SHARE_CONVERSION"),"")</f>
        <v/>
      </c>
      <c r="L183" s="16">
        <f>IF(Database!BK183="","(none found)",Database!BK183)</f>
        <v/>
      </c>
      <c r="M183" s="18">
        <f>IFERROR(BDH(Database!$A183&amp;" HK Equity","CUR_MKT_CAP",Database!$H183,Database!$H183),"")</f>
        <v/>
      </c>
      <c r="N183" s="97">
        <f>Database!Q183</f>
        <v/>
      </c>
      <c r="O183" s="24">
        <f>IFERROR(BDH(Database!$A183&amp;" HK Equity","PE_RATIO",Database!$H183,Database!$H183),"")</f>
        <v/>
      </c>
      <c r="P183" s="101">
        <f>IF(Database!BE183="","(n/m or not derivable)",Database!BE183)</f>
        <v/>
      </c>
      <c r="Q183" s="24">
        <f>IF(Database!BK183="","",IFERROR(BDH(LEFT(Database!BK183,FIND(".",Database!BK183)-1)&amp;" CH Equity","PE_RATIO",Database!$H183,Database!$H183),""))</f>
        <v/>
      </c>
      <c r="R183" s="24">
        <f>IF(Database!BK183="","",IFERROR(BDH("HSAHP Index","PX_LAST",Database!$H183,Database!$H183),""))</f>
        <v/>
      </c>
      <c r="S183" s="24">
        <f>IFERROR(BDP(Database!$A183&amp;" HK Equity","PX_TO_SALES_RATIO"),"")</f>
        <v/>
      </c>
      <c r="T183" s="18">
        <f>IF(Database!BK183="","",IFERROR(BDP(LEFT(Database!BK183,FIND(".",Database!BK183)-1)&amp;"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Database!AF184</f>
        <v/>
      </c>
      <c r="J184" s="24">
        <f>IFERROR(BDP(Database!$A184&amp;" HK Equity","PE_RATIO"),"")</f>
        <v/>
      </c>
      <c r="K184" s="10">
        <f>IFERROR(BDP(Database!$A184&amp;" HK Equity","A/H_SHARE_CONVERSION"),"")</f>
        <v/>
      </c>
      <c r="L184" s="16">
        <f>IF(Database!BK184="","(none found)",Database!BK184)</f>
        <v/>
      </c>
      <c r="M184" s="18">
        <f>IFERROR(BDH(Database!$A184&amp;" HK Equity","CUR_MKT_CAP",Database!$H184,Database!$H184),"")</f>
        <v/>
      </c>
      <c r="N184" s="97">
        <f>Database!Q184</f>
        <v/>
      </c>
      <c r="O184" s="24">
        <f>IFERROR(BDH(Database!$A184&amp;" HK Equity","PE_RATIO",Database!$H184,Database!$H184),"")</f>
        <v/>
      </c>
      <c r="P184" s="101">
        <f>IF(Database!BE184="","(n/m or not derivable)",Database!BE184)</f>
        <v/>
      </c>
      <c r="Q184" s="24">
        <f>IF(Database!BK184="","",IFERROR(BDH(LEFT(Database!BK184,FIND(".",Database!BK184)-1)&amp;" CH Equity","PE_RATIO",Database!$H184,Database!$H184),""))</f>
        <v/>
      </c>
      <c r="R184" s="24">
        <f>IF(Database!BK184="","",IFERROR(BDH("HSAHP Index","PX_LAST",Database!$H184,Database!$H184),""))</f>
        <v/>
      </c>
      <c r="S184" s="24">
        <f>IFERROR(BDP(Database!$A184&amp;" HK Equity","PX_TO_SALES_RATIO"),"")</f>
        <v/>
      </c>
      <c r="T184" s="18">
        <f>IF(Database!BK184="","",IFERROR(BDP(LEFT(Database!BK184,FIND(".",Database!BK184)-1)&amp;"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Database!AF185</f>
        <v/>
      </c>
      <c r="J185" s="24">
        <f>IFERROR(BDP(Database!$A185&amp;" HK Equity","PE_RATIO"),"")</f>
        <v/>
      </c>
      <c r="K185" s="10">
        <f>IFERROR(BDP(Database!$A185&amp;" HK Equity","A/H_SHARE_CONVERSION"),"")</f>
        <v/>
      </c>
      <c r="L185" s="16">
        <f>IF(Database!BK185="","(none found)",Database!BK185)</f>
        <v/>
      </c>
      <c r="M185" s="18">
        <f>IFERROR(BDH(Database!$A185&amp;" HK Equity","CUR_MKT_CAP",Database!$H185,Database!$H185),"")</f>
        <v/>
      </c>
      <c r="N185" s="97">
        <f>Database!Q185</f>
        <v/>
      </c>
      <c r="O185" s="24">
        <f>IFERROR(BDH(Database!$A185&amp;" HK Equity","PE_RATIO",Database!$H185,Database!$H185),"")</f>
        <v/>
      </c>
      <c r="P185" s="101">
        <f>IF(Database!BE185="","(n/m or not derivable)",Database!BE185)</f>
        <v/>
      </c>
      <c r="Q185" s="24">
        <f>IF(Database!BK185="","",IFERROR(BDH(LEFT(Database!BK185,FIND(".",Database!BK185)-1)&amp;" CH Equity","PE_RATIO",Database!$H185,Database!$H185),""))</f>
        <v/>
      </c>
      <c r="R185" s="24">
        <f>IF(Database!BK185="","",IFERROR(BDH("HSAHP Index","PX_LAST",Database!$H185,Database!$H185),""))</f>
        <v/>
      </c>
      <c r="S185" s="24">
        <f>IFERROR(BDP(Database!$A185&amp;" HK Equity","PX_TO_SALES_RATIO"),"")</f>
        <v/>
      </c>
      <c r="T185" s="18">
        <f>IF(Database!BK185="","",IFERROR(BDP(LEFT(Database!BK185,FIND(".",Database!BK185)-1)&amp;"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Database!AF186</f>
        <v/>
      </c>
      <c r="J186" s="24">
        <f>IFERROR(BDP(Database!$A186&amp;" HK Equity","PE_RATIO"),"")</f>
        <v/>
      </c>
      <c r="K186" s="10">
        <f>IFERROR(BDP(Database!$A186&amp;" HK Equity","A/H_SHARE_CONVERSION"),"")</f>
        <v/>
      </c>
      <c r="L186" s="16">
        <f>IF(Database!BK186="","(none found)",Database!BK186)</f>
        <v/>
      </c>
      <c r="M186" s="18">
        <f>IFERROR(BDH(Database!$A186&amp;" HK Equity","CUR_MKT_CAP",Database!$H186,Database!$H186),"")</f>
        <v/>
      </c>
      <c r="N186" s="97">
        <f>Database!Q186</f>
        <v/>
      </c>
      <c r="O186" s="24">
        <f>IFERROR(BDH(Database!$A186&amp;" HK Equity","PE_RATIO",Database!$H186,Database!$H186),"")</f>
        <v/>
      </c>
      <c r="P186" s="101">
        <f>IF(Database!BE186="","(n/m or not derivable)",Database!BE186)</f>
        <v/>
      </c>
      <c r="Q186" s="24">
        <f>IF(Database!BK186="","",IFERROR(BDH(LEFT(Database!BK186,FIND(".",Database!BK186)-1)&amp;" CH Equity","PE_RATIO",Database!$H186,Database!$H186),""))</f>
        <v/>
      </c>
      <c r="R186" s="24">
        <f>IF(Database!BK186="","",IFERROR(BDH("HSAHP Index","PX_LAST",Database!$H186,Database!$H186),""))</f>
        <v/>
      </c>
      <c r="S186" s="24">
        <f>IFERROR(BDP(Database!$A186&amp;" HK Equity","PX_TO_SALES_RATIO"),"")</f>
        <v/>
      </c>
      <c r="T186" s="18">
        <f>IF(Database!BK186="","",IFERROR(BDP(LEFT(Database!BK186,FIND(".",Database!BK186)-1)&amp;"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Database!AF187</f>
        <v/>
      </c>
      <c r="J187" s="24">
        <f>IFERROR(BDP(Database!$A187&amp;" HK Equity","PE_RATIO"),"")</f>
        <v/>
      </c>
      <c r="K187" s="10">
        <f>IFERROR(BDP(Database!$A187&amp;" HK Equity","A/H_SHARE_CONVERSION"),"")</f>
        <v/>
      </c>
      <c r="L187" s="16">
        <f>IF(Database!BK187="","(none found)",Database!BK187)</f>
        <v/>
      </c>
      <c r="M187" s="18">
        <f>IFERROR(BDH(Database!$A187&amp;" HK Equity","CUR_MKT_CAP",Database!$H187,Database!$H187),"")</f>
        <v/>
      </c>
      <c r="N187" s="97">
        <f>Database!Q187</f>
        <v/>
      </c>
      <c r="O187" s="24">
        <f>IFERROR(BDH(Database!$A187&amp;" HK Equity","PE_RATIO",Database!$H187,Database!$H187),"")</f>
        <v/>
      </c>
      <c r="P187" s="101">
        <f>IF(Database!BE187="","(n/m or not derivable)",Database!BE187)</f>
        <v/>
      </c>
      <c r="Q187" s="24">
        <f>IF(Database!BK187="","",IFERROR(BDH(LEFT(Database!BK187,FIND(".",Database!BK187)-1)&amp;" CH Equity","PE_RATIO",Database!$H187,Database!$H187),""))</f>
        <v/>
      </c>
      <c r="R187" s="24">
        <f>IF(Database!BK187="","",IFERROR(BDH("HSAHP Index","PX_LAST",Database!$H187,Database!$H187),""))</f>
        <v/>
      </c>
      <c r="S187" s="24">
        <f>IFERROR(BDP(Database!$A187&amp;" HK Equity","PX_TO_SALES_RATIO"),"")</f>
        <v/>
      </c>
      <c r="T187" s="18">
        <f>IF(Database!BK187="","",IFERROR(BDP(LEFT(Database!BK187,FIND(".",Database!BK187)-1)&amp;"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Database!AF188</f>
        <v/>
      </c>
      <c r="J188" s="24">
        <f>IFERROR(BDP(Database!$A188&amp;" HK Equity","PE_RATIO"),"")</f>
        <v/>
      </c>
      <c r="K188" s="10">
        <f>IFERROR(BDP(Database!$A188&amp;" HK Equity","A/H_SHARE_CONVERSION"),"")</f>
        <v/>
      </c>
      <c r="L188" s="16">
        <f>IF(Database!BK188="","(none found)",Database!BK188)</f>
        <v/>
      </c>
      <c r="M188" s="18">
        <f>IFERROR(BDH(Database!$A188&amp;" HK Equity","CUR_MKT_CAP",Database!$H188,Database!$H188),"")</f>
        <v/>
      </c>
      <c r="N188" s="97">
        <f>Database!Q188</f>
        <v/>
      </c>
      <c r="O188" s="24">
        <f>IFERROR(BDH(Database!$A188&amp;" HK Equity","PE_RATIO",Database!$H188,Database!$H188),"")</f>
        <v/>
      </c>
      <c r="P188" s="101">
        <f>IF(Database!BE188="","(n/m or not derivable)",Database!BE188)</f>
        <v/>
      </c>
      <c r="Q188" s="24">
        <f>IF(Database!BK188="","",IFERROR(BDH(LEFT(Database!BK188,FIND(".",Database!BK188)-1)&amp;" CH Equity","PE_RATIO",Database!$H188,Database!$H188),""))</f>
        <v/>
      </c>
      <c r="R188" s="24">
        <f>IF(Database!BK188="","",IFERROR(BDH("HSAHP Index","PX_LAST",Database!$H188,Database!$H188),""))</f>
        <v/>
      </c>
      <c r="S188" s="24">
        <f>IFERROR(BDP(Database!$A188&amp;" HK Equity","PX_TO_SALES_RATIO"),"")</f>
        <v/>
      </c>
      <c r="T188" s="18">
        <f>IF(Database!BK188="","",IFERROR(BDP(LEFT(Database!BK188,FIND(".",Database!BK188)-1)&amp;"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Database!AF189</f>
        <v/>
      </c>
      <c r="J189" s="24">
        <f>IFERROR(BDP(Database!$A189&amp;" HK Equity","PE_RATIO"),"")</f>
        <v/>
      </c>
      <c r="K189" s="10">
        <f>IFERROR(BDP(Database!$A189&amp;" HK Equity","A/H_SHARE_CONVERSION"),"")</f>
        <v/>
      </c>
      <c r="L189" s="16">
        <f>IF(Database!BK189="","(none found)",Database!BK189)</f>
        <v/>
      </c>
      <c r="M189" s="18">
        <f>IFERROR(BDH(Database!$A189&amp;" HK Equity","CUR_MKT_CAP",Database!$H189,Database!$H189),"")</f>
        <v/>
      </c>
      <c r="N189" s="97">
        <f>Database!Q189</f>
        <v/>
      </c>
      <c r="O189" s="24">
        <f>IFERROR(BDH(Database!$A189&amp;" HK Equity","PE_RATIO",Database!$H189,Database!$H189),"")</f>
        <v/>
      </c>
      <c r="P189" s="101">
        <f>IF(Database!BE189="","(n/m or not derivable)",Database!BE189)</f>
        <v/>
      </c>
      <c r="Q189" s="24">
        <f>IF(Database!BK189="","",IFERROR(BDH(LEFT(Database!BK189,FIND(".",Database!BK189)-1)&amp;" CH Equity","PE_RATIO",Database!$H189,Database!$H189),""))</f>
        <v/>
      </c>
      <c r="R189" s="24">
        <f>IF(Database!BK189="","",IFERROR(BDH("HSAHP Index","PX_LAST",Database!$H189,Database!$H189),""))</f>
        <v/>
      </c>
      <c r="S189" s="24">
        <f>IFERROR(BDP(Database!$A189&amp;" HK Equity","PX_TO_SALES_RATIO"),"")</f>
        <v/>
      </c>
      <c r="T189" s="18">
        <f>IF(Database!BK189="","",IFERROR(BDP(LEFT(Database!BK189,FIND(".",Database!BK189)-1)&amp;"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Database!AF190</f>
        <v/>
      </c>
      <c r="J190" s="24">
        <f>IFERROR(BDP(Database!$A190&amp;" HK Equity","PE_RATIO"),"")</f>
        <v/>
      </c>
      <c r="K190" s="10">
        <f>IFERROR(BDP(Database!$A190&amp;" HK Equity","A/H_SHARE_CONVERSION"),"")</f>
        <v/>
      </c>
      <c r="L190" s="16">
        <f>IF(Database!BK190="","(none found)",Database!BK190)</f>
        <v/>
      </c>
      <c r="M190" s="18">
        <f>IFERROR(BDH(Database!$A190&amp;" HK Equity","CUR_MKT_CAP",Database!$H190,Database!$H190),"")</f>
        <v/>
      </c>
      <c r="N190" s="97">
        <f>Database!Q190</f>
        <v/>
      </c>
      <c r="O190" s="24">
        <f>IFERROR(BDH(Database!$A190&amp;" HK Equity","PE_RATIO",Database!$H190,Database!$H190),"")</f>
        <v/>
      </c>
      <c r="P190" s="101">
        <f>IF(Database!BE190="","(n/m or not derivable)",Database!BE190)</f>
        <v/>
      </c>
      <c r="Q190" s="24">
        <f>IF(Database!BK190="","",IFERROR(BDH(LEFT(Database!BK190,FIND(".",Database!BK190)-1)&amp;" CH Equity","PE_RATIO",Database!$H190,Database!$H190),""))</f>
        <v/>
      </c>
      <c r="R190" s="24">
        <f>IF(Database!BK190="","",IFERROR(BDH("HSAHP Index","PX_LAST",Database!$H190,Database!$H190),""))</f>
        <v/>
      </c>
      <c r="S190" s="24">
        <f>IFERROR(BDP(Database!$A190&amp;" HK Equity","PX_TO_SALES_RATIO"),"")</f>
        <v/>
      </c>
      <c r="T190" s="18">
        <f>IF(Database!BK190="","",IFERROR(BDP(LEFT(Database!BK190,FIND(".",Database!BK190)-1)&amp;"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Database!AF191</f>
        <v/>
      </c>
      <c r="J191" s="24">
        <f>IFERROR(BDP(Database!$A191&amp;" HK Equity","PE_RATIO"),"")</f>
        <v/>
      </c>
      <c r="K191" s="10">
        <f>IFERROR(BDP(Database!$A191&amp;" HK Equity","A/H_SHARE_CONVERSION"),"")</f>
        <v/>
      </c>
      <c r="L191" s="16">
        <f>IF(Database!BK191="","(none found)",Database!BK191)</f>
        <v/>
      </c>
      <c r="M191" s="18">
        <f>IFERROR(BDH(Database!$A191&amp;" HK Equity","CUR_MKT_CAP",Database!$H191,Database!$H191),"")</f>
        <v/>
      </c>
      <c r="N191" s="97">
        <f>Database!Q191</f>
        <v/>
      </c>
      <c r="O191" s="24">
        <f>IFERROR(BDH(Database!$A191&amp;" HK Equity","PE_RATIO",Database!$H191,Database!$H191),"")</f>
        <v/>
      </c>
      <c r="P191" s="101">
        <f>IF(Database!BE191="","(n/m or not derivable)",Database!BE191)</f>
        <v/>
      </c>
      <c r="Q191" s="24">
        <f>IF(Database!BK191="","",IFERROR(BDH(LEFT(Database!BK191,FIND(".",Database!BK191)-1)&amp;" CH Equity","PE_RATIO",Database!$H191,Database!$H191),""))</f>
        <v/>
      </c>
      <c r="R191" s="24">
        <f>IF(Database!BK191="","",IFERROR(BDH("HSAHP Index","PX_LAST",Database!$H191,Database!$H191),""))</f>
        <v/>
      </c>
      <c r="S191" s="24">
        <f>IFERROR(BDP(Database!$A191&amp;" HK Equity","PX_TO_SALES_RATIO"),"")</f>
        <v/>
      </c>
      <c r="T191" s="18">
        <f>IF(Database!BK191="","",IFERROR(BDP(LEFT(Database!BK191,FIND(".",Database!BK191)-1)&amp;"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Database!AF192</f>
        <v/>
      </c>
      <c r="J192" s="24">
        <f>IFERROR(BDP(Database!$A192&amp;" HK Equity","PE_RATIO"),"")</f>
        <v/>
      </c>
      <c r="K192" s="10">
        <f>IFERROR(BDP(Database!$A192&amp;" HK Equity","A/H_SHARE_CONVERSION"),"")</f>
        <v/>
      </c>
      <c r="L192" s="16">
        <f>IF(Database!BK192="","(none found)",Database!BK192)</f>
        <v/>
      </c>
      <c r="M192" s="18">
        <f>IFERROR(BDH(Database!$A192&amp;" HK Equity","CUR_MKT_CAP",Database!$H192,Database!$H192),"")</f>
        <v/>
      </c>
      <c r="N192" s="97">
        <f>Database!Q192</f>
        <v/>
      </c>
      <c r="O192" s="24">
        <f>IFERROR(BDH(Database!$A192&amp;" HK Equity","PE_RATIO",Database!$H192,Database!$H192),"")</f>
        <v/>
      </c>
      <c r="P192" s="101">
        <f>IF(Database!BE192="","(n/m or not derivable)",Database!BE192)</f>
        <v/>
      </c>
      <c r="Q192" s="24">
        <f>IF(Database!BK192="","",IFERROR(BDH(LEFT(Database!BK192,FIND(".",Database!BK192)-1)&amp;" CH Equity","PE_RATIO",Database!$H192,Database!$H192),""))</f>
        <v/>
      </c>
      <c r="R192" s="24">
        <f>IF(Database!BK192="","",IFERROR(BDH("HSAHP Index","PX_LAST",Database!$H192,Database!$H192),""))</f>
        <v/>
      </c>
      <c r="S192" s="24">
        <f>IFERROR(BDP(Database!$A192&amp;" HK Equity","PX_TO_SALES_RATIO"),"")</f>
        <v/>
      </c>
      <c r="T192" s="18">
        <f>IF(Database!BK192="","",IFERROR(BDP(LEFT(Database!BK192,FIND(".",Database!BK192)-1)&amp;"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Database!AF193</f>
        <v/>
      </c>
      <c r="J193" s="24">
        <f>IFERROR(BDP(Database!$A193&amp;" HK Equity","PE_RATIO"),"")</f>
        <v/>
      </c>
      <c r="K193" s="10">
        <f>IFERROR(BDP(Database!$A193&amp;" HK Equity","A/H_SHARE_CONVERSION"),"")</f>
        <v/>
      </c>
      <c r="L193" s="16">
        <f>IF(Database!BK193="","(none found)",Database!BK193)</f>
        <v/>
      </c>
      <c r="M193" s="18">
        <f>IFERROR(BDH(Database!$A193&amp;" HK Equity","CUR_MKT_CAP",Database!$H193,Database!$H193),"")</f>
        <v/>
      </c>
      <c r="N193" s="97">
        <f>Database!Q193</f>
        <v/>
      </c>
      <c r="O193" s="24">
        <f>IFERROR(BDH(Database!$A193&amp;" HK Equity","PE_RATIO",Database!$H193,Database!$H193),"")</f>
        <v/>
      </c>
      <c r="P193" s="101">
        <f>IF(Database!BE193="","(n/m or not derivable)",Database!BE193)</f>
        <v/>
      </c>
      <c r="Q193" s="24">
        <f>IF(Database!BK193="","",IFERROR(BDH(LEFT(Database!BK193,FIND(".",Database!BK193)-1)&amp;" CH Equity","PE_RATIO",Database!$H193,Database!$H193),""))</f>
        <v/>
      </c>
      <c r="R193" s="24">
        <f>IF(Database!BK193="","",IFERROR(BDH("HSAHP Index","PX_LAST",Database!$H193,Database!$H193),""))</f>
        <v/>
      </c>
      <c r="S193" s="24">
        <f>IFERROR(BDP(Database!$A193&amp;" HK Equity","PX_TO_SALES_RATIO"),"")</f>
        <v/>
      </c>
      <c r="T193" s="18">
        <f>IF(Database!BK193="","",IFERROR(BDP(LEFT(Database!BK193,FIND(".",Database!BK193)-1)&amp;"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Database!AF194</f>
        <v/>
      </c>
      <c r="J194" s="24">
        <f>IFERROR(BDP(Database!$A194&amp;" HK Equity","PE_RATIO"),"")</f>
        <v/>
      </c>
      <c r="K194" s="10">
        <f>IFERROR(BDP(Database!$A194&amp;" HK Equity","A/H_SHARE_CONVERSION"),"")</f>
        <v/>
      </c>
      <c r="L194" s="16">
        <f>IF(Database!BK194="","(none found)",Database!BK194)</f>
        <v/>
      </c>
      <c r="M194" s="18">
        <f>IFERROR(BDH(Database!$A194&amp;" HK Equity","CUR_MKT_CAP",Database!$H194,Database!$H194),"")</f>
        <v/>
      </c>
      <c r="N194" s="97">
        <f>Database!Q194</f>
        <v/>
      </c>
      <c r="O194" s="24">
        <f>IFERROR(BDH(Database!$A194&amp;" HK Equity","PE_RATIO",Database!$H194,Database!$H194),"")</f>
        <v/>
      </c>
      <c r="P194" s="101">
        <f>IF(Database!BE194="","(n/m or not derivable)",Database!BE194)</f>
        <v/>
      </c>
      <c r="Q194" s="24">
        <f>IF(Database!BK194="","",IFERROR(BDH(LEFT(Database!BK194,FIND(".",Database!BK194)-1)&amp;" CH Equity","PE_RATIO",Database!$H194,Database!$H194),""))</f>
        <v/>
      </c>
      <c r="R194" s="24">
        <f>IF(Database!BK194="","",IFERROR(BDH("HSAHP Index","PX_LAST",Database!$H194,Database!$H194),""))</f>
        <v/>
      </c>
      <c r="S194" s="24">
        <f>IFERROR(BDP(Database!$A194&amp;" HK Equity","PX_TO_SALES_RATIO"),"")</f>
        <v/>
      </c>
      <c r="T194" s="18">
        <f>IF(Database!BK194="","",IFERROR(BDP(LEFT(Database!BK194,FIND(".",Database!BK194)-1)&amp;"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Database!AF195</f>
        <v/>
      </c>
      <c r="J195" s="24">
        <f>IFERROR(BDP(Database!$A195&amp;" HK Equity","PE_RATIO"),"")</f>
        <v/>
      </c>
      <c r="K195" s="10">
        <f>IFERROR(BDP(Database!$A195&amp;" HK Equity","A/H_SHARE_CONVERSION"),"")</f>
        <v/>
      </c>
      <c r="L195" s="16">
        <f>IF(Database!BK195="","(none found)",Database!BK195)</f>
        <v/>
      </c>
      <c r="M195" s="18">
        <f>IFERROR(BDH(Database!$A195&amp;" HK Equity","CUR_MKT_CAP",Database!$H195,Database!$H195),"")</f>
        <v/>
      </c>
      <c r="N195" s="97">
        <f>Database!Q195</f>
        <v/>
      </c>
      <c r="O195" s="24">
        <f>IFERROR(BDH(Database!$A195&amp;" HK Equity","PE_RATIO",Database!$H195,Database!$H195),"")</f>
        <v/>
      </c>
      <c r="P195" s="101">
        <f>IF(Database!BE195="","(n/m or not derivable)",Database!BE195)</f>
        <v/>
      </c>
      <c r="Q195" s="24">
        <f>IF(Database!BK195="","",IFERROR(BDH(LEFT(Database!BK195,FIND(".",Database!BK195)-1)&amp;" CH Equity","PE_RATIO",Database!$H195,Database!$H195),""))</f>
        <v/>
      </c>
      <c r="R195" s="24">
        <f>IF(Database!BK195="","",IFERROR(BDH("HSAHP Index","PX_LAST",Database!$H195,Database!$H195),""))</f>
        <v/>
      </c>
      <c r="S195" s="24">
        <f>IFERROR(BDP(Database!$A195&amp;" HK Equity","PX_TO_SALES_RATIO"),"")</f>
        <v/>
      </c>
      <c r="T195" s="18">
        <f>IF(Database!BK195="","",IFERROR(BDP(LEFT(Database!BK195,FIND(".",Database!BK195)-1)&amp;"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Database!AF196</f>
        <v/>
      </c>
      <c r="J196" s="24">
        <f>IFERROR(BDP(Database!$A196&amp;" HK Equity","PE_RATIO"),"")</f>
        <v/>
      </c>
      <c r="K196" s="10">
        <f>IFERROR(BDP(Database!$A196&amp;" HK Equity","A/H_SHARE_CONVERSION"),"")</f>
        <v/>
      </c>
      <c r="L196" s="16">
        <f>IF(Database!BK196="","(none found)",Database!BK196)</f>
        <v/>
      </c>
      <c r="M196" s="18">
        <f>IFERROR(BDH(Database!$A196&amp;" HK Equity","CUR_MKT_CAP",Database!$H196,Database!$H196),"")</f>
        <v/>
      </c>
      <c r="N196" s="97">
        <f>Database!Q196</f>
        <v/>
      </c>
      <c r="O196" s="24">
        <f>IFERROR(BDH(Database!$A196&amp;" HK Equity","PE_RATIO",Database!$H196,Database!$H196),"")</f>
        <v/>
      </c>
      <c r="P196" s="101">
        <f>IF(Database!BE196="","(n/m or not derivable)",Database!BE196)</f>
        <v/>
      </c>
      <c r="Q196" s="24">
        <f>IF(Database!BK196="","",IFERROR(BDH(LEFT(Database!BK196,FIND(".",Database!BK196)-1)&amp;" CH Equity","PE_RATIO",Database!$H196,Database!$H196),""))</f>
        <v/>
      </c>
      <c r="R196" s="24">
        <f>IF(Database!BK196="","",IFERROR(BDH("HSAHP Index","PX_LAST",Database!$H196,Database!$H196),""))</f>
        <v/>
      </c>
      <c r="S196" s="24">
        <f>IFERROR(BDP(Database!$A196&amp;" HK Equity","PX_TO_SALES_RATIO"),"")</f>
        <v/>
      </c>
      <c r="T196" s="18">
        <f>IF(Database!BK196="","",IFERROR(BDP(LEFT(Database!BK196,FIND(".",Database!BK196)-1)&amp;"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Database!AF197</f>
        <v/>
      </c>
      <c r="J197" s="24">
        <f>IFERROR(BDP(Database!$A197&amp;" HK Equity","PE_RATIO"),"")</f>
        <v/>
      </c>
      <c r="K197" s="10">
        <f>IFERROR(BDP(Database!$A197&amp;" HK Equity","A/H_SHARE_CONVERSION"),"")</f>
        <v/>
      </c>
      <c r="L197" s="16">
        <f>IF(Database!BK197="","(none found)",Database!BK197)</f>
        <v/>
      </c>
      <c r="M197" s="18">
        <f>IFERROR(BDH(Database!$A197&amp;" HK Equity","CUR_MKT_CAP",Database!$H197,Database!$H197),"")</f>
        <v/>
      </c>
      <c r="N197" s="97">
        <f>Database!Q197</f>
        <v/>
      </c>
      <c r="O197" s="24">
        <f>IFERROR(BDH(Database!$A197&amp;" HK Equity","PE_RATIO",Database!$H197,Database!$H197),"")</f>
        <v/>
      </c>
      <c r="P197" s="101">
        <f>IF(Database!BE197="","(n/m or not derivable)",Database!BE197)</f>
        <v/>
      </c>
      <c r="Q197" s="24">
        <f>IF(Database!BK197="","",IFERROR(BDH(LEFT(Database!BK197,FIND(".",Database!BK197)-1)&amp;" CH Equity","PE_RATIO",Database!$H197,Database!$H197),""))</f>
        <v/>
      </c>
      <c r="R197" s="24">
        <f>IF(Database!BK197="","",IFERROR(BDH("HSAHP Index","PX_LAST",Database!$H197,Database!$H197),""))</f>
        <v/>
      </c>
      <c r="S197" s="24">
        <f>IFERROR(BDP(Database!$A197&amp;" HK Equity","PX_TO_SALES_RATIO"),"")</f>
        <v/>
      </c>
      <c r="T197" s="18">
        <f>IF(Database!BK197="","",IFERROR(BDP(LEFT(Database!BK197,FIND(".",Database!BK197)-1)&amp;"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Database!AF198</f>
        <v/>
      </c>
      <c r="J198" s="24">
        <f>IFERROR(BDP(Database!$A198&amp;" HK Equity","PE_RATIO"),"")</f>
        <v/>
      </c>
      <c r="K198" s="10">
        <f>IFERROR(BDP(Database!$A198&amp;" HK Equity","A/H_SHARE_CONVERSION"),"")</f>
        <v/>
      </c>
      <c r="L198" s="16">
        <f>IF(Database!BK198="","(none found)",Database!BK198)</f>
        <v/>
      </c>
      <c r="M198" s="18">
        <f>IFERROR(BDH(Database!$A198&amp;" HK Equity","CUR_MKT_CAP",Database!$H198,Database!$H198),"")</f>
        <v/>
      </c>
      <c r="N198" s="97">
        <f>Database!Q198</f>
        <v/>
      </c>
      <c r="O198" s="24">
        <f>IFERROR(BDH(Database!$A198&amp;" HK Equity","PE_RATIO",Database!$H198,Database!$H198),"")</f>
        <v/>
      </c>
      <c r="P198" s="101">
        <f>IF(Database!BE198="","(n/m or not derivable)",Database!BE198)</f>
        <v/>
      </c>
      <c r="Q198" s="24">
        <f>IF(Database!BK198="","",IFERROR(BDH(LEFT(Database!BK198,FIND(".",Database!BK198)-1)&amp;" CH Equity","PE_RATIO",Database!$H198,Database!$H198),""))</f>
        <v/>
      </c>
      <c r="R198" s="24">
        <f>IF(Database!BK198="","",IFERROR(BDH("HSAHP Index","PX_LAST",Database!$H198,Database!$H198),""))</f>
        <v/>
      </c>
      <c r="S198" s="24">
        <f>IFERROR(BDP(Database!$A198&amp;" HK Equity","PX_TO_SALES_RATIO"),"")</f>
        <v/>
      </c>
      <c r="T198" s="18">
        <f>IF(Database!BK198="","",IFERROR(BDP(LEFT(Database!BK198,FIND(".",Database!BK198)-1)&amp;"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Database!AF199</f>
        <v/>
      </c>
      <c r="J199" s="24">
        <f>IFERROR(BDP(Database!$A199&amp;" HK Equity","PE_RATIO"),"")</f>
        <v/>
      </c>
      <c r="K199" s="10">
        <f>IFERROR(BDP(Database!$A199&amp;" HK Equity","A/H_SHARE_CONVERSION"),"")</f>
        <v/>
      </c>
      <c r="L199" s="16">
        <f>IF(Database!BK199="","(none found)",Database!BK199)</f>
        <v/>
      </c>
      <c r="M199" s="18">
        <f>IFERROR(BDH(Database!$A199&amp;" HK Equity","CUR_MKT_CAP",Database!$H199,Database!$H199),"")</f>
        <v/>
      </c>
      <c r="N199" s="97">
        <f>Database!Q199</f>
        <v/>
      </c>
      <c r="O199" s="24">
        <f>IFERROR(BDH(Database!$A199&amp;" HK Equity","PE_RATIO",Database!$H199,Database!$H199),"")</f>
        <v/>
      </c>
      <c r="P199" s="101">
        <f>IF(Database!BE199="","(n/m or not derivable)",Database!BE199)</f>
        <v/>
      </c>
      <c r="Q199" s="24">
        <f>IF(Database!BK199="","",IFERROR(BDH(LEFT(Database!BK199,FIND(".",Database!BK199)-1)&amp;" CH Equity","PE_RATIO",Database!$H199,Database!$H199),""))</f>
        <v/>
      </c>
      <c r="R199" s="24">
        <f>IF(Database!BK199="","",IFERROR(BDH("HSAHP Index","PX_LAST",Database!$H199,Database!$H199),""))</f>
        <v/>
      </c>
      <c r="S199" s="24">
        <f>IFERROR(BDP(Database!$A199&amp;" HK Equity","PX_TO_SALES_RATIO"),"")</f>
        <v/>
      </c>
      <c r="T199" s="18">
        <f>IF(Database!BK199="","",IFERROR(BDP(LEFT(Database!BK199,FIND(".",Database!BK199)-1)&amp;"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Database!AF200</f>
        <v/>
      </c>
      <c r="J200" s="24">
        <f>IFERROR(BDP(Database!$A200&amp;" HK Equity","PE_RATIO"),"")</f>
        <v/>
      </c>
      <c r="K200" s="10">
        <f>IFERROR(BDP(Database!$A200&amp;" HK Equity","A/H_SHARE_CONVERSION"),"")</f>
        <v/>
      </c>
      <c r="L200" s="16">
        <f>IF(Database!BK200="","(none found)",Database!BK200)</f>
        <v/>
      </c>
      <c r="M200" s="18">
        <f>IFERROR(BDH(Database!$A200&amp;" HK Equity","CUR_MKT_CAP",Database!$H200,Database!$H200),"")</f>
        <v/>
      </c>
      <c r="N200" s="97">
        <f>Database!Q200</f>
        <v/>
      </c>
      <c r="O200" s="24">
        <f>IFERROR(BDH(Database!$A200&amp;" HK Equity","PE_RATIO",Database!$H200,Database!$H200),"")</f>
        <v/>
      </c>
      <c r="P200" s="101">
        <f>IF(Database!BE200="","(n/m or not derivable)",Database!BE200)</f>
        <v/>
      </c>
      <c r="Q200" s="24">
        <f>IF(Database!BK200="","",IFERROR(BDH(LEFT(Database!BK200,FIND(".",Database!BK200)-1)&amp;" CH Equity","PE_RATIO",Database!$H200,Database!$H200),""))</f>
        <v/>
      </c>
      <c r="R200" s="24">
        <f>IF(Database!BK200="","",IFERROR(BDH("HSAHP Index","PX_LAST",Database!$H200,Database!$H200),""))</f>
        <v/>
      </c>
      <c r="S200" s="24">
        <f>IFERROR(BDP(Database!$A200&amp;" HK Equity","PX_TO_SALES_RATIO"),"")</f>
        <v/>
      </c>
      <c r="T200" s="18">
        <f>IF(Database!BK200="","",IFERROR(BDP(LEFT(Database!BK200,FIND(".",Database!BK200)-1)&amp;"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Database!AF201</f>
        <v/>
      </c>
      <c r="J201" s="24">
        <f>IFERROR(BDP(Database!$A201&amp;" HK Equity","PE_RATIO"),"")</f>
        <v/>
      </c>
      <c r="K201" s="10">
        <f>IFERROR(BDP(Database!$A201&amp;" HK Equity","A/H_SHARE_CONVERSION"),"")</f>
        <v/>
      </c>
      <c r="L201" s="16">
        <f>IF(Database!BK201="","(none found)",Database!BK201)</f>
        <v/>
      </c>
      <c r="M201" s="18">
        <f>IFERROR(BDH(Database!$A201&amp;" HK Equity","CUR_MKT_CAP",Database!$H201,Database!$H201),"")</f>
        <v/>
      </c>
      <c r="N201" s="97">
        <f>Database!Q201</f>
        <v/>
      </c>
      <c r="O201" s="24">
        <f>IFERROR(BDH(Database!$A201&amp;" HK Equity","PE_RATIO",Database!$H201,Database!$H201),"")</f>
        <v/>
      </c>
      <c r="P201" s="101">
        <f>IF(Database!BE201="","(n/m or not derivable)",Database!BE201)</f>
        <v/>
      </c>
      <c r="Q201" s="24">
        <f>IF(Database!BK201="","",IFERROR(BDH(LEFT(Database!BK201,FIND(".",Database!BK201)-1)&amp;" CH Equity","PE_RATIO",Database!$H201,Database!$H201),""))</f>
        <v/>
      </c>
      <c r="R201" s="24">
        <f>IF(Database!BK201="","",IFERROR(BDH("HSAHP Index","PX_LAST",Database!$H201,Database!$H201),""))</f>
        <v/>
      </c>
      <c r="S201" s="24">
        <f>IFERROR(BDP(Database!$A201&amp;" HK Equity","PX_TO_SALES_RATIO"),"")</f>
        <v/>
      </c>
      <c r="T201" s="18">
        <f>IF(Database!BK201="","",IFERROR(BDP(LEFT(Database!BK201,FIND(".",Database!BK201)-1)&amp;"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Database!AF202</f>
        <v/>
      </c>
      <c r="J202" s="24">
        <f>IFERROR(BDP(Database!$A202&amp;" HK Equity","PE_RATIO"),"")</f>
        <v/>
      </c>
      <c r="K202" s="10">
        <f>IFERROR(BDP(Database!$A202&amp;" HK Equity","A/H_SHARE_CONVERSION"),"")</f>
        <v/>
      </c>
      <c r="L202" s="16">
        <f>IF(Database!BK202="","(none found)",Database!BK202)</f>
        <v/>
      </c>
      <c r="M202" s="18">
        <f>IFERROR(BDH(Database!$A202&amp;" HK Equity","CUR_MKT_CAP",Database!$H202,Database!$H202),"")</f>
        <v/>
      </c>
      <c r="N202" s="97">
        <f>Database!Q202</f>
        <v/>
      </c>
      <c r="O202" s="24">
        <f>IFERROR(BDH(Database!$A202&amp;" HK Equity","PE_RATIO",Database!$H202,Database!$H202),"")</f>
        <v/>
      </c>
      <c r="P202" s="101">
        <f>IF(Database!BE202="","(n/m or not derivable)",Database!BE202)</f>
        <v/>
      </c>
      <c r="Q202" s="24">
        <f>IF(Database!BK202="","",IFERROR(BDH(LEFT(Database!BK202,FIND(".",Database!BK202)-1)&amp;" CH Equity","PE_RATIO",Database!$H202,Database!$H202),""))</f>
        <v/>
      </c>
      <c r="R202" s="24">
        <f>IF(Database!BK202="","",IFERROR(BDH("HSAHP Index","PX_LAST",Database!$H202,Database!$H202),""))</f>
        <v/>
      </c>
      <c r="S202" s="24">
        <f>IFERROR(BDP(Database!$A202&amp;" HK Equity","PX_TO_SALES_RATIO"),"")</f>
        <v/>
      </c>
      <c r="T202" s="18">
        <f>IF(Database!BK202="","",IFERROR(BDP(LEFT(Database!BK202,FIND(".",Database!BK202)-1)&amp;"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Database!AF203</f>
        <v/>
      </c>
      <c r="J203" s="24">
        <f>IFERROR(BDP(Database!$A203&amp;" HK Equity","PE_RATIO"),"")</f>
        <v/>
      </c>
      <c r="K203" s="10">
        <f>IFERROR(BDP(Database!$A203&amp;" HK Equity","A/H_SHARE_CONVERSION"),"")</f>
        <v/>
      </c>
      <c r="L203" s="16">
        <f>IF(Database!BK203="","(none found)",Database!BK203)</f>
        <v/>
      </c>
      <c r="M203" s="18">
        <f>IFERROR(BDH(Database!$A203&amp;" HK Equity","CUR_MKT_CAP",Database!$H203,Database!$H203),"")</f>
        <v/>
      </c>
      <c r="N203" s="97">
        <f>Database!Q203</f>
        <v/>
      </c>
      <c r="O203" s="24">
        <f>IFERROR(BDH(Database!$A203&amp;" HK Equity","PE_RATIO",Database!$H203,Database!$H203),"")</f>
        <v/>
      </c>
      <c r="P203" s="101">
        <f>IF(Database!BE203="","(n/m or not derivable)",Database!BE203)</f>
        <v/>
      </c>
      <c r="Q203" s="24">
        <f>IF(Database!BK203="","",IFERROR(BDH(LEFT(Database!BK203,FIND(".",Database!BK203)-1)&amp;" CH Equity","PE_RATIO",Database!$H203,Database!$H203),""))</f>
        <v/>
      </c>
      <c r="R203" s="24">
        <f>IF(Database!BK203="","",IFERROR(BDH("HSAHP Index","PX_LAST",Database!$H203,Database!$H203),""))</f>
        <v/>
      </c>
      <c r="S203" s="24">
        <f>IFERROR(BDP(Database!$A203&amp;" HK Equity","PX_TO_SALES_RATIO"),"")</f>
        <v/>
      </c>
      <c r="T203" s="18">
        <f>IF(Database!BK203="","",IFERROR(BDP(LEFT(Database!BK203,FIND(".",Database!BK203)-1)&amp;"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Database!AF204</f>
        <v/>
      </c>
      <c r="J204" s="24">
        <f>IFERROR(BDP(Database!$A204&amp;" HK Equity","PE_RATIO"),"")</f>
        <v/>
      </c>
      <c r="K204" s="10">
        <f>IFERROR(BDP(Database!$A204&amp;" HK Equity","A/H_SHARE_CONVERSION"),"")</f>
        <v/>
      </c>
      <c r="L204" s="16">
        <f>IF(Database!BK204="","(none found)",Database!BK204)</f>
        <v/>
      </c>
      <c r="M204" s="18">
        <f>IFERROR(BDH(Database!$A204&amp;" HK Equity","CUR_MKT_CAP",Database!$H204,Database!$H204),"")</f>
        <v/>
      </c>
      <c r="N204" s="97">
        <f>Database!Q204</f>
        <v/>
      </c>
      <c r="O204" s="24">
        <f>IFERROR(BDH(Database!$A204&amp;" HK Equity","PE_RATIO",Database!$H204,Database!$H204),"")</f>
        <v/>
      </c>
      <c r="P204" s="101">
        <f>IF(Database!BE204="","(n/m or not derivable)",Database!BE204)</f>
        <v/>
      </c>
      <c r="Q204" s="24">
        <f>IF(Database!BK204="","",IFERROR(BDH(LEFT(Database!BK204,FIND(".",Database!BK204)-1)&amp;" CH Equity","PE_RATIO",Database!$H204,Database!$H204),""))</f>
        <v/>
      </c>
      <c r="R204" s="24">
        <f>IF(Database!BK204="","",IFERROR(BDH("HSAHP Index","PX_LAST",Database!$H204,Database!$H204),""))</f>
        <v/>
      </c>
      <c r="S204" s="24">
        <f>IFERROR(BDP(Database!$A204&amp;" HK Equity","PX_TO_SALES_RATIO"),"")</f>
        <v/>
      </c>
      <c r="T204" s="18">
        <f>IF(Database!BK204="","",IFERROR(BDP(LEFT(Database!BK204,FIND(".",Database!BK204)-1)&amp;"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Database!AF205</f>
        <v/>
      </c>
      <c r="J205" s="24">
        <f>IFERROR(BDP(Database!$A205&amp;" HK Equity","PE_RATIO"),"")</f>
        <v/>
      </c>
      <c r="K205" s="10">
        <f>IFERROR(BDP(Database!$A205&amp;" HK Equity","A/H_SHARE_CONVERSION"),"")</f>
        <v/>
      </c>
      <c r="L205" s="16">
        <f>IF(Database!BK205="","(none found)",Database!BK205)</f>
        <v/>
      </c>
      <c r="M205" s="18">
        <f>IFERROR(BDH(Database!$A205&amp;" HK Equity","CUR_MKT_CAP",Database!$H205,Database!$H205),"")</f>
        <v/>
      </c>
      <c r="N205" s="97">
        <f>Database!Q205</f>
        <v/>
      </c>
      <c r="O205" s="24">
        <f>IFERROR(BDH(Database!$A205&amp;" HK Equity","PE_RATIO",Database!$H205,Database!$H205),"")</f>
        <v/>
      </c>
      <c r="P205" s="101">
        <f>IF(Database!BE205="","(n/m or not derivable)",Database!BE205)</f>
        <v/>
      </c>
      <c r="Q205" s="24">
        <f>IF(Database!BK205="","",IFERROR(BDH(LEFT(Database!BK205,FIND(".",Database!BK205)-1)&amp;" CH Equity","PE_RATIO",Database!$H205,Database!$H205),""))</f>
        <v/>
      </c>
      <c r="R205" s="24">
        <f>IF(Database!BK205="","",IFERROR(BDH("HSAHP Index","PX_LAST",Database!$H205,Database!$H205),""))</f>
        <v/>
      </c>
      <c r="S205" s="24">
        <f>IFERROR(BDP(Database!$A205&amp;" HK Equity","PX_TO_SALES_RATIO"),"")</f>
        <v/>
      </c>
      <c r="T205" s="18">
        <f>IF(Database!BK205="","",IFERROR(BDP(LEFT(Database!BK205,FIND(".",Database!BK205)-1)&amp;"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Database!AF206</f>
        <v/>
      </c>
      <c r="J206" s="24">
        <f>IFERROR(BDP(Database!$A206&amp;" HK Equity","PE_RATIO"),"")</f>
        <v/>
      </c>
      <c r="K206" s="10">
        <f>IFERROR(BDP(Database!$A206&amp;" HK Equity","A/H_SHARE_CONVERSION"),"")</f>
        <v/>
      </c>
      <c r="L206" s="16">
        <f>IF(Database!BK206="","(none found)",Database!BK206)</f>
        <v/>
      </c>
      <c r="M206" s="18">
        <f>IFERROR(BDH(Database!$A206&amp;" HK Equity","CUR_MKT_CAP",Database!$H206,Database!$H206),"")</f>
        <v/>
      </c>
      <c r="N206" s="97">
        <f>Database!Q206</f>
        <v/>
      </c>
      <c r="O206" s="24">
        <f>IFERROR(BDH(Database!$A206&amp;" HK Equity","PE_RATIO",Database!$H206,Database!$H206),"")</f>
        <v/>
      </c>
      <c r="P206" s="101">
        <f>IF(Database!BE206="","(n/m or not derivable)",Database!BE206)</f>
        <v/>
      </c>
      <c r="Q206" s="24">
        <f>IF(Database!BK206="","",IFERROR(BDH(LEFT(Database!BK206,FIND(".",Database!BK206)-1)&amp;" CH Equity","PE_RATIO",Database!$H206,Database!$H206),""))</f>
        <v/>
      </c>
      <c r="R206" s="24">
        <f>IF(Database!BK206="","",IFERROR(BDH("HSAHP Index","PX_LAST",Database!$H206,Database!$H206),""))</f>
        <v/>
      </c>
      <c r="S206" s="24">
        <f>IFERROR(BDP(Database!$A206&amp;" HK Equity","PX_TO_SALES_RATIO"),"")</f>
        <v/>
      </c>
      <c r="T206" s="18">
        <f>IF(Database!BK206="","",IFERROR(BDP(LEFT(Database!BK206,FIND(".",Database!BK206)-1)&amp;"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Database!AF207</f>
        <v/>
      </c>
      <c r="J207" s="24">
        <f>IFERROR(BDP(Database!$A207&amp;" HK Equity","PE_RATIO"),"")</f>
        <v/>
      </c>
      <c r="K207" s="10">
        <f>IFERROR(BDP(Database!$A207&amp;" HK Equity","A/H_SHARE_CONVERSION"),"")</f>
        <v/>
      </c>
      <c r="L207" s="16">
        <f>IF(Database!BK207="","(none found)",Database!BK207)</f>
        <v/>
      </c>
      <c r="M207" s="18">
        <f>IFERROR(BDH(Database!$A207&amp;" HK Equity","CUR_MKT_CAP",Database!$H207,Database!$H207),"")</f>
        <v/>
      </c>
      <c r="N207" s="97">
        <f>Database!Q207</f>
        <v/>
      </c>
      <c r="O207" s="24">
        <f>IFERROR(BDH(Database!$A207&amp;" HK Equity","PE_RATIO",Database!$H207,Database!$H207),"")</f>
        <v/>
      </c>
      <c r="P207" s="101">
        <f>IF(Database!BE207="","(n/m or not derivable)",Database!BE207)</f>
        <v/>
      </c>
      <c r="Q207" s="24">
        <f>IF(Database!BK207="","",IFERROR(BDH(LEFT(Database!BK207,FIND(".",Database!BK207)-1)&amp;" CH Equity","PE_RATIO",Database!$H207,Database!$H207),""))</f>
        <v/>
      </c>
      <c r="R207" s="24">
        <f>IF(Database!BK207="","",IFERROR(BDH("HSAHP Index","PX_LAST",Database!$H207,Database!$H207),""))</f>
        <v/>
      </c>
      <c r="S207" s="24">
        <f>IFERROR(BDP(Database!$A207&amp;" HK Equity","PX_TO_SALES_RATIO"),"")</f>
        <v/>
      </c>
      <c r="T207" s="18">
        <f>IF(Database!BK207="","",IFERROR(BDP(LEFT(Database!BK207,FIND(".",Database!BK207)-1)&amp;"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Database!AF208</f>
        <v/>
      </c>
      <c r="J208" s="24">
        <f>IFERROR(BDP(Database!$A208&amp;" HK Equity","PE_RATIO"),"")</f>
        <v/>
      </c>
      <c r="K208" s="10">
        <f>IFERROR(BDP(Database!$A208&amp;" HK Equity","A/H_SHARE_CONVERSION"),"")</f>
        <v/>
      </c>
      <c r="L208" s="16">
        <f>IF(Database!BK208="","(none found)",Database!BK208)</f>
        <v/>
      </c>
      <c r="M208" s="18">
        <f>IFERROR(BDH(Database!$A208&amp;" HK Equity","CUR_MKT_CAP",Database!$H208,Database!$H208),"")</f>
        <v/>
      </c>
      <c r="N208" s="97">
        <f>Database!Q208</f>
        <v/>
      </c>
      <c r="O208" s="24">
        <f>IFERROR(BDH(Database!$A208&amp;" HK Equity","PE_RATIO",Database!$H208,Database!$H208),"")</f>
        <v/>
      </c>
      <c r="P208" s="101">
        <f>IF(Database!BE208="","(n/m or not derivable)",Database!BE208)</f>
        <v/>
      </c>
      <c r="Q208" s="24">
        <f>IF(Database!BK208="","",IFERROR(BDH(LEFT(Database!BK208,FIND(".",Database!BK208)-1)&amp;" CH Equity","PE_RATIO",Database!$H208,Database!$H208),""))</f>
        <v/>
      </c>
      <c r="R208" s="24">
        <f>IF(Database!BK208="","",IFERROR(BDH("HSAHP Index","PX_LAST",Database!$H208,Database!$H208),""))</f>
        <v/>
      </c>
      <c r="S208" s="24">
        <f>IFERROR(BDP(Database!$A208&amp;" HK Equity","PX_TO_SALES_RATIO"),"")</f>
        <v/>
      </c>
      <c r="T208" s="18">
        <f>IF(Database!BK208="","",IFERROR(BDP(LEFT(Database!BK208,FIND(".",Database!BK208)-1)&amp;"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Database!AF209</f>
        <v/>
      </c>
      <c r="J209" s="24">
        <f>IFERROR(BDP(Database!$A209&amp;" HK Equity","PE_RATIO"),"")</f>
        <v/>
      </c>
      <c r="K209" s="10">
        <f>IFERROR(BDP(Database!$A209&amp;" HK Equity","A/H_SHARE_CONVERSION"),"")</f>
        <v/>
      </c>
      <c r="L209" s="16">
        <f>IF(Database!BK209="","(none found)",Database!BK209)</f>
        <v/>
      </c>
      <c r="M209" s="18">
        <f>IFERROR(BDH(Database!$A209&amp;" HK Equity","CUR_MKT_CAP",Database!$H209,Database!$H209),"")</f>
        <v/>
      </c>
      <c r="N209" s="97">
        <f>Database!Q209</f>
        <v/>
      </c>
      <c r="O209" s="24">
        <f>IFERROR(BDH(Database!$A209&amp;" HK Equity","PE_RATIO",Database!$H209,Database!$H209),"")</f>
        <v/>
      </c>
      <c r="P209" s="101">
        <f>IF(Database!BE209="","(n/m or not derivable)",Database!BE209)</f>
        <v/>
      </c>
      <c r="Q209" s="24">
        <f>IF(Database!BK209="","",IFERROR(BDH(LEFT(Database!BK209,FIND(".",Database!BK209)-1)&amp;" CH Equity","PE_RATIO",Database!$H209,Database!$H209),""))</f>
        <v/>
      </c>
      <c r="R209" s="24">
        <f>IF(Database!BK209="","",IFERROR(BDH("HSAHP Index","PX_LAST",Database!$H209,Database!$H209),""))</f>
        <v/>
      </c>
      <c r="S209" s="24">
        <f>IFERROR(BDP(Database!$A209&amp;" HK Equity","PX_TO_SALES_RATIO"),"")</f>
        <v/>
      </c>
      <c r="T209" s="18">
        <f>IF(Database!BK209="","",IFERROR(BDP(LEFT(Database!BK209,FIND(".",Database!BK209)-1)&amp;"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Database!AF210</f>
        <v/>
      </c>
      <c r="J210" s="24">
        <f>IFERROR(BDP(Database!$A210&amp;" HK Equity","PE_RATIO"),"")</f>
        <v/>
      </c>
      <c r="K210" s="10">
        <f>IFERROR(BDP(Database!$A210&amp;" HK Equity","A/H_SHARE_CONVERSION"),"")</f>
        <v/>
      </c>
      <c r="L210" s="16">
        <f>IF(Database!BK210="","(none found)",Database!BK210)</f>
        <v/>
      </c>
      <c r="M210" s="18">
        <f>IFERROR(BDH(Database!$A210&amp;" HK Equity","CUR_MKT_CAP",Database!$H210,Database!$H210),"")</f>
        <v/>
      </c>
      <c r="N210" s="97">
        <f>Database!Q210</f>
        <v/>
      </c>
      <c r="O210" s="24">
        <f>IFERROR(BDH(Database!$A210&amp;" HK Equity","PE_RATIO",Database!$H210,Database!$H210),"")</f>
        <v/>
      </c>
      <c r="P210" s="101">
        <f>IF(Database!BE210="","(n/m or not derivable)",Database!BE210)</f>
        <v/>
      </c>
      <c r="Q210" s="24">
        <f>IF(Database!BK210="","",IFERROR(BDH(LEFT(Database!BK210,FIND(".",Database!BK210)-1)&amp;" CH Equity","PE_RATIO",Database!$H210,Database!$H210),""))</f>
        <v/>
      </c>
      <c r="R210" s="24">
        <f>IF(Database!BK210="","",IFERROR(BDH("HSAHP Index","PX_LAST",Database!$H210,Database!$H210),""))</f>
        <v/>
      </c>
      <c r="S210" s="24">
        <f>IFERROR(BDP(Database!$A210&amp;" HK Equity","PX_TO_SALES_RATIO"),"")</f>
        <v/>
      </c>
      <c r="T210" s="18">
        <f>IF(Database!BK210="","",IFERROR(BDP(LEFT(Database!BK210,FIND(".",Database!BK210)-1)&amp;"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Database!AF211</f>
        <v/>
      </c>
      <c r="J211" s="24">
        <f>IFERROR(BDP(Database!$A211&amp;" HK Equity","PE_RATIO"),"")</f>
        <v/>
      </c>
      <c r="K211" s="10">
        <f>IFERROR(BDP(Database!$A211&amp;" HK Equity","A/H_SHARE_CONVERSION"),"")</f>
        <v/>
      </c>
      <c r="L211" s="16">
        <f>IF(Database!BK211="","(none found)",Database!BK211)</f>
        <v/>
      </c>
      <c r="M211" s="18">
        <f>IFERROR(BDH(Database!$A211&amp;" HK Equity","CUR_MKT_CAP",Database!$H211,Database!$H211),"")</f>
        <v/>
      </c>
      <c r="N211" s="97">
        <f>Database!Q211</f>
        <v/>
      </c>
      <c r="O211" s="24">
        <f>IFERROR(BDH(Database!$A211&amp;" HK Equity","PE_RATIO",Database!$H211,Database!$H211),"")</f>
        <v/>
      </c>
      <c r="P211" s="101">
        <f>IF(Database!BE211="","(n/m or not derivable)",Database!BE211)</f>
        <v/>
      </c>
      <c r="Q211" s="24">
        <f>IF(Database!BK211="","",IFERROR(BDH(LEFT(Database!BK211,FIND(".",Database!BK211)-1)&amp;" CH Equity","PE_RATIO",Database!$H211,Database!$H211),""))</f>
        <v/>
      </c>
      <c r="R211" s="24">
        <f>IF(Database!BK211="","",IFERROR(BDH("HSAHP Index","PX_LAST",Database!$H211,Database!$H211),""))</f>
        <v/>
      </c>
      <c r="S211" s="24">
        <f>IFERROR(BDP(Database!$A211&amp;" HK Equity","PX_TO_SALES_RATIO"),"")</f>
        <v/>
      </c>
      <c r="T211" s="18">
        <f>IF(Database!BK211="","",IFERROR(BDP(LEFT(Database!BK211,FIND(".",Database!BK211)-1)&amp;"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Database!AF212</f>
        <v/>
      </c>
      <c r="J212" s="24">
        <f>IFERROR(BDP(Database!$A212&amp;" HK Equity","PE_RATIO"),"")</f>
        <v/>
      </c>
      <c r="K212" s="10">
        <f>IFERROR(BDP(Database!$A212&amp;" HK Equity","A/H_SHARE_CONVERSION"),"")</f>
        <v/>
      </c>
      <c r="L212" s="16">
        <f>IF(Database!BK212="","(none found)",Database!BK212)</f>
        <v/>
      </c>
      <c r="M212" s="18">
        <f>IFERROR(BDH(Database!$A212&amp;" HK Equity","CUR_MKT_CAP",Database!$H212,Database!$H212),"")</f>
        <v/>
      </c>
      <c r="N212" s="97">
        <f>Database!Q212</f>
        <v/>
      </c>
      <c r="O212" s="24">
        <f>IFERROR(BDH(Database!$A212&amp;" HK Equity","PE_RATIO",Database!$H212,Database!$H212),"")</f>
        <v/>
      </c>
      <c r="P212" s="101">
        <f>IF(Database!BE212="","(n/m or not derivable)",Database!BE212)</f>
        <v/>
      </c>
      <c r="Q212" s="24">
        <f>IF(Database!BK212="","",IFERROR(BDH(LEFT(Database!BK212,FIND(".",Database!BK212)-1)&amp;" CH Equity","PE_RATIO",Database!$H212,Database!$H212),""))</f>
        <v/>
      </c>
      <c r="R212" s="24">
        <f>IF(Database!BK212="","",IFERROR(BDH("HSAHP Index","PX_LAST",Database!$H212,Database!$H212),""))</f>
        <v/>
      </c>
      <c r="S212" s="24">
        <f>IFERROR(BDP(Database!$A212&amp;" HK Equity","PX_TO_SALES_RATIO"),"")</f>
        <v/>
      </c>
      <c r="T212" s="18">
        <f>IF(Database!BK212="","",IFERROR(BDP(LEFT(Database!BK212,FIND(".",Database!BK212)-1)&amp;"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Database!AF213</f>
        <v/>
      </c>
      <c r="J213" s="24">
        <f>IFERROR(BDP(Database!$A213&amp;" HK Equity","PE_RATIO"),"")</f>
        <v/>
      </c>
      <c r="K213" s="10">
        <f>IFERROR(BDP(Database!$A213&amp;" HK Equity","A/H_SHARE_CONVERSION"),"")</f>
        <v/>
      </c>
      <c r="L213" s="16">
        <f>IF(Database!BK213="","(none found)",Database!BK213)</f>
        <v/>
      </c>
      <c r="M213" s="18">
        <f>IFERROR(BDH(Database!$A213&amp;" HK Equity","CUR_MKT_CAP",Database!$H213,Database!$H213),"")</f>
        <v/>
      </c>
      <c r="N213" s="97">
        <f>Database!Q213</f>
        <v/>
      </c>
      <c r="O213" s="24">
        <f>IFERROR(BDH(Database!$A213&amp;" HK Equity","PE_RATIO",Database!$H213,Database!$H213),"")</f>
        <v/>
      </c>
      <c r="P213" s="101">
        <f>IF(Database!BE213="","(n/m or not derivable)",Database!BE213)</f>
        <v/>
      </c>
      <c r="Q213" s="24">
        <f>IF(Database!BK213="","",IFERROR(BDH(LEFT(Database!BK213,FIND(".",Database!BK213)-1)&amp;" CH Equity","PE_RATIO",Database!$H213,Database!$H213),""))</f>
        <v/>
      </c>
      <c r="R213" s="24">
        <f>IF(Database!BK213="","",IFERROR(BDH("HSAHP Index","PX_LAST",Database!$H213,Database!$H213),""))</f>
        <v/>
      </c>
      <c r="S213" s="24">
        <f>IFERROR(BDP(Database!$A213&amp;" HK Equity","PX_TO_SALES_RATIO"),"")</f>
        <v/>
      </c>
      <c r="T213" s="18">
        <f>IF(Database!BK213="","",IFERROR(BDP(LEFT(Database!BK213,FIND(".",Database!BK213)-1)&amp;"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Database!AF214</f>
        <v/>
      </c>
      <c r="J214" s="24">
        <f>IFERROR(BDP(Database!$A214&amp;" HK Equity","PE_RATIO"),"")</f>
        <v/>
      </c>
      <c r="K214" s="10">
        <f>IFERROR(BDP(Database!$A214&amp;" HK Equity","A/H_SHARE_CONVERSION"),"")</f>
        <v/>
      </c>
      <c r="L214" s="16">
        <f>IF(Database!BK214="","(none found)",Database!BK214)</f>
        <v/>
      </c>
      <c r="M214" s="18">
        <f>IFERROR(BDH(Database!$A214&amp;" HK Equity","CUR_MKT_CAP",Database!$H214,Database!$H214),"")</f>
        <v/>
      </c>
      <c r="N214" s="97">
        <f>Database!Q214</f>
        <v/>
      </c>
      <c r="O214" s="24">
        <f>IFERROR(BDH(Database!$A214&amp;" HK Equity","PE_RATIO",Database!$H214,Database!$H214),"")</f>
        <v/>
      </c>
      <c r="P214" s="101">
        <f>IF(Database!BE214="","(n/m or not derivable)",Database!BE214)</f>
        <v/>
      </c>
      <c r="Q214" s="24">
        <f>IF(Database!BK214="","",IFERROR(BDH(LEFT(Database!BK214,FIND(".",Database!BK214)-1)&amp;" CH Equity","PE_RATIO",Database!$H214,Database!$H214),""))</f>
        <v/>
      </c>
      <c r="R214" s="24">
        <f>IF(Database!BK214="","",IFERROR(BDH("HSAHP Index","PX_LAST",Database!$H214,Database!$H214),""))</f>
        <v/>
      </c>
      <c r="S214" s="24">
        <f>IFERROR(BDP(Database!$A214&amp;" HK Equity","PX_TO_SALES_RATIO"),"")</f>
        <v/>
      </c>
      <c r="T214" s="18">
        <f>IF(Database!BK214="","",IFERROR(BDP(LEFT(Database!BK214,FIND(".",Database!BK214)-1)&amp;"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Database!AF215</f>
        <v/>
      </c>
      <c r="J215" s="24">
        <f>IFERROR(BDP(Database!$A215&amp;" HK Equity","PE_RATIO"),"")</f>
        <v/>
      </c>
      <c r="K215" s="10">
        <f>IFERROR(BDP(Database!$A215&amp;" HK Equity","A/H_SHARE_CONVERSION"),"")</f>
        <v/>
      </c>
      <c r="L215" s="16">
        <f>IF(Database!BK215="","(none found)",Database!BK215)</f>
        <v/>
      </c>
      <c r="M215" s="18">
        <f>IFERROR(BDH(Database!$A215&amp;" HK Equity","CUR_MKT_CAP",Database!$H215,Database!$H215),"")</f>
        <v/>
      </c>
      <c r="N215" s="97">
        <f>Database!Q215</f>
        <v/>
      </c>
      <c r="O215" s="24">
        <f>IFERROR(BDH(Database!$A215&amp;" HK Equity","PE_RATIO",Database!$H215,Database!$H215),"")</f>
        <v/>
      </c>
      <c r="P215" s="101">
        <f>IF(Database!BE215="","(n/m or not derivable)",Database!BE215)</f>
        <v/>
      </c>
      <c r="Q215" s="24">
        <f>IF(Database!BK215="","",IFERROR(BDH(LEFT(Database!BK215,FIND(".",Database!BK215)-1)&amp;" CH Equity","PE_RATIO",Database!$H215,Database!$H215),""))</f>
        <v/>
      </c>
      <c r="R215" s="24">
        <f>IF(Database!BK215="","",IFERROR(BDH("HSAHP Index","PX_LAST",Database!$H215,Database!$H215),""))</f>
        <v/>
      </c>
      <c r="S215" s="24">
        <f>IFERROR(BDP(Database!$A215&amp;" HK Equity","PX_TO_SALES_RATIO"),"")</f>
        <v/>
      </c>
      <c r="T215" s="18">
        <f>IF(Database!BK215="","",IFERROR(BDP(LEFT(Database!BK215,FIND(".",Database!BK215)-1)&amp;"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Database!AF216</f>
        <v/>
      </c>
      <c r="J216" s="24">
        <f>IFERROR(BDP(Database!$A216&amp;" HK Equity","PE_RATIO"),"")</f>
        <v/>
      </c>
      <c r="K216" s="10">
        <f>IFERROR(BDP(Database!$A216&amp;" HK Equity","A/H_SHARE_CONVERSION"),"")</f>
        <v/>
      </c>
      <c r="L216" s="16">
        <f>IF(Database!BK216="","(none found)",Database!BK216)</f>
        <v/>
      </c>
      <c r="M216" s="18">
        <f>IFERROR(BDH(Database!$A216&amp;" HK Equity","CUR_MKT_CAP",Database!$H216,Database!$H216),"")</f>
        <v/>
      </c>
      <c r="N216" s="97">
        <f>Database!Q216</f>
        <v/>
      </c>
      <c r="O216" s="24">
        <f>IFERROR(BDH(Database!$A216&amp;" HK Equity","PE_RATIO",Database!$H216,Database!$H216),"")</f>
        <v/>
      </c>
      <c r="P216" s="101">
        <f>IF(Database!BE216="","(n/m or not derivable)",Database!BE216)</f>
        <v/>
      </c>
      <c r="Q216" s="24">
        <f>IF(Database!BK216="","",IFERROR(BDH(LEFT(Database!BK216,FIND(".",Database!BK216)-1)&amp;" CH Equity","PE_RATIO",Database!$H216,Database!$H216),""))</f>
        <v/>
      </c>
      <c r="R216" s="24">
        <f>IF(Database!BK216="","",IFERROR(BDH("HSAHP Index","PX_LAST",Database!$H216,Database!$H216),""))</f>
        <v/>
      </c>
      <c r="S216" s="24">
        <f>IFERROR(BDP(Database!$A216&amp;" HK Equity","PX_TO_SALES_RATIO"),"")</f>
        <v/>
      </c>
      <c r="T216" s="18">
        <f>IF(Database!BK216="","",IFERROR(BDP(LEFT(Database!BK216,FIND(".",Database!BK216)-1)&amp;"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Database!AF217</f>
        <v/>
      </c>
      <c r="J217" s="24">
        <f>IFERROR(BDP(Database!$A217&amp;" HK Equity","PE_RATIO"),"")</f>
        <v/>
      </c>
      <c r="K217" s="10">
        <f>IFERROR(BDP(Database!$A217&amp;" HK Equity","A/H_SHARE_CONVERSION"),"")</f>
        <v/>
      </c>
      <c r="L217" s="16">
        <f>IF(Database!BK217="","(none found)",Database!BK217)</f>
        <v/>
      </c>
      <c r="M217" s="18">
        <f>IFERROR(BDH(Database!$A217&amp;" HK Equity","CUR_MKT_CAP",Database!$H217,Database!$H217),"")</f>
        <v/>
      </c>
      <c r="N217" s="97">
        <f>Database!Q217</f>
        <v/>
      </c>
      <c r="O217" s="24">
        <f>IFERROR(BDH(Database!$A217&amp;" HK Equity","PE_RATIO",Database!$H217,Database!$H217),"")</f>
        <v/>
      </c>
      <c r="P217" s="101">
        <f>IF(Database!BE217="","(n/m or not derivable)",Database!BE217)</f>
        <v/>
      </c>
      <c r="Q217" s="24">
        <f>IF(Database!BK217="","",IFERROR(BDH(LEFT(Database!BK217,FIND(".",Database!BK217)-1)&amp;" CH Equity","PE_RATIO",Database!$H217,Database!$H217),""))</f>
        <v/>
      </c>
      <c r="R217" s="24">
        <f>IF(Database!BK217="","",IFERROR(BDH("HSAHP Index","PX_LAST",Database!$H217,Database!$H217),""))</f>
        <v/>
      </c>
      <c r="S217" s="24">
        <f>IFERROR(BDP(Database!$A217&amp;" HK Equity","PX_TO_SALES_RATIO"),"")</f>
        <v/>
      </c>
      <c r="T217" s="18">
        <f>IF(Database!BK217="","",IFERROR(BDP(LEFT(Database!BK217,FIND(".",Database!BK217)-1)&amp;"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Database!AF218</f>
        <v/>
      </c>
      <c r="J218" s="24">
        <f>IFERROR(BDP(Database!$A218&amp;" HK Equity","PE_RATIO"),"")</f>
        <v/>
      </c>
      <c r="K218" s="10">
        <f>IFERROR(BDP(Database!$A218&amp;" HK Equity","A/H_SHARE_CONVERSION"),"")</f>
        <v/>
      </c>
      <c r="L218" s="16">
        <f>IF(Database!BK218="","(none found)",Database!BK218)</f>
        <v/>
      </c>
      <c r="M218" s="18">
        <f>IFERROR(BDH(Database!$A218&amp;" HK Equity","CUR_MKT_CAP",Database!$H218,Database!$H218),"")</f>
        <v/>
      </c>
      <c r="N218" s="97">
        <f>Database!Q218</f>
        <v/>
      </c>
      <c r="O218" s="24">
        <f>IFERROR(BDH(Database!$A218&amp;" HK Equity","PE_RATIO",Database!$H218,Database!$H218),"")</f>
        <v/>
      </c>
      <c r="P218" s="101">
        <f>IF(Database!BE218="","(n/m or not derivable)",Database!BE218)</f>
        <v/>
      </c>
      <c r="Q218" s="24">
        <f>IF(Database!BK218="","",IFERROR(BDH(LEFT(Database!BK218,FIND(".",Database!BK218)-1)&amp;" CH Equity","PE_RATIO",Database!$H218,Database!$H218),""))</f>
        <v/>
      </c>
      <c r="R218" s="24">
        <f>IF(Database!BK218="","",IFERROR(BDH("HSAHP Index","PX_LAST",Database!$H218,Database!$H218),""))</f>
        <v/>
      </c>
      <c r="S218" s="24">
        <f>IFERROR(BDP(Database!$A218&amp;" HK Equity","PX_TO_SALES_RATIO"),"")</f>
        <v/>
      </c>
      <c r="T218" s="18">
        <f>IF(Database!BK218="","",IFERROR(BDP(LEFT(Database!BK218,FIND(".",Database!BK218)-1)&amp;"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Database!AF219</f>
        <v/>
      </c>
      <c r="J219" s="24">
        <f>IFERROR(BDP(Database!$A219&amp;" HK Equity","PE_RATIO"),"")</f>
        <v/>
      </c>
      <c r="K219" s="10">
        <f>IFERROR(BDP(Database!$A219&amp;" HK Equity","A/H_SHARE_CONVERSION"),"")</f>
        <v/>
      </c>
      <c r="L219" s="16">
        <f>IF(Database!BK219="","(none found)",Database!BK219)</f>
        <v/>
      </c>
      <c r="M219" s="18">
        <f>IFERROR(BDH(Database!$A219&amp;" HK Equity","CUR_MKT_CAP",Database!$H219,Database!$H219),"")</f>
        <v/>
      </c>
      <c r="N219" s="97">
        <f>Database!Q219</f>
        <v/>
      </c>
      <c r="O219" s="24">
        <f>IFERROR(BDH(Database!$A219&amp;" HK Equity","PE_RATIO",Database!$H219,Database!$H219),"")</f>
        <v/>
      </c>
      <c r="P219" s="101">
        <f>IF(Database!BE219="","(n/m or not derivable)",Database!BE219)</f>
        <v/>
      </c>
      <c r="Q219" s="24">
        <f>IF(Database!BK219="","",IFERROR(BDH(LEFT(Database!BK219,FIND(".",Database!BK219)-1)&amp;" CH Equity","PE_RATIO",Database!$H219,Database!$H219),""))</f>
        <v/>
      </c>
      <c r="R219" s="24">
        <f>IF(Database!BK219="","",IFERROR(BDH("HSAHP Index","PX_LAST",Database!$H219,Database!$H219),""))</f>
        <v/>
      </c>
      <c r="S219" s="24">
        <f>IFERROR(BDP(Database!$A219&amp;" HK Equity","PX_TO_SALES_RATIO"),"")</f>
        <v/>
      </c>
      <c r="T219" s="18">
        <f>IF(Database!BK219="","",IFERROR(BDP(LEFT(Database!BK219,FIND(".",Database!BK219)-1)&amp;"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Database!AF220</f>
        <v/>
      </c>
      <c r="J220" s="24">
        <f>IFERROR(BDP(Database!$A220&amp;" HK Equity","PE_RATIO"),"")</f>
        <v/>
      </c>
      <c r="K220" s="10">
        <f>IFERROR(BDP(Database!$A220&amp;" HK Equity","A/H_SHARE_CONVERSION"),"")</f>
        <v/>
      </c>
      <c r="L220" s="16">
        <f>IF(Database!BK220="","(none found)",Database!BK220)</f>
        <v/>
      </c>
      <c r="M220" s="18">
        <f>IFERROR(BDH(Database!$A220&amp;" HK Equity","CUR_MKT_CAP",Database!$H220,Database!$H220),"")</f>
        <v/>
      </c>
      <c r="N220" s="97">
        <f>Database!Q220</f>
        <v/>
      </c>
      <c r="O220" s="24">
        <f>IFERROR(BDH(Database!$A220&amp;" HK Equity","PE_RATIO",Database!$H220,Database!$H220),"")</f>
        <v/>
      </c>
      <c r="P220" s="101">
        <f>IF(Database!BE220="","(n/m or not derivable)",Database!BE220)</f>
        <v/>
      </c>
      <c r="Q220" s="24">
        <f>IF(Database!BK220="","",IFERROR(BDH(LEFT(Database!BK220,FIND(".",Database!BK220)-1)&amp;" CH Equity","PE_RATIO",Database!$H220,Database!$H220),""))</f>
        <v/>
      </c>
      <c r="R220" s="24">
        <f>IF(Database!BK220="","",IFERROR(BDH("HSAHP Index","PX_LAST",Database!$H220,Database!$H220),""))</f>
        <v/>
      </c>
      <c r="S220" s="24">
        <f>IFERROR(BDP(Database!$A220&amp;" HK Equity","PX_TO_SALES_RATIO"),"")</f>
        <v/>
      </c>
      <c r="T220" s="18">
        <f>IF(Database!BK220="","",IFERROR(BDP(LEFT(Database!BK220,FIND(".",Database!BK220)-1)&amp;"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Database!AF221</f>
        <v/>
      </c>
      <c r="J221" s="24">
        <f>IFERROR(BDP(Database!$A221&amp;" HK Equity","PE_RATIO"),"")</f>
        <v/>
      </c>
      <c r="K221" s="10">
        <f>IFERROR(BDP(Database!$A221&amp;" HK Equity","A/H_SHARE_CONVERSION"),"")</f>
        <v/>
      </c>
      <c r="L221" s="16">
        <f>IF(Database!BK221="","(none found)",Database!BK221)</f>
        <v/>
      </c>
      <c r="M221" s="18">
        <f>IFERROR(BDH(Database!$A221&amp;" HK Equity","CUR_MKT_CAP",Database!$H221,Database!$H221),"")</f>
        <v/>
      </c>
      <c r="N221" s="97">
        <f>Database!Q221</f>
        <v/>
      </c>
      <c r="O221" s="24">
        <f>IFERROR(BDH(Database!$A221&amp;" HK Equity","PE_RATIO",Database!$H221,Database!$H221),"")</f>
        <v/>
      </c>
      <c r="P221" s="101">
        <f>IF(Database!BE221="","(n/m or not derivable)",Database!BE221)</f>
        <v/>
      </c>
      <c r="Q221" s="24">
        <f>IF(Database!BK221="","",IFERROR(BDH(LEFT(Database!BK221,FIND(".",Database!BK221)-1)&amp;" CH Equity","PE_RATIO",Database!$H221,Database!$H221),""))</f>
        <v/>
      </c>
      <c r="R221" s="24">
        <f>IF(Database!BK221="","",IFERROR(BDH("HSAHP Index","PX_LAST",Database!$H221,Database!$H221),""))</f>
        <v/>
      </c>
      <c r="S221" s="24">
        <f>IFERROR(BDP(Database!$A221&amp;" HK Equity","PX_TO_SALES_RATIO"),"")</f>
        <v/>
      </c>
      <c r="T221" s="18">
        <f>IF(Database!BK221="","",IFERROR(BDP(LEFT(Database!BK221,FIND(".",Database!BK221)-1)&amp;"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Database!AF222</f>
        <v/>
      </c>
      <c r="J222" s="24">
        <f>IFERROR(BDP(Database!$A222&amp;" HK Equity","PE_RATIO"),"")</f>
        <v/>
      </c>
      <c r="K222" s="10">
        <f>IFERROR(BDP(Database!$A222&amp;" HK Equity","A/H_SHARE_CONVERSION"),"")</f>
        <v/>
      </c>
      <c r="L222" s="16">
        <f>IF(Database!BK222="","(none found)",Database!BK222)</f>
        <v/>
      </c>
      <c r="M222" s="18">
        <f>IFERROR(BDH(Database!$A222&amp;" HK Equity","CUR_MKT_CAP",Database!$H222,Database!$H222),"")</f>
        <v/>
      </c>
      <c r="N222" s="97">
        <f>Database!Q222</f>
        <v/>
      </c>
      <c r="O222" s="24">
        <f>IFERROR(BDH(Database!$A222&amp;" HK Equity","PE_RATIO",Database!$H222,Database!$H222),"")</f>
        <v/>
      </c>
      <c r="P222" s="101">
        <f>IF(Database!BE222="","(n/m or not derivable)",Database!BE222)</f>
        <v/>
      </c>
      <c r="Q222" s="24">
        <f>IF(Database!BK222="","",IFERROR(BDH(LEFT(Database!BK222,FIND(".",Database!BK222)-1)&amp;" CH Equity","PE_RATIO",Database!$H222,Database!$H222),""))</f>
        <v/>
      </c>
      <c r="R222" s="24">
        <f>IF(Database!BK222="","",IFERROR(BDH("HSAHP Index","PX_LAST",Database!$H222,Database!$H222),""))</f>
        <v/>
      </c>
      <c r="S222" s="24">
        <f>IFERROR(BDP(Database!$A222&amp;" HK Equity","PX_TO_SALES_RATIO"),"")</f>
        <v/>
      </c>
      <c r="T222" s="18">
        <f>IF(Database!BK222="","",IFERROR(BDP(LEFT(Database!BK222,FIND(".",Database!BK222)-1)&amp;"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Database!AF223</f>
        <v/>
      </c>
      <c r="J223" s="24">
        <f>IFERROR(BDP(Database!$A223&amp;" HK Equity","PE_RATIO"),"")</f>
        <v/>
      </c>
      <c r="K223" s="10">
        <f>IFERROR(BDP(Database!$A223&amp;" HK Equity","A/H_SHARE_CONVERSION"),"")</f>
        <v/>
      </c>
      <c r="L223" s="16">
        <f>IF(Database!BK223="","(none found)",Database!BK223)</f>
        <v/>
      </c>
      <c r="M223" s="18">
        <f>IFERROR(BDH(Database!$A223&amp;" HK Equity","CUR_MKT_CAP",Database!$H223,Database!$H223),"")</f>
        <v/>
      </c>
      <c r="N223" s="97">
        <f>Database!Q223</f>
        <v/>
      </c>
      <c r="O223" s="24">
        <f>IFERROR(BDH(Database!$A223&amp;" HK Equity","PE_RATIO",Database!$H223,Database!$H223),"")</f>
        <v/>
      </c>
      <c r="P223" s="101">
        <f>IF(Database!BE223="","(n/m or not derivable)",Database!BE223)</f>
        <v/>
      </c>
      <c r="Q223" s="24">
        <f>IF(Database!BK223="","",IFERROR(BDH(LEFT(Database!BK223,FIND(".",Database!BK223)-1)&amp;" CH Equity","PE_RATIO",Database!$H223,Database!$H223),""))</f>
        <v/>
      </c>
      <c r="R223" s="24">
        <f>IF(Database!BK223="","",IFERROR(BDH("HSAHP Index","PX_LAST",Database!$H223,Database!$H223),""))</f>
        <v/>
      </c>
      <c r="S223" s="24">
        <f>IFERROR(BDP(Database!$A223&amp;" HK Equity","PX_TO_SALES_RATIO"),"")</f>
        <v/>
      </c>
      <c r="T223" s="18">
        <f>IF(Database!BK223="","",IFERROR(BDP(LEFT(Database!BK223,FIND(".",Database!BK223)-1)&amp;"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Database!AF224</f>
        <v/>
      </c>
      <c r="J224" s="24">
        <f>IFERROR(BDP(Database!$A224&amp;" HK Equity","PE_RATIO"),"")</f>
        <v/>
      </c>
      <c r="K224" s="10">
        <f>IFERROR(BDP(Database!$A224&amp;" HK Equity","A/H_SHARE_CONVERSION"),"")</f>
        <v/>
      </c>
      <c r="L224" s="16">
        <f>IF(Database!BK224="","(none found)",Database!BK224)</f>
        <v/>
      </c>
      <c r="M224" s="18">
        <f>IFERROR(BDH(Database!$A224&amp;" HK Equity","CUR_MKT_CAP",Database!$H224,Database!$H224),"")</f>
        <v/>
      </c>
      <c r="N224" s="97">
        <f>Database!Q224</f>
        <v/>
      </c>
      <c r="O224" s="24">
        <f>IFERROR(BDH(Database!$A224&amp;" HK Equity","PE_RATIO",Database!$H224,Database!$H224),"")</f>
        <v/>
      </c>
      <c r="P224" s="101">
        <f>IF(Database!BE224="","(n/m or not derivable)",Database!BE224)</f>
        <v/>
      </c>
      <c r="Q224" s="24">
        <f>IF(Database!BK224="","",IFERROR(BDH(LEFT(Database!BK224,FIND(".",Database!BK224)-1)&amp;" CH Equity","PE_RATIO",Database!$H224,Database!$H224),""))</f>
        <v/>
      </c>
      <c r="R224" s="24">
        <f>IF(Database!BK224="","",IFERROR(BDH("HSAHP Index","PX_LAST",Database!$H224,Database!$H224),""))</f>
        <v/>
      </c>
      <c r="S224" s="24">
        <f>IFERROR(BDP(Database!$A224&amp;" HK Equity","PX_TO_SALES_RATIO"),"")</f>
        <v/>
      </c>
      <c r="T224" s="18">
        <f>IF(Database!BK224="","",IFERROR(BDP(LEFT(Database!BK224,FIND(".",Database!BK224)-1)&amp;"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Database!AF225</f>
        <v/>
      </c>
      <c r="J225" s="24">
        <f>IFERROR(BDP(Database!$A225&amp;" HK Equity","PE_RATIO"),"")</f>
        <v/>
      </c>
      <c r="K225" s="10">
        <f>IFERROR(BDP(Database!$A225&amp;" HK Equity","A/H_SHARE_CONVERSION"),"")</f>
        <v/>
      </c>
      <c r="L225" s="16">
        <f>IF(Database!BK225="","(none found)",Database!BK225)</f>
        <v/>
      </c>
      <c r="M225" s="18">
        <f>IFERROR(BDH(Database!$A225&amp;" HK Equity","CUR_MKT_CAP",Database!$H225,Database!$H225),"")</f>
        <v/>
      </c>
      <c r="N225" s="97">
        <f>Database!Q225</f>
        <v/>
      </c>
      <c r="O225" s="24">
        <f>IFERROR(BDH(Database!$A225&amp;" HK Equity","PE_RATIO",Database!$H225,Database!$H225),"")</f>
        <v/>
      </c>
      <c r="P225" s="101">
        <f>IF(Database!BE225="","(n/m or not derivable)",Database!BE225)</f>
        <v/>
      </c>
      <c r="Q225" s="24">
        <f>IF(Database!BK225="","",IFERROR(BDH(LEFT(Database!BK225,FIND(".",Database!BK225)-1)&amp;" CH Equity","PE_RATIO",Database!$H225,Database!$H225),""))</f>
        <v/>
      </c>
      <c r="R225" s="24">
        <f>IF(Database!BK225="","",IFERROR(BDH("HSAHP Index","PX_LAST",Database!$H225,Database!$H225),""))</f>
        <v/>
      </c>
      <c r="S225" s="24">
        <f>IFERROR(BDP(Database!$A225&amp;" HK Equity","PX_TO_SALES_RATIO"),"")</f>
        <v/>
      </c>
      <c r="T225" s="18">
        <f>IF(Database!BK225="","",IFERROR(BDP(LEFT(Database!BK225,FIND(".",Database!BK225)-1)&amp;"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Database!AF226</f>
        <v/>
      </c>
      <c r="J226" s="24">
        <f>IFERROR(BDP(Database!$A226&amp;" HK Equity","PE_RATIO"),"")</f>
        <v/>
      </c>
      <c r="K226" s="10">
        <f>IFERROR(BDP(Database!$A226&amp;" HK Equity","A/H_SHARE_CONVERSION"),"")</f>
        <v/>
      </c>
      <c r="L226" s="16">
        <f>IF(Database!BK226="","(none found)",Database!BK226)</f>
        <v/>
      </c>
      <c r="M226" s="18">
        <f>IFERROR(BDH(Database!$A226&amp;" HK Equity","CUR_MKT_CAP",Database!$H226,Database!$H226),"")</f>
        <v/>
      </c>
      <c r="N226" s="97">
        <f>Database!Q226</f>
        <v/>
      </c>
      <c r="O226" s="24">
        <f>IFERROR(BDH(Database!$A226&amp;" HK Equity","PE_RATIO",Database!$H226,Database!$H226),"")</f>
        <v/>
      </c>
      <c r="P226" s="101">
        <f>IF(Database!BE226="","(n/m or not derivable)",Database!BE226)</f>
        <v/>
      </c>
      <c r="Q226" s="24">
        <f>IF(Database!BK226="","",IFERROR(BDH(LEFT(Database!BK226,FIND(".",Database!BK226)-1)&amp;" CH Equity","PE_RATIO",Database!$H226,Database!$H226),""))</f>
        <v/>
      </c>
      <c r="R226" s="24">
        <f>IF(Database!BK226="","",IFERROR(BDH("HSAHP Index","PX_LAST",Database!$H226,Database!$H226),""))</f>
        <v/>
      </c>
      <c r="S226" s="24">
        <f>IFERROR(BDP(Database!$A226&amp;" HK Equity","PX_TO_SALES_RATIO"),"")</f>
        <v/>
      </c>
      <c r="T226" s="18">
        <f>IF(Database!BK226="","",IFERROR(BDP(LEFT(Database!BK226,FIND(".",Database!BK226)-1)&amp;"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Database!AF227</f>
        <v/>
      </c>
      <c r="J227" s="24">
        <f>IFERROR(BDP(Database!$A227&amp;" HK Equity","PE_RATIO"),"")</f>
        <v/>
      </c>
      <c r="K227" s="10">
        <f>IFERROR(BDP(Database!$A227&amp;" HK Equity","A/H_SHARE_CONVERSION"),"")</f>
        <v/>
      </c>
      <c r="L227" s="16">
        <f>IF(Database!BK227="","(none found)",Database!BK227)</f>
        <v/>
      </c>
      <c r="M227" s="18">
        <f>IFERROR(BDH(Database!$A227&amp;" HK Equity","CUR_MKT_CAP",Database!$H227,Database!$H227),"")</f>
        <v/>
      </c>
      <c r="N227" s="97">
        <f>Database!Q227</f>
        <v/>
      </c>
      <c r="O227" s="24">
        <f>IFERROR(BDH(Database!$A227&amp;" HK Equity","PE_RATIO",Database!$H227,Database!$H227),"")</f>
        <v/>
      </c>
      <c r="P227" s="101">
        <f>IF(Database!BE227="","(n/m or not derivable)",Database!BE227)</f>
        <v/>
      </c>
      <c r="Q227" s="24">
        <f>IF(Database!BK227="","",IFERROR(BDH(LEFT(Database!BK227,FIND(".",Database!BK227)-1)&amp;" CH Equity","PE_RATIO",Database!$H227,Database!$H227),""))</f>
        <v/>
      </c>
      <c r="R227" s="24">
        <f>IF(Database!BK227="","",IFERROR(BDH("HSAHP Index","PX_LAST",Database!$H227,Database!$H227),""))</f>
        <v/>
      </c>
      <c r="S227" s="24">
        <f>IFERROR(BDP(Database!$A227&amp;" HK Equity","PX_TO_SALES_RATIO"),"")</f>
        <v/>
      </c>
      <c r="T227" s="18">
        <f>IF(Database!BK227="","",IFERROR(BDP(LEFT(Database!BK227,FIND(".",Database!BK227)-1)&amp;"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Database!AF228</f>
        <v/>
      </c>
      <c r="J228" s="24">
        <f>IFERROR(BDP(Database!$A228&amp;" HK Equity","PE_RATIO"),"")</f>
        <v/>
      </c>
      <c r="K228" s="10">
        <f>IFERROR(BDP(Database!$A228&amp;" HK Equity","A/H_SHARE_CONVERSION"),"")</f>
        <v/>
      </c>
      <c r="L228" s="16">
        <f>IF(Database!BK228="","(none found)",Database!BK228)</f>
        <v/>
      </c>
      <c r="M228" s="18">
        <f>IFERROR(BDH(Database!$A228&amp;" HK Equity","CUR_MKT_CAP",Database!$H228,Database!$H228),"")</f>
        <v/>
      </c>
      <c r="N228" s="97">
        <f>Database!Q228</f>
        <v/>
      </c>
      <c r="O228" s="24">
        <f>IFERROR(BDH(Database!$A228&amp;" HK Equity","PE_RATIO",Database!$H228,Database!$H228),"")</f>
        <v/>
      </c>
      <c r="P228" s="101">
        <f>IF(Database!BE228="","(n/m or not derivable)",Database!BE228)</f>
        <v/>
      </c>
      <c r="Q228" s="24">
        <f>IF(Database!BK228="","",IFERROR(BDH(LEFT(Database!BK228,FIND(".",Database!BK228)-1)&amp;" CH Equity","PE_RATIO",Database!$H228,Database!$H228),""))</f>
        <v/>
      </c>
      <c r="R228" s="24">
        <f>IF(Database!BK228="","",IFERROR(BDH("HSAHP Index","PX_LAST",Database!$H228,Database!$H228),""))</f>
        <v/>
      </c>
      <c r="S228" s="24">
        <f>IFERROR(BDP(Database!$A228&amp;" HK Equity","PX_TO_SALES_RATIO"),"")</f>
        <v/>
      </c>
      <c r="T228" s="18">
        <f>IF(Database!BK228="","",IFERROR(BDP(LEFT(Database!BK228,FIND(".",Database!BK228)-1)&amp;"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Database!AF229</f>
        <v/>
      </c>
      <c r="J229" s="24">
        <f>IFERROR(BDP(Database!$A229&amp;" HK Equity","PE_RATIO"),"")</f>
        <v/>
      </c>
      <c r="K229" s="10">
        <f>IFERROR(BDP(Database!$A229&amp;" HK Equity","A/H_SHARE_CONVERSION"),"")</f>
        <v/>
      </c>
      <c r="L229" s="16">
        <f>IF(Database!BK229="","(none found)",Database!BK229)</f>
        <v/>
      </c>
      <c r="M229" s="18">
        <f>IFERROR(BDH(Database!$A229&amp;" HK Equity","CUR_MKT_CAP",Database!$H229,Database!$H229),"")</f>
        <v/>
      </c>
      <c r="N229" s="97">
        <f>Database!Q229</f>
        <v/>
      </c>
      <c r="O229" s="24">
        <f>IFERROR(BDH(Database!$A229&amp;" HK Equity","PE_RATIO",Database!$H229,Database!$H229),"")</f>
        <v/>
      </c>
      <c r="P229" s="101">
        <f>IF(Database!BE229="","(n/m or not derivable)",Database!BE229)</f>
        <v/>
      </c>
      <c r="Q229" s="24">
        <f>IF(Database!BK229="","",IFERROR(BDH(LEFT(Database!BK229,FIND(".",Database!BK229)-1)&amp;" CH Equity","PE_RATIO",Database!$H229,Database!$H229),""))</f>
        <v/>
      </c>
      <c r="R229" s="24">
        <f>IF(Database!BK229="","",IFERROR(BDH("HSAHP Index","PX_LAST",Database!$H229,Database!$H229),""))</f>
        <v/>
      </c>
      <c r="S229" s="24">
        <f>IFERROR(BDP(Database!$A229&amp;" HK Equity","PX_TO_SALES_RATIO"),"")</f>
        <v/>
      </c>
      <c r="T229" s="18">
        <f>IF(Database!BK229="","",IFERROR(BDP(LEFT(Database!BK229,FIND(".",Database!BK229)-1)&amp;"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Database!AF230</f>
        <v/>
      </c>
      <c r="J230" s="24">
        <f>IFERROR(BDP(Database!$A230&amp;" HK Equity","PE_RATIO"),"")</f>
        <v/>
      </c>
      <c r="K230" s="10">
        <f>IFERROR(BDP(Database!$A230&amp;" HK Equity","A/H_SHARE_CONVERSION"),"")</f>
        <v/>
      </c>
      <c r="L230" s="16">
        <f>IF(Database!BK230="","(none found)",Database!BK230)</f>
        <v/>
      </c>
      <c r="M230" s="18">
        <f>IFERROR(BDH(Database!$A230&amp;" HK Equity","CUR_MKT_CAP",Database!$H230,Database!$H230),"")</f>
        <v/>
      </c>
      <c r="N230" s="97">
        <f>Database!Q230</f>
        <v/>
      </c>
      <c r="O230" s="24">
        <f>IFERROR(BDH(Database!$A230&amp;" HK Equity","PE_RATIO",Database!$H230,Database!$H230),"")</f>
        <v/>
      </c>
      <c r="P230" s="101">
        <f>IF(Database!BE230="","(n/m or not derivable)",Database!BE230)</f>
        <v/>
      </c>
      <c r="Q230" s="24">
        <f>IF(Database!BK230="","",IFERROR(BDH(LEFT(Database!BK230,FIND(".",Database!BK230)-1)&amp;" CH Equity","PE_RATIO",Database!$H230,Database!$H230),""))</f>
        <v/>
      </c>
      <c r="R230" s="24">
        <f>IF(Database!BK230="","",IFERROR(BDH("HSAHP Index","PX_LAST",Database!$H230,Database!$H230),""))</f>
        <v/>
      </c>
      <c r="S230" s="24">
        <f>IFERROR(BDP(Database!$A230&amp;" HK Equity","PX_TO_SALES_RATIO"),"")</f>
        <v/>
      </c>
      <c r="T230" s="18">
        <f>IF(Database!BK230="","",IFERROR(BDP(LEFT(Database!BK230,FIND(".",Database!BK230)-1)&amp;"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Database!AF231</f>
        <v/>
      </c>
      <c r="J231" s="24">
        <f>IFERROR(BDP(Database!$A231&amp;" HK Equity","PE_RATIO"),"")</f>
        <v/>
      </c>
      <c r="K231" s="10">
        <f>IFERROR(BDP(Database!$A231&amp;" HK Equity","A/H_SHARE_CONVERSION"),"")</f>
        <v/>
      </c>
      <c r="L231" s="16">
        <f>IF(Database!BK231="","(none found)",Database!BK231)</f>
        <v/>
      </c>
      <c r="M231" s="18">
        <f>IFERROR(BDH(Database!$A231&amp;" HK Equity","CUR_MKT_CAP",Database!$H231,Database!$H231),"")</f>
        <v/>
      </c>
      <c r="N231" s="97">
        <f>Database!Q231</f>
        <v/>
      </c>
      <c r="O231" s="24">
        <f>IFERROR(BDH(Database!$A231&amp;" HK Equity","PE_RATIO",Database!$H231,Database!$H231),"")</f>
        <v/>
      </c>
      <c r="P231" s="101">
        <f>IF(Database!BE231="","(n/m or not derivable)",Database!BE231)</f>
        <v/>
      </c>
      <c r="Q231" s="24">
        <f>IF(Database!BK231="","",IFERROR(BDH(LEFT(Database!BK231,FIND(".",Database!BK231)-1)&amp;" CH Equity","PE_RATIO",Database!$H231,Database!$H231),""))</f>
        <v/>
      </c>
      <c r="R231" s="24">
        <f>IF(Database!BK231="","",IFERROR(BDH("HSAHP Index","PX_LAST",Database!$H231,Database!$H231),""))</f>
        <v/>
      </c>
      <c r="S231" s="24">
        <f>IFERROR(BDP(Database!$A231&amp;" HK Equity","PX_TO_SALES_RATIO"),"")</f>
        <v/>
      </c>
      <c r="T231" s="18">
        <f>IF(Database!BK231="","",IFERROR(BDP(LEFT(Database!BK231,FIND(".",Database!BK231)-1)&amp;"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Database!AF232</f>
        <v/>
      </c>
      <c r="J232" s="24">
        <f>IFERROR(BDP(Database!$A232&amp;" HK Equity","PE_RATIO"),"")</f>
        <v/>
      </c>
      <c r="K232" s="10">
        <f>IFERROR(BDP(Database!$A232&amp;" HK Equity","A/H_SHARE_CONVERSION"),"")</f>
        <v/>
      </c>
      <c r="L232" s="16">
        <f>IF(Database!BK232="","(none found)",Database!BK232)</f>
        <v/>
      </c>
      <c r="M232" s="18">
        <f>IFERROR(BDH(Database!$A232&amp;" HK Equity","CUR_MKT_CAP",Database!$H232,Database!$H232),"")</f>
        <v/>
      </c>
      <c r="N232" s="97">
        <f>Database!Q232</f>
        <v/>
      </c>
      <c r="O232" s="24">
        <f>IFERROR(BDH(Database!$A232&amp;" HK Equity","PE_RATIO",Database!$H232,Database!$H232),"")</f>
        <v/>
      </c>
      <c r="P232" s="101">
        <f>IF(Database!BE232="","(n/m or not derivable)",Database!BE232)</f>
        <v/>
      </c>
      <c r="Q232" s="24">
        <f>IF(Database!BK232="","",IFERROR(BDH(LEFT(Database!BK232,FIND(".",Database!BK232)-1)&amp;" CH Equity","PE_RATIO",Database!$H232,Database!$H232),""))</f>
        <v/>
      </c>
      <c r="R232" s="24">
        <f>IF(Database!BK232="","",IFERROR(BDH("HSAHP Index","PX_LAST",Database!$H232,Database!$H232),""))</f>
        <v/>
      </c>
      <c r="S232" s="24">
        <f>IFERROR(BDP(Database!$A232&amp;" HK Equity","PX_TO_SALES_RATIO"),"")</f>
        <v/>
      </c>
      <c r="T232" s="18">
        <f>IF(Database!BK232="","",IFERROR(BDP(LEFT(Database!BK232,FIND(".",Database!BK232)-1)&amp;"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Database!AF233</f>
        <v/>
      </c>
      <c r="J233" s="24">
        <f>IFERROR(BDP(Database!$A233&amp;" HK Equity","PE_RATIO"),"")</f>
        <v/>
      </c>
      <c r="K233" s="10">
        <f>IFERROR(BDP(Database!$A233&amp;" HK Equity","A/H_SHARE_CONVERSION"),"")</f>
        <v/>
      </c>
      <c r="L233" s="16">
        <f>IF(Database!BK233="","(none found)",Database!BK233)</f>
        <v/>
      </c>
      <c r="M233" s="18">
        <f>IFERROR(BDH(Database!$A233&amp;" HK Equity","CUR_MKT_CAP",Database!$H233,Database!$H233),"")</f>
        <v/>
      </c>
      <c r="N233" s="97">
        <f>Database!Q233</f>
        <v/>
      </c>
      <c r="O233" s="24">
        <f>IFERROR(BDH(Database!$A233&amp;" HK Equity","PE_RATIO",Database!$H233,Database!$H233),"")</f>
        <v/>
      </c>
      <c r="P233" s="101">
        <f>IF(Database!BE233="","(n/m or not derivable)",Database!BE233)</f>
        <v/>
      </c>
      <c r="Q233" s="24">
        <f>IF(Database!BK233="","",IFERROR(BDH(LEFT(Database!BK233,FIND(".",Database!BK233)-1)&amp;" CH Equity","PE_RATIO",Database!$H233,Database!$H233),""))</f>
        <v/>
      </c>
      <c r="R233" s="24">
        <f>IF(Database!BK233="","",IFERROR(BDH("HSAHP Index","PX_LAST",Database!$H233,Database!$H233),""))</f>
        <v/>
      </c>
      <c r="S233" s="24">
        <f>IFERROR(BDP(Database!$A233&amp;" HK Equity","PX_TO_SALES_RATIO"),"")</f>
        <v/>
      </c>
      <c r="T233" s="18">
        <f>IF(Database!BK233="","",IFERROR(BDP(LEFT(Database!BK233,FIND(".",Database!BK233)-1)&amp;"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Database!AF234</f>
        <v/>
      </c>
      <c r="J234" s="24">
        <f>IFERROR(BDP(Database!$A234&amp;" HK Equity","PE_RATIO"),"")</f>
        <v/>
      </c>
      <c r="K234" s="10">
        <f>IFERROR(BDP(Database!$A234&amp;" HK Equity","A/H_SHARE_CONVERSION"),"")</f>
        <v/>
      </c>
      <c r="L234" s="16">
        <f>IF(Database!BK234="","(none found)",Database!BK234)</f>
        <v/>
      </c>
      <c r="M234" s="18">
        <f>IFERROR(BDH(Database!$A234&amp;" HK Equity","CUR_MKT_CAP",Database!$H234,Database!$H234),"")</f>
        <v/>
      </c>
      <c r="N234" s="97">
        <f>Database!Q234</f>
        <v/>
      </c>
      <c r="O234" s="24">
        <f>IFERROR(BDH(Database!$A234&amp;" HK Equity","PE_RATIO",Database!$H234,Database!$H234),"")</f>
        <v/>
      </c>
      <c r="P234" s="101">
        <f>IF(Database!BE234="","(n/m or not derivable)",Database!BE234)</f>
        <v/>
      </c>
      <c r="Q234" s="24">
        <f>IF(Database!BK234="","",IFERROR(BDH(LEFT(Database!BK234,FIND(".",Database!BK234)-1)&amp;" CH Equity","PE_RATIO",Database!$H234,Database!$H234),""))</f>
        <v/>
      </c>
      <c r="R234" s="24">
        <f>IF(Database!BK234="","",IFERROR(BDH("HSAHP Index","PX_LAST",Database!$H234,Database!$H234),""))</f>
        <v/>
      </c>
      <c r="S234" s="24">
        <f>IFERROR(BDP(Database!$A234&amp;" HK Equity","PX_TO_SALES_RATIO"),"")</f>
        <v/>
      </c>
      <c r="T234" s="18">
        <f>IF(Database!BK234="","",IFERROR(BDP(LEFT(Database!BK234,FIND(".",Database!BK234)-1)&amp;"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Database!AF235</f>
        <v/>
      </c>
      <c r="J235" s="24">
        <f>IFERROR(BDP(Database!$A235&amp;" HK Equity","PE_RATIO"),"")</f>
        <v/>
      </c>
      <c r="K235" s="10">
        <f>IFERROR(BDP(Database!$A235&amp;" HK Equity","A/H_SHARE_CONVERSION"),"")</f>
        <v/>
      </c>
      <c r="L235" s="16">
        <f>IF(Database!BK235="","(none found)",Database!BK235)</f>
        <v/>
      </c>
      <c r="M235" s="18">
        <f>IFERROR(BDH(Database!$A235&amp;" HK Equity","CUR_MKT_CAP",Database!$H235,Database!$H235),"")</f>
        <v/>
      </c>
      <c r="N235" s="97">
        <f>Database!Q235</f>
        <v/>
      </c>
      <c r="O235" s="24">
        <f>IFERROR(BDH(Database!$A235&amp;" HK Equity","PE_RATIO",Database!$H235,Database!$H235),"")</f>
        <v/>
      </c>
      <c r="P235" s="101">
        <f>IF(Database!BE235="","(n/m or not derivable)",Database!BE235)</f>
        <v/>
      </c>
      <c r="Q235" s="24">
        <f>IF(Database!BK235="","",IFERROR(BDH(LEFT(Database!BK235,FIND(".",Database!BK235)-1)&amp;" CH Equity","PE_RATIO",Database!$H235,Database!$H235),""))</f>
        <v/>
      </c>
      <c r="R235" s="24">
        <f>IF(Database!BK235="","",IFERROR(BDH("HSAHP Index","PX_LAST",Database!$H235,Database!$H235),""))</f>
        <v/>
      </c>
      <c r="S235" s="24">
        <f>IFERROR(BDP(Database!$A235&amp;" HK Equity","PX_TO_SALES_RATIO"),"")</f>
        <v/>
      </c>
      <c r="T235" s="18">
        <f>IF(Database!BK235="","",IFERROR(BDP(LEFT(Database!BK235,FIND(".",Database!BK235)-1)&amp;"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Database!AF236</f>
        <v/>
      </c>
      <c r="J236" s="24">
        <f>IFERROR(BDP(Database!$A236&amp;" HK Equity","PE_RATIO"),"")</f>
        <v/>
      </c>
      <c r="K236" s="10">
        <f>IFERROR(BDP(Database!$A236&amp;" HK Equity","A/H_SHARE_CONVERSION"),"")</f>
        <v/>
      </c>
      <c r="L236" s="16">
        <f>IF(Database!BK236="","(none found)",Database!BK236)</f>
        <v/>
      </c>
      <c r="M236" s="18">
        <f>IFERROR(BDH(Database!$A236&amp;" HK Equity","CUR_MKT_CAP",Database!$H236,Database!$H236),"")</f>
        <v/>
      </c>
      <c r="N236" s="97">
        <f>Database!Q236</f>
        <v/>
      </c>
      <c r="O236" s="24">
        <f>IFERROR(BDH(Database!$A236&amp;" HK Equity","PE_RATIO",Database!$H236,Database!$H236),"")</f>
        <v/>
      </c>
      <c r="P236" s="101">
        <f>IF(Database!BE236="","(n/m or not derivable)",Database!BE236)</f>
        <v/>
      </c>
      <c r="Q236" s="24">
        <f>IF(Database!BK236="","",IFERROR(BDH(LEFT(Database!BK236,FIND(".",Database!BK236)-1)&amp;" CH Equity","PE_RATIO",Database!$H236,Database!$H236),""))</f>
        <v/>
      </c>
      <c r="R236" s="24">
        <f>IF(Database!BK236="","",IFERROR(BDH("HSAHP Index","PX_LAST",Database!$H236,Database!$H236),""))</f>
        <v/>
      </c>
      <c r="S236" s="24">
        <f>IFERROR(BDP(Database!$A236&amp;" HK Equity","PX_TO_SALES_RATIO"),"")</f>
        <v/>
      </c>
      <c r="T236" s="18">
        <f>IF(Database!BK236="","",IFERROR(BDP(LEFT(Database!BK236,FIND(".",Database!BK236)-1)&amp;"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Database!AF237</f>
        <v/>
      </c>
      <c r="J237" s="24">
        <f>IFERROR(BDP(Database!$A237&amp;" HK Equity","PE_RATIO"),"")</f>
        <v/>
      </c>
      <c r="K237" s="10">
        <f>IFERROR(BDP(Database!$A237&amp;" HK Equity","A/H_SHARE_CONVERSION"),"")</f>
        <v/>
      </c>
      <c r="L237" s="16">
        <f>IF(Database!BK237="","(none found)",Database!BK237)</f>
        <v/>
      </c>
      <c r="M237" s="18">
        <f>IFERROR(BDH(Database!$A237&amp;" HK Equity","CUR_MKT_CAP",Database!$H237,Database!$H237),"")</f>
        <v/>
      </c>
      <c r="N237" s="97">
        <f>Database!Q237</f>
        <v/>
      </c>
      <c r="O237" s="24">
        <f>IFERROR(BDH(Database!$A237&amp;" HK Equity","PE_RATIO",Database!$H237,Database!$H237),"")</f>
        <v/>
      </c>
      <c r="P237" s="101">
        <f>IF(Database!BE237="","(n/m or not derivable)",Database!BE237)</f>
        <v/>
      </c>
      <c r="Q237" s="24">
        <f>IF(Database!BK237="","",IFERROR(BDH(LEFT(Database!BK237,FIND(".",Database!BK237)-1)&amp;" CH Equity","PE_RATIO",Database!$H237,Database!$H237),""))</f>
        <v/>
      </c>
      <c r="R237" s="24">
        <f>IF(Database!BK237="","",IFERROR(BDH("HSAHP Index","PX_LAST",Database!$H237,Database!$H237),""))</f>
        <v/>
      </c>
      <c r="S237" s="24">
        <f>IFERROR(BDP(Database!$A237&amp;" HK Equity","PX_TO_SALES_RATIO"),"")</f>
        <v/>
      </c>
      <c r="T237" s="18">
        <f>IF(Database!BK237="","",IFERROR(BDP(LEFT(Database!BK237,FIND(".",Database!BK237)-1)&amp;"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Database!AF238</f>
        <v/>
      </c>
      <c r="J238" s="24">
        <f>IFERROR(BDP(Database!$A238&amp;" HK Equity","PE_RATIO"),"")</f>
        <v/>
      </c>
      <c r="K238" s="10">
        <f>IFERROR(BDP(Database!$A238&amp;" HK Equity","A/H_SHARE_CONVERSION"),"")</f>
        <v/>
      </c>
      <c r="L238" s="16">
        <f>IF(Database!BK238="","(none found)",Database!BK238)</f>
        <v/>
      </c>
      <c r="M238" s="18">
        <f>IFERROR(BDH(Database!$A238&amp;" HK Equity","CUR_MKT_CAP",Database!$H238,Database!$H238),"")</f>
        <v/>
      </c>
      <c r="N238" s="97">
        <f>Database!Q238</f>
        <v/>
      </c>
      <c r="O238" s="24">
        <f>IFERROR(BDH(Database!$A238&amp;" HK Equity","PE_RATIO",Database!$H238,Database!$H238),"")</f>
        <v/>
      </c>
      <c r="P238" s="101">
        <f>IF(Database!BE238="","(n/m or not derivable)",Database!BE238)</f>
        <v/>
      </c>
      <c r="Q238" s="24">
        <f>IF(Database!BK238="","",IFERROR(BDH(LEFT(Database!BK238,FIND(".",Database!BK238)-1)&amp;" CH Equity","PE_RATIO",Database!$H238,Database!$H238),""))</f>
        <v/>
      </c>
      <c r="R238" s="24">
        <f>IF(Database!BK238="","",IFERROR(BDH("HSAHP Index","PX_LAST",Database!$H238,Database!$H238),""))</f>
        <v/>
      </c>
      <c r="S238" s="24">
        <f>IFERROR(BDP(Database!$A238&amp;" HK Equity","PX_TO_SALES_RATIO"),"")</f>
        <v/>
      </c>
      <c r="T238" s="18">
        <f>IF(Database!BK238="","",IFERROR(BDP(LEFT(Database!BK238,FIND(".",Database!BK238)-1)&amp;"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Database!AF239</f>
        <v/>
      </c>
      <c r="J239" s="24">
        <f>IFERROR(BDP(Database!$A239&amp;" HK Equity","PE_RATIO"),"")</f>
        <v/>
      </c>
      <c r="K239" s="10">
        <f>IFERROR(BDP(Database!$A239&amp;" HK Equity","A/H_SHARE_CONVERSION"),"")</f>
        <v/>
      </c>
      <c r="L239" s="16">
        <f>IF(Database!BK239="","(none found)",Database!BK239)</f>
        <v/>
      </c>
      <c r="M239" s="18">
        <f>IFERROR(BDH(Database!$A239&amp;" HK Equity","CUR_MKT_CAP",Database!$H239,Database!$H239),"")</f>
        <v/>
      </c>
      <c r="N239" s="97">
        <f>Database!Q239</f>
        <v/>
      </c>
      <c r="O239" s="24">
        <f>IFERROR(BDH(Database!$A239&amp;" HK Equity","PE_RATIO",Database!$H239,Database!$H239),"")</f>
        <v/>
      </c>
      <c r="P239" s="101">
        <f>IF(Database!BE239="","(n/m or not derivable)",Database!BE239)</f>
        <v/>
      </c>
      <c r="Q239" s="24">
        <f>IF(Database!BK239="","",IFERROR(BDH(LEFT(Database!BK239,FIND(".",Database!BK239)-1)&amp;" CH Equity","PE_RATIO",Database!$H239,Database!$H239),""))</f>
        <v/>
      </c>
      <c r="R239" s="24">
        <f>IF(Database!BK239="","",IFERROR(BDH("HSAHP Index","PX_LAST",Database!$H239,Database!$H239),""))</f>
        <v/>
      </c>
      <c r="S239" s="24">
        <f>IFERROR(BDP(Database!$A239&amp;" HK Equity","PX_TO_SALES_RATIO"),"")</f>
        <v/>
      </c>
      <c r="T239" s="18">
        <f>IF(Database!BK239="","",IFERROR(BDP(LEFT(Database!BK239,FIND(".",Database!BK239)-1)&amp;"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Database!AF240</f>
        <v/>
      </c>
      <c r="J240" s="24">
        <f>IFERROR(BDP(Database!$A240&amp;" HK Equity","PE_RATIO"),"")</f>
        <v/>
      </c>
      <c r="K240" s="10">
        <f>IFERROR(BDP(Database!$A240&amp;" HK Equity","A/H_SHARE_CONVERSION"),"")</f>
        <v/>
      </c>
      <c r="L240" s="16">
        <f>IF(Database!BK240="","(none found)",Database!BK240)</f>
        <v/>
      </c>
      <c r="M240" s="18">
        <f>IFERROR(BDH(Database!$A240&amp;" HK Equity","CUR_MKT_CAP",Database!$H240,Database!$H240),"")</f>
        <v/>
      </c>
      <c r="N240" s="97">
        <f>Database!Q240</f>
        <v/>
      </c>
      <c r="O240" s="24">
        <f>IFERROR(BDH(Database!$A240&amp;" HK Equity","PE_RATIO",Database!$H240,Database!$H240),"")</f>
        <v/>
      </c>
      <c r="P240" s="101">
        <f>IF(Database!BE240="","(n/m or not derivable)",Database!BE240)</f>
        <v/>
      </c>
      <c r="Q240" s="24">
        <f>IF(Database!BK240="","",IFERROR(BDH(LEFT(Database!BK240,FIND(".",Database!BK240)-1)&amp;" CH Equity","PE_RATIO",Database!$H240,Database!$H240),""))</f>
        <v/>
      </c>
      <c r="R240" s="24">
        <f>IF(Database!BK240="","",IFERROR(BDH("HSAHP Index","PX_LAST",Database!$H240,Database!$H240),""))</f>
        <v/>
      </c>
      <c r="S240" s="24">
        <f>IFERROR(BDP(Database!$A240&amp;" HK Equity","PX_TO_SALES_RATIO"),"")</f>
        <v/>
      </c>
      <c r="T240" s="18">
        <f>IF(Database!BK240="","",IFERROR(BDP(LEFT(Database!BK240,FIND(".",Database!BK240)-1)&amp;"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Database!AF241</f>
        <v/>
      </c>
      <c r="J241" s="24">
        <f>IFERROR(BDP(Database!$A241&amp;" HK Equity","PE_RATIO"),"")</f>
        <v/>
      </c>
      <c r="K241" s="10">
        <f>IFERROR(BDP(Database!$A241&amp;" HK Equity","A/H_SHARE_CONVERSION"),"")</f>
        <v/>
      </c>
      <c r="L241" s="16">
        <f>IF(Database!BK241="","(none found)",Database!BK241)</f>
        <v/>
      </c>
      <c r="M241" s="18">
        <f>IFERROR(BDH(Database!$A241&amp;" HK Equity","CUR_MKT_CAP",Database!$H241,Database!$H241),"")</f>
        <v/>
      </c>
      <c r="N241" s="97">
        <f>Database!Q241</f>
        <v/>
      </c>
      <c r="O241" s="24">
        <f>IFERROR(BDH(Database!$A241&amp;" HK Equity","PE_RATIO",Database!$H241,Database!$H241),"")</f>
        <v/>
      </c>
      <c r="P241" s="101">
        <f>IF(Database!BE241="","(n/m or not derivable)",Database!BE241)</f>
        <v/>
      </c>
      <c r="Q241" s="24">
        <f>IF(Database!BK241="","",IFERROR(BDH(LEFT(Database!BK241,FIND(".",Database!BK241)-1)&amp;" CH Equity","PE_RATIO",Database!$H241,Database!$H241),""))</f>
        <v/>
      </c>
      <c r="R241" s="24">
        <f>IF(Database!BK241="","",IFERROR(BDH("HSAHP Index","PX_LAST",Database!$H241,Database!$H241),""))</f>
        <v/>
      </c>
      <c r="S241" s="24">
        <f>IFERROR(BDP(Database!$A241&amp;" HK Equity","PX_TO_SALES_RATIO"),"")</f>
        <v/>
      </c>
      <c r="T241" s="18">
        <f>IF(Database!BK241="","",IFERROR(BDP(LEFT(Database!BK241,FIND(".",Database!BK241)-1)&amp;"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Database!AF242</f>
        <v/>
      </c>
      <c r="J242" s="24">
        <f>IFERROR(BDP(Database!$A242&amp;" HK Equity","PE_RATIO"),"")</f>
        <v/>
      </c>
      <c r="K242" s="10">
        <f>IFERROR(BDP(Database!$A242&amp;" HK Equity","A/H_SHARE_CONVERSION"),"")</f>
        <v/>
      </c>
      <c r="L242" s="16">
        <f>IF(Database!BK242="","(none found)",Database!BK242)</f>
        <v/>
      </c>
      <c r="M242" s="18">
        <f>IFERROR(BDH(Database!$A242&amp;" HK Equity","CUR_MKT_CAP",Database!$H242,Database!$H242),"")</f>
        <v/>
      </c>
      <c r="N242" s="97">
        <f>Database!Q242</f>
        <v/>
      </c>
      <c r="O242" s="24">
        <f>IFERROR(BDH(Database!$A242&amp;" HK Equity","PE_RATIO",Database!$H242,Database!$H242),"")</f>
        <v/>
      </c>
      <c r="P242" s="101">
        <f>IF(Database!BE242="","(n/m or not derivable)",Database!BE242)</f>
        <v/>
      </c>
      <c r="Q242" s="24">
        <f>IF(Database!BK242="","",IFERROR(BDH(LEFT(Database!BK242,FIND(".",Database!BK242)-1)&amp;" CH Equity","PE_RATIO",Database!$H242,Database!$H242),""))</f>
        <v/>
      </c>
      <c r="R242" s="24">
        <f>IF(Database!BK242="","",IFERROR(BDH("HSAHP Index","PX_LAST",Database!$H242,Database!$H242),""))</f>
        <v/>
      </c>
      <c r="S242" s="24">
        <f>IFERROR(BDP(Database!$A242&amp;" HK Equity","PX_TO_SALES_RATIO"),"")</f>
        <v/>
      </c>
      <c r="T242" s="18">
        <f>IF(Database!BK242="","",IFERROR(BDP(LEFT(Database!BK242,FIND(".",Database!BK242)-1)&amp;"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Database!AF243</f>
        <v/>
      </c>
      <c r="J243" s="24">
        <f>IFERROR(BDP(Database!$A243&amp;" HK Equity","PE_RATIO"),"")</f>
        <v/>
      </c>
      <c r="K243" s="10">
        <f>IFERROR(BDP(Database!$A243&amp;" HK Equity","A/H_SHARE_CONVERSION"),"")</f>
        <v/>
      </c>
      <c r="L243" s="16">
        <f>IF(Database!BK243="","(none found)",Database!BK243)</f>
        <v/>
      </c>
      <c r="M243" s="18">
        <f>IFERROR(BDH(Database!$A243&amp;" HK Equity","CUR_MKT_CAP",Database!$H243,Database!$H243),"")</f>
        <v/>
      </c>
      <c r="N243" s="97">
        <f>Database!Q243</f>
        <v/>
      </c>
      <c r="O243" s="24">
        <f>IFERROR(BDH(Database!$A243&amp;" HK Equity","PE_RATIO",Database!$H243,Database!$H243),"")</f>
        <v/>
      </c>
      <c r="P243" s="101">
        <f>IF(Database!BE243="","(n/m or not derivable)",Database!BE243)</f>
        <v/>
      </c>
      <c r="Q243" s="24">
        <f>IF(Database!BK243="","",IFERROR(BDH(LEFT(Database!BK243,FIND(".",Database!BK243)-1)&amp;" CH Equity","PE_RATIO",Database!$H243,Database!$H243),""))</f>
        <v/>
      </c>
      <c r="R243" s="24">
        <f>IF(Database!BK243="","",IFERROR(BDH("HSAHP Index","PX_LAST",Database!$H243,Database!$H243),""))</f>
        <v/>
      </c>
      <c r="S243" s="24">
        <f>IFERROR(BDP(Database!$A243&amp;" HK Equity","PX_TO_SALES_RATIO"),"")</f>
        <v/>
      </c>
      <c r="T243" s="18">
        <f>IF(Database!BK243="","",IFERROR(BDP(LEFT(Database!BK243,FIND(".",Database!BK243)-1)&amp;"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Database!AF244</f>
        <v/>
      </c>
      <c r="J244" s="24">
        <f>IFERROR(BDP(Database!$A244&amp;" HK Equity","PE_RATIO"),"")</f>
        <v/>
      </c>
      <c r="K244" s="10">
        <f>IFERROR(BDP(Database!$A244&amp;" HK Equity","A/H_SHARE_CONVERSION"),"")</f>
        <v/>
      </c>
      <c r="L244" s="16">
        <f>IF(Database!BK244="","(none found)",Database!BK244)</f>
        <v/>
      </c>
      <c r="M244" s="18">
        <f>IFERROR(BDH(Database!$A244&amp;" HK Equity","CUR_MKT_CAP",Database!$H244,Database!$H244),"")</f>
        <v/>
      </c>
      <c r="N244" s="97">
        <f>Database!Q244</f>
        <v/>
      </c>
      <c r="O244" s="24">
        <f>IFERROR(BDH(Database!$A244&amp;" HK Equity","PE_RATIO",Database!$H244,Database!$H244),"")</f>
        <v/>
      </c>
      <c r="P244" s="101">
        <f>IF(Database!BE244="","(n/m or not derivable)",Database!BE244)</f>
        <v/>
      </c>
      <c r="Q244" s="24">
        <f>IF(Database!BK244="","",IFERROR(BDH(LEFT(Database!BK244,FIND(".",Database!BK244)-1)&amp;" CH Equity","PE_RATIO",Database!$H244,Database!$H244),""))</f>
        <v/>
      </c>
      <c r="R244" s="24">
        <f>IF(Database!BK244="","",IFERROR(BDH("HSAHP Index","PX_LAST",Database!$H244,Database!$H244),""))</f>
        <v/>
      </c>
      <c r="S244" s="24">
        <f>IFERROR(BDP(Database!$A244&amp;" HK Equity","PX_TO_SALES_RATIO"),"")</f>
        <v/>
      </c>
      <c r="T244" s="18">
        <f>IF(Database!BK244="","",IFERROR(BDP(LEFT(Database!BK244,FIND(".",Database!BK244)-1)&amp;"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Database!AF245</f>
        <v/>
      </c>
      <c r="J245" s="24">
        <f>IFERROR(BDP(Database!$A245&amp;" HK Equity","PE_RATIO"),"")</f>
        <v/>
      </c>
      <c r="K245" s="10">
        <f>IFERROR(BDP(Database!$A245&amp;" HK Equity","A/H_SHARE_CONVERSION"),"")</f>
        <v/>
      </c>
      <c r="L245" s="16">
        <f>IF(Database!BK245="","(none found)",Database!BK245)</f>
        <v/>
      </c>
      <c r="M245" s="18">
        <f>IFERROR(BDH(Database!$A245&amp;" HK Equity","CUR_MKT_CAP",Database!$H245,Database!$H245),"")</f>
        <v/>
      </c>
      <c r="N245" s="97">
        <f>Database!Q245</f>
        <v/>
      </c>
      <c r="O245" s="24">
        <f>IFERROR(BDH(Database!$A245&amp;" HK Equity","PE_RATIO",Database!$H245,Database!$H245),"")</f>
        <v/>
      </c>
      <c r="P245" s="101">
        <f>IF(Database!BE245="","(n/m or not derivable)",Database!BE245)</f>
        <v/>
      </c>
      <c r="Q245" s="24">
        <f>IF(Database!BK245="","",IFERROR(BDH(LEFT(Database!BK245,FIND(".",Database!BK245)-1)&amp;" CH Equity","PE_RATIO",Database!$H245,Database!$H245),""))</f>
        <v/>
      </c>
      <c r="R245" s="24">
        <f>IF(Database!BK245="","",IFERROR(BDH("HSAHP Index","PX_LAST",Database!$H245,Database!$H245),""))</f>
        <v/>
      </c>
      <c r="S245" s="24">
        <f>IFERROR(BDP(Database!$A245&amp;" HK Equity","PX_TO_SALES_RATIO"),"")</f>
        <v/>
      </c>
      <c r="T245" s="18">
        <f>IF(Database!BK245="","",IFERROR(BDP(LEFT(Database!BK245,FIND(".",Database!BK245)-1)&amp;"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Database!AF246</f>
        <v/>
      </c>
      <c r="J246" s="24">
        <f>IFERROR(BDP(Database!$A246&amp;" HK Equity","PE_RATIO"),"")</f>
        <v/>
      </c>
      <c r="K246" s="10">
        <f>IFERROR(BDP(Database!$A246&amp;" HK Equity","A/H_SHARE_CONVERSION"),"")</f>
        <v/>
      </c>
      <c r="L246" s="16">
        <f>IF(Database!BK246="","(none found)",Database!BK246)</f>
        <v/>
      </c>
      <c r="M246" s="18">
        <f>IFERROR(BDH(Database!$A246&amp;" HK Equity","CUR_MKT_CAP",Database!$H246,Database!$H246),"")</f>
        <v/>
      </c>
      <c r="N246" s="97">
        <f>Database!Q246</f>
        <v/>
      </c>
      <c r="O246" s="24">
        <f>IFERROR(BDH(Database!$A246&amp;" HK Equity","PE_RATIO",Database!$H246,Database!$H246),"")</f>
        <v/>
      </c>
      <c r="P246" s="101">
        <f>IF(Database!BE246="","(n/m or not derivable)",Database!BE246)</f>
        <v/>
      </c>
      <c r="Q246" s="24">
        <f>IF(Database!BK246="","",IFERROR(BDH(LEFT(Database!BK246,FIND(".",Database!BK246)-1)&amp;" CH Equity","PE_RATIO",Database!$H246,Database!$H246),""))</f>
        <v/>
      </c>
      <c r="R246" s="24">
        <f>IF(Database!BK246="","",IFERROR(BDH("HSAHP Index","PX_LAST",Database!$H246,Database!$H246),""))</f>
        <v/>
      </c>
      <c r="S246" s="24">
        <f>IFERROR(BDP(Database!$A246&amp;" HK Equity","PX_TO_SALES_RATIO"),"")</f>
        <v/>
      </c>
      <c r="T246" s="18">
        <f>IF(Database!BK246="","",IFERROR(BDP(LEFT(Database!BK246,FIND(".",Database!BK246)-1)&amp;"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Database!AF247</f>
        <v/>
      </c>
      <c r="J247" s="24">
        <f>IFERROR(BDP(Database!$A247&amp;" HK Equity","PE_RATIO"),"")</f>
        <v/>
      </c>
      <c r="K247" s="10">
        <f>IFERROR(BDP(Database!$A247&amp;" HK Equity","A/H_SHARE_CONVERSION"),"")</f>
        <v/>
      </c>
      <c r="L247" s="16">
        <f>IF(Database!BK247="","(none found)",Database!BK247)</f>
        <v/>
      </c>
      <c r="M247" s="18">
        <f>IFERROR(BDH(Database!$A247&amp;" HK Equity","CUR_MKT_CAP",Database!$H247,Database!$H247),"")</f>
        <v/>
      </c>
      <c r="N247" s="97">
        <f>Database!Q247</f>
        <v/>
      </c>
      <c r="O247" s="24">
        <f>IFERROR(BDH(Database!$A247&amp;" HK Equity","PE_RATIO",Database!$H247,Database!$H247),"")</f>
        <v/>
      </c>
      <c r="P247" s="101">
        <f>IF(Database!BE247="","(n/m or not derivable)",Database!BE247)</f>
        <v/>
      </c>
      <c r="Q247" s="24">
        <f>IF(Database!BK247="","",IFERROR(BDH(LEFT(Database!BK247,FIND(".",Database!BK247)-1)&amp;" CH Equity","PE_RATIO",Database!$H247,Database!$H247),""))</f>
        <v/>
      </c>
      <c r="R247" s="24">
        <f>IF(Database!BK247="","",IFERROR(BDH("HSAHP Index","PX_LAST",Database!$H247,Database!$H247),""))</f>
        <v/>
      </c>
      <c r="S247" s="24">
        <f>IFERROR(BDP(Database!$A247&amp;" HK Equity","PX_TO_SALES_RATIO"),"")</f>
        <v/>
      </c>
      <c r="T247" s="18">
        <f>IF(Database!BK247="","",IFERROR(BDP(LEFT(Database!BK247,FIND(".",Database!BK247)-1)&amp;"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Database!AF248</f>
        <v/>
      </c>
      <c r="J248" s="24">
        <f>IFERROR(BDP(Database!$A248&amp;" HK Equity","PE_RATIO"),"")</f>
        <v/>
      </c>
      <c r="K248" s="10">
        <f>IFERROR(BDP(Database!$A248&amp;" HK Equity","A/H_SHARE_CONVERSION"),"")</f>
        <v/>
      </c>
      <c r="L248" s="16">
        <f>IF(Database!BK248="","(none found)",Database!BK248)</f>
        <v/>
      </c>
      <c r="M248" s="18">
        <f>IFERROR(BDH(Database!$A248&amp;" HK Equity","CUR_MKT_CAP",Database!$H248,Database!$H248),"")</f>
        <v/>
      </c>
      <c r="N248" s="97">
        <f>Database!Q248</f>
        <v/>
      </c>
      <c r="O248" s="24">
        <f>IFERROR(BDH(Database!$A248&amp;" HK Equity","PE_RATIO",Database!$H248,Database!$H248),"")</f>
        <v/>
      </c>
      <c r="P248" s="101">
        <f>IF(Database!BE248="","(n/m or not derivable)",Database!BE248)</f>
        <v/>
      </c>
      <c r="Q248" s="24">
        <f>IF(Database!BK248="","",IFERROR(BDH(LEFT(Database!BK248,FIND(".",Database!BK248)-1)&amp;" CH Equity","PE_RATIO",Database!$H248,Database!$H248),""))</f>
        <v/>
      </c>
      <c r="R248" s="24">
        <f>IF(Database!BK248="","",IFERROR(BDH("HSAHP Index","PX_LAST",Database!$H248,Database!$H248),""))</f>
        <v/>
      </c>
      <c r="S248" s="24">
        <f>IFERROR(BDP(Database!$A248&amp;" HK Equity","PX_TO_SALES_RATIO"),"")</f>
        <v/>
      </c>
      <c r="T248" s="18">
        <f>IF(Database!BK248="","",IFERROR(BDP(LEFT(Database!BK248,FIND(".",Database!BK248)-1)&amp;"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Database!AF249</f>
        <v/>
      </c>
      <c r="J249" s="24">
        <f>IFERROR(BDP(Database!$A249&amp;" HK Equity","PE_RATIO"),"")</f>
        <v/>
      </c>
      <c r="K249" s="10">
        <f>IFERROR(BDP(Database!$A249&amp;" HK Equity","A/H_SHARE_CONVERSION"),"")</f>
        <v/>
      </c>
      <c r="L249" s="16">
        <f>IF(Database!BK249="","(none found)",Database!BK249)</f>
        <v/>
      </c>
      <c r="M249" s="18">
        <f>IFERROR(BDH(Database!$A249&amp;" HK Equity","CUR_MKT_CAP",Database!$H249,Database!$H249),"")</f>
        <v/>
      </c>
      <c r="N249" s="97">
        <f>Database!Q249</f>
        <v/>
      </c>
      <c r="O249" s="24">
        <f>IFERROR(BDH(Database!$A249&amp;" HK Equity","PE_RATIO",Database!$H249,Database!$H249),"")</f>
        <v/>
      </c>
      <c r="P249" s="101">
        <f>IF(Database!BE249="","(n/m or not derivable)",Database!BE249)</f>
        <v/>
      </c>
      <c r="Q249" s="24">
        <f>IF(Database!BK249="","",IFERROR(BDH(LEFT(Database!BK249,FIND(".",Database!BK249)-1)&amp;" CH Equity","PE_RATIO",Database!$H249,Database!$H249),""))</f>
        <v/>
      </c>
      <c r="R249" s="24">
        <f>IF(Database!BK249="","",IFERROR(BDH("HSAHP Index","PX_LAST",Database!$H249,Database!$H249),""))</f>
        <v/>
      </c>
      <c r="S249" s="24">
        <f>IFERROR(BDP(Database!$A249&amp;" HK Equity","PX_TO_SALES_RATIO"),"")</f>
        <v/>
      </c>
      <c r="T249" s="18">
        <f>IF(Database!BK249="","",IFERROR(BDP(LEFT(Database!BK249,FIND(".",Database!BK249)-1)&amp;"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Database!AF250</f>
        <v/>
      </c>
      <c r="J250" s="24">
        <f>IFERROR(BDP(Database!$A250&amp;" HK Equity","PE_RATIO"),"")</f>
        <v/>
      </c>
      <c r="K250" s="10">
        <f>IFERROR(BDP(Database!$A250&amp;" HK Equity","A/H_SHARE_CONVERSION"),"")</f>
        <v/>
      </c>
      <c r="L250" s="16">
        <f>IF(Database!BK250="","(none found)",Database!BK250)</f>
        <v/>
      </c>
      <c r="M250" s="18">
        <f>IFERROR(BDH(Database!$A250&amp;" HK Equity","CUR_MKT_CAP",Database!$H250,Database!$H250),"")</f>
        <v/>
      </c>
      <c r="N250" s="97">
        <f>Database!Q250</f>
        <v/>
      </c>
      <c r="O250" s="24">
        <f>IFERROR(BDH(Database!$A250&amp;" HK Equity","PE_RATIO",Database!$H250,Database!$H250),"")</f>
        <v/>
      </c>
      <c r="P250" s="101">
        <f>IF(Database!BE250="","(n/m or not derivable)",Database!BE250)</f>
        <v/>
      </c>
      <c r="Q250" s="24">
        <f>IF(Database!BK250="","",IFERROR(BDH(LEFT(Database!BK250,FIND(".",Database!BK250)-1)&amp;" CH Equity","PE_RATIO",Database!$H250,Database!$H250),""))</f>
        <v/>
      </c>
      <c r="R250" s="24">
        <f>IF(Database!BK250="","",IFERROR(BDH("HSAHP Index","PX_LAST",Database!$H250,Database!$H250),""))</f>
        <v/>
      </c>
      <c r="S250" s="24">
        <f>IFERROR(BDP(Database!$A250&amp;" HK Equity","PX_TO_SALES_RATIO"),"")</f>
        <v/>
      </c>
      <c r="T250" s="18">
        <f>IF(Database!BK250="","",IFERROR(BDP(LEFT(Database!BK250,FIND(".",Database!BK250)-1)&amp;"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Database!AF251</f>
        <v/>
      </c>
      <c r="J251" s="24">
        <f>IFERROR(BDP(Database!$A251&amp;" HK Equity","PE_RATIO"),"")</f>
        <v/>
      </c>
      <c r="K251" s="10">
        <f>IFERROR(BDP(Database!$A251&amp;" HK Equity","A/H_SHARE_CONVERSION"),"")</f>
        <v/>
      </c>
      <c r="L251" s="16">
        <f>IF(Database!BK251="","(none found)",Database!BK251)</f>
        <v/>
      </c>
      <c r="M251" s="18">
        <f>IFERROR(BDH(Database!$A251&amp;" HK Equity","CUR_MKT_CAP",Database!$H251,Database!$H251),"")</f>
        <v/>
      </c>
      <c r="N251" s="97">
        <f>Database!Q251</f>
        <v/>
      </c>
      <c r="O251" s="24">
        <f>IFERROR(BDH(Database!$A251&amp;" HK Equity","PE_RATIO",Database!$H251,Database!$H251),"")</f>
        <v/>
      </c>
      <c r="P251" s="101">
        <f>IF(Database!BE251="","(n/m or not derivable)",Database!BE251)</f>
        <v/>
      </c>
      <c r="Q251" s="24">
        <f>IF(Database!BK251="","",IFERROR(BDH(LEFT(Database!BK251,FIND(".",Database!BK251)-1)&amp;" CH Equity","PE_RATIO",Database!$H251,Database!$H251),""))</f>
        <v/>
      </c>
      <c r="R251" s="24">
        <f>IF(Database!BK251="","",IFERROR(BDH("HSAHP Index","PX_LAST",Database!$H251,Database!$H251),""))</f>
        <v/>
      </c>
      <c r="S251" s="24">
        <f>IFERROR(BDP(Database!$A251&amp;" HK Equity","PX_TO_SALES_RATIO"),"")</f>
        <v/>
      </c>
      <c r="T251" s="18">
        <f>IF(Database!BK251="","",IFERROR(BDP(LEFT(Database!BK251,FIND(".",Database!BK251)-1)&amp;"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Database!AF252</f>
        <v/>
      </c>
      <c r="J252" s="24">
        <f>IFERROR(BDP(Database!$A252&amp;" HK Equity","PE_RATIO"),"")</f>
        <v/>
      </c>
      <c r="K252" s="10">
        <f>IFERROR(BDP(Database!$A252&amp;" HK Equity","A/H_SHARE_CONVERSION"),"")</f>
        <v/>
      </c>
      <c r="L252" s="16">
        <f>IF(Database!BK252="","(none found)",Database!BK252)</f>
        <v/>
      </c>
      <c r="M252" s="18">
        <f>IFERROR(BDH(Database!$A252&amp;" HK Equity","CUR_MKT_CAP",Database!$H252,Database!$H252),"")</f>
        <v/>
      </c>
      <c r="N252" s="97">
        <f>Database!Q252</f>
        <v/>
      </c>
      <c r="O252" s="24">
        <f>IFERROR(BDH(Database!$A252&amp;" HK Equity","PE_RATIO",Database!$H252,Database!$H252),"")</f>
        <v/>
      </c>
      <c r="P252" s="101">
        <f>IF(Database!BE252="","(n/m or not derivable)",Database!BE252)</f>
        <v/>
      </c>
      <c r="Q252" s="24">
        <f>IF(Database!BK252="","",IFERROR(BDH(LEFT(Database!BK252,FIND(".",Database!BK252)-1)&amp;" CH Equity","PE_RATIO",Database!$H252,Database!$H252),""))</f>
        <v/>
      </c>
      <c r="R252" s="24">
        <f>IF(Database!BK252="","",IFERROR(BDH("HSAHP Index","PX_LAST",Database!$H252,Database!$H252),""))</f>
        <v/>
      </c>
      <c r="S252" s="24">
        <f>IFERROR(BDP(Database!$A252&amp;" HK Equity","PX_TO_SALES_RATIO"),"")</f>
        <v/>
      </c>
      <c r="T252" s="18">
        <f>IF(Database!BK252="","",IFERROR(BDP(LEFT(Database!BK252,FIND(".",Database!BK252)-1)&amp;"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Database!AF253</f>
        <v/>
      </c>
      <c r="J253" s="24">
        <f>IFERROR(BDP(Database!$A253&amp;" HK Equity","PE_RATIO"),"")</f>
        <v/>
      </c>
      <c r="K253" s="10">
        <f>IFERROR(BDP(Database!$A253&amp;" HK Equity","A/H_SHARE_CONVERSION"),"")</f>
        <v/>
      </c>
      <c r="L253" s="16">
        <f>IF(Database!BK253="","(none found)",Database!BK253)</f>
        <v/>
      </c>
      <c r="M253" s="18">
        <f>IFERROR(BDH(Database!$A253&amp;" HK Equity","CUR_MKT_CAP",Database!$H253,Database!$H253),"")</f>
        <v/>
      </c>
      <c r="N253" s="97">
        <f>Database!Q253</f>
        <v/>
      </c>
      <c r="O253" s="24">
        <f>IFERROR(BDH(Database!$A253&amp;" HK Equity","PE_RATIO",Database!$H253,Database!$H253),"")</f>
        <v/>
      </c>
      <c r="P253" s="101">
        <f>IF(Database!BE253="","(n/m or not derivable)",Database!BE253)</f>
        <v/>
      </c>
      <c r="Q253" s="24">
        <f>IF(Database!BK253="","",IFERROR(BDH(LEFT(Database!BK253,FIND(".",Database!BK253)-1)&amp;" CH Equity","PE_RATIO",Database!$H253,Database!$H253),""))</f>
        <v/>
      </c>
      <c r="R253" s="24">
        <f>IF(Database!BK253="","",IFERROR(BDH("HSAHP Index","PX_LAST",Database!$H253,Database!$H253),""))</f>
        <v/>
      </c>
      <c r="S253" s="24">
        <f>IFERROR(BDP(Database!$A253&amp;" HK Equity","PX_TO_SALES_RATIO"),"")</f>
        <v/>
      </c>
      <c r="T253" s="18">
        <f>IF(Database!BK253="","",IFERROR(BDP(LEFT(Database!BK253,FIND(".",Database!BK253)-1)&amp;"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Database!AF254</f>
        <v/>
      </c>
      <c r="J254" s="24">
        <f>IFERROR(BDP(Database!$A254&amp;" HK Equity","PE_RATIO"),"")</f>
        <v/>
      </c>
      <c r="K254" s="10">
        <f>IFERROR(BDP(Database!$A254&amp;" HK Equity","A/H_SHARE_CONVERSION"),"")</f>
        <v/>
      </c>
      <c r="L254" s="16">
        <f>IF(Database!BK254="","(none found)",Database!BK254)</f>
        <v/>
      </c>
      <c r="M254" s="18">
        <f>IFERROR(BDH(Database!$A254&amp;" HK Equity","CUR_MKT_CAP",Database!$H254,Database!$H254),"")</f>
        <v/>
      </c>
      <c r="N254" s="97">
        <f>Database!Q254</f>
        <v/>
      </c>
      <c r="O254" s="24">
        <f>IFERROR(BDH(Database!$A254&amp;" HK Equity","PE_RATIO",Database!$H254,Database!$H254),"")</f>
        <v/>
      </c>
      <c r="P254" s="101">
        <f>IF(Database!BE254="","(n/m or not derivable)",Database!BE254)</f>
        <v/>
      </c>
      <c r="Q254" s="24">
        <f>IF(Database!BK254="","",IFERROR(BDH(LEFT(Database!BK254,FIND(".",Database!BK254)-1)&amp;" CH Equity","PE_RATIO",Database!$H254,Database!$H254),""))</f>
        <v/>
      </c>
      <c r="R254" s="24">
        <f>IF(Database!BK254="","",IFERROR(BDH("HSAHP Index","PX_LAST",Database!$H254,Database!$H254),""))</f>
        <v/>
      </c>
      <c r="S254" s="24">
        <f>IFERROR(BDP(Database!$A254&amp;" HK Equity","PX_TO_SALES_RATIO"),"")</f>
        <v/>
      </c>
      <c r="T254" s="18">
        <f>IF(Database!BK254="","",IFERROR(BDP(LEFT(Database!BK254,FIND(".",Database!BK254)-1)&amp;"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Database!AF255</f>
        <v/>
      </c>
      <c r="J255" s="24">
        <f>IFERROR(BDP(Database!$A255&amp;" HK Equity","PE_RATIO"),"")</f>
        <v/>
      </c>
      <c r="K255" s="10">
        <f>IFERROR(BDP(Database!$A255&amp;" HK Equity","A/H_SHARE_CONVERSION"),"")</f>
        <v/>
      </c>
      <c r="L255" s="16">
        <f>IF(Database!BK255="","(none found)",Database!BK255)</f>
        <v/>
      </c>
      <c r="M255" s="18">
        <f>IFERROR(BDH(Database!$A255&amp;" HK Equity","CUR_MKT_CAP",Database!$H255,Database!$H255),"")</f>
        <v/>
      </c>
      <c r="N255" s="97">
        <f>Database!Q255</f>
        <v/>
      </c>
      <c r="O255" s="24">
        <f>IFERROR(BDH(Database!$A255&amp;" HK Equity","PE_RATIO",Database!$H255,Database!$H255),"")</f>
        <v/>
      </c>
      <c r="P255" s="101">
        <f>IF(Database!BE255="","(n/m or not derivable)",Database!BE255)</f>
        <v/>
      </c>
      <c r="Q255" s="24">
        <f>IF(Database!BK255="","",IFERROR(BDH(LEFT(Database!BK255,FIND(".",Database!BK255)-1)&amp;" CH Equity","PE_RATIO",Database!$H255,Database!$H255),""))</f>
        <v/>
      </c>
      <c r="R255" s="24">
        <f>IF(Database!BK255="","",IFERROR(BDH("HSAHP Index","PX_LAST",Database!$H255,Database!$H255),""))</f>
        <v/>
      </c>
      <c r="S255" s="24">
        <f>IFERROR(BDP(Database!$A255&amp;" HK Equity","PX_TO_SALES_RATIO"),"")</f>
        <v/>
      </c>
      <c r="T255" s="18">
        <f>IF(Database!BK255="","",IFERROR(BDP(LEFT(Database!BK255,FIND(".",Database!BK255)-1)&amp;"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Database!AF256</f>
        <v/>
      </c>
      <c r="J256" s="24">
        <f>IFERROR(BDP(Database!$A256&amp;" HK Equity","PE_RATIO"),"")</f>
        <v/>
      </c>
      <c r="K256" s="10">
        <f>IFERROR(BDP(Database!$A256&amp;" HK Equity","A/H_SHARE_CONVERSION"),"")</f>
        <v/>
      </c>
      <c r="L256" s="16">
        <f>IF(Database!BK256="","(none found)",Database!BK256)</f>
        <v/>
      </c>
      <c r="M256" s="18">
        <f>IFERROR(BDH(Database!$A256&amp;" HK Equity","CUR_MKT_CAP",Database!$H256,Database!$H256),"")</f>
        <v/>
      </c>
      <c r="N256" s="97">
        <f>Database!Q256</f>
        <v/>
      </c>
      <c r="O256" s="24">
        <f>IFERROR(BDH(Database!$A256&amp;" HK Equity","PE_RATIO",Database!$H256,Database!$H256),"")</f>
        <v/>
      </c>
      <c r="P256" s="101">
        <f>IF(Database!BE256="","(n/m or not derivable)",Database!BE256)</f>
        <v/>
      </c>
      <c r="Q256" s="24">
        <f>IF(Database!BK256="","",IFERROR(BDH(LEFT(Database!BK256,FIND(".",Database!BK256)-1)&amp;" CH Equity","PE_RATIO",Database!$H256,Database!$H256),""))</f>
        <v/>
      </c>
      <c r="R256" s="24">
        <f>IF(Database!BK256="","",IFERROR(BDH("HSAHP Index","PX_LAST",Database!$H256,Database!$H256),""))</f>
        <v/>
      </c>
      <c r="S256" s="24">
        <f>IFERROR(BDP(Database!$A256&amp;" HK Equity","PX_TO_SALES_RATIO"),"")</f>
        <v/>
      </c>
      <c r="T256" s="18">
        <f>IF(Database!BK256="","",IFERROR(BDP(LEFT(Database!BK256,FIND(".",Database!BK256)-1)&amp;"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Database!AF257</f>
        <v/>
      </c>
      <c r="J257" s="24">
        <f>IFERROR(BDP(Database!$A257&amp;" HK Equity","PE_RATIO"),"")</f>
        <v/>
      </c>
      <c r="K257" s="10">
        <f>IFERROR(BDP(Database!$A257&amp;" HK Equity","A/H_SHARE_CONVERSION"),"")</f>
        <v/>
      </c>
      <c r="L257" s="16">
        <f>IF(Database!BK257="","(none found)",Database!BK257)</f>
        <v/>
      </c>
      <c r="M257" s="18">
        <f>IFERROR(BDH(Database!$A257&amp;" HK Equity","CUR_MKT_CAP",Database!$H257,Database!$H257),"")</f>
        <v/>
      </c>
      <c r="N257" s="97">
        <f>Database!Q257</f>
        <v/>
      </c>
      <c r="O257" s="24">
        <f>IFERROR(BDH(Database!$A257&amp;" HK Equity","PE_RATIO",Database!$H257,Database!$H257),"")</f>
        <v/>
      </c>
      <c r="P257" s="101">
        <f>IF(Database!BE257="","(n/m or not derivable)",Database!BE257)</f>
        <v/>
      </c>
      <c r="Q257" s="24">
        <f>IF(Database!BK257="","",IFERROR(BDH(LEFT(Database!BK257,FIND(".",Database!BK257)-1)&amp;" CH Equity","PE_RATIO",Database!$H257,Database!$H257),""))</f>
        <v/>
      </c>
      <c r="R257" s="24">
        <f>IF(Database!BK257="","",IFERROR(BDH("HSAHP Index","PX_LAST",Database!$H257,Database!$H257),""))</f>
        <v/>
      </c>
      <c r="S257" s="24">
        <f>IFERROR(BDP(Database!$A257&amp;" HK Equity","PX_TO_SALES_RATIO"),"")</f>
        <v/>
      </c>
      <c r="T257" s="18">
        <f>IF(Database!BK257="","",IFERROR(BDP(LEFT(Database!BK257,FIND(".",Database!BK257)-1)&amp;"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Database!AF258</f>
        <v/>
      </c>
      <c r="J258" s="24">
        <f>IFERROR(BDP(Database!$A258&amp;" HK Equity","PE_RATIO"),"")</f>
        <v/>
      </c>
      <c r="K258" s="10">
        <f>IFERROR(BDP(Database!$A258&amp;" HK Equity","A/H_SHARE_CONVERSION"),"")</f>
        <v/>
      </c>
      <c r="L258" s="16">
        <f>IF(Database!BK258="","(none found)",Database!BK258)</f>
        <v/>
      </c>
      <c r="M258" s="18">
        <f>IFERROR(BDH(Database!$A258&amp;" HK Equity","CUR_MKT_CAP",Database!$H258,Database!$H258),"")</f>
        <v/>
      </c>
      <c r="N258" s="97">
        <f>Database!Q258</f>
        <v/>
      </c>
      <c r="O258" s="24">
        <f>IFERROR(BDH(Database!$A258&amp;" HK Equity","PE_RATIO",Database!$H258,Database!$H258),"")</f>
        <v/>
      </c>
      <c r="P258" s="101">
        <f>IF(Database!BE258="","(n/m or not derivable)",Database!BE258)</f>
        <v/>
      </c>
      <c r="Q258" s="24">
        <f>IF(Database!BK258="","",IFERROR(BDH(LEFT(Database!BK258,FIND(".",Database!BK258)-1)&amp;" CH Equity","PE_RATIO",Database!$H258,Database!$H258),""))</f>
        <v/>
      </c>
      <c r="R258" s="24">
        <f>IF(Database!BK258="","",IFERROR(BDH("HSAHP Index","PX_LAST",Database!$H258,Database!$H258),""))</f>
        <v/>
      </c>
      <c r="S258" s="24">
        <f>IFERROR(BDP(Database!$A258&amp;" HK Equity","PX_TO_SALES_RATIO"),"")</f>
        <v/>
      </c>
      <c r="T258" s="18">
        <f>IF(Database!BK258="","",IFERROR(BDP(LEFT(Database!BK258,FIND(".",Database!BK258)-1)&amp;"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Database!AF259</f>
        <v/>
      </c>
      <c r="J259" s="24">
        <f>IFERROR(BDP(Database!$A259&amp;" HK Equity","PE_RATIO"),"")</f>
        <v/>
      </c>
      <c r="K259" s="10">
        <f>IFERROR(BDP(Database!$A259&amp;" HK Equity","A/H_SHARE_CONVERSION"),"")</f>
        <v/>
      </c>
      <c r="L259" s="16">
        <f>IF(Database!BK259="","(none found)",Database!BK259)</f>
        <v/>
      </c>
      <c r="M259" s="18">
        <f>IFERROR(BDH(Database!$A259&amp;" HK Equity","CUR_MKT_CAP",Database!$H259,Database!$H259),"")</f>
        <v/>
      </c>
      <c r="N259" s="97">
        <f>Database!Q259</f>
        <v/>
      </c>
      <c r="O259" s="24">
        <f>IFERROR(BDH(Database!$A259&amp;" HK Equity","PE_RATIO",Database!$H259,Database!$H259),"")</f>
        <v/>
      </c>
      <c r="P259" s="101">
        <f>IF(Database!BE259="","(n/m or not derivable)",Database!BE259)</f>
        <v/>
      </c>
      <c r="Q259" s="24">
        <f>IF(Database!BK259="","",IFERROR(BDH(LEFT(Database!BK259,FIND(".",Database!BK259)-1)&amp;" CH Equity","PE_RATIO",Database!$H259,Database!$H259),""))</f>
        <v/>
      </c>
      <c r="R259" s="24">
        <f>IF(Database!BK259="","",IFERROR(BDH("HSAHP Index","PX_LAST",Database!$H259,Database!$H259),""))</f>
        <v/>
      </c>
      <c r="S259" s="24">
        <f>IFERROR(BDP(Database!$A259&amp;" HK Equity","PX_TO_SALES_RATIO"),"")</f>
        <v/>
      </c>
      <c r="T259" s="18">
        <f>IF(Database!BK259="","",IFERROR(BDP(LEFT(Database!BK259,FIND(".",Database!BK259)-1)&amp;"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Database!AF260</f>
        <v/>
      </c>
      <c r="J260" s="24">
        <f>IFERROR(BDP(Database!$A260&amp;" HK Equity","PE_RATIO"),"")</f>
        <v/>
      </c>
      <c r="K260" s="10">
        <f>IFERROR(BDP(Database!$A260&amp;" HK Equity","A/H_SHARE_CONVERSION"),"")</f>
        <v/>
      </c>
      <c r="L260" s="16">
        <f>IF(Database!BK260="","(none found)",Database!BK260)</f>
        <v/>
      </c>
      <c r="M260" s="18">
        <f>IFERROR(BDH(Database!$A260&amp;" HK Equity","CUR_MKT_CAP",Database!$H260,Database!$H260),"")</f>
        <v/>
      </c>
      <c r="N260" s="97">
        <f>Database!Q260</f>
        <v/>
      </c>
      <c r="O260" s="24">
        <f>IFERROR(BDH(Database!$A260&amp;" HK Equity","PE_RATIO",Database!$H260,Database!$H260),"")</f>
        <v/>
      </c>
      <c r="P260" s="101">
        <f>IF(Database!BE260="","(n/m or not derivable)",Database!BE260)</f>
        <v/>
      </c>
      <c r="Q260" s="24">
        <f>IF(Database!BK260="","",IFERROR(BDH(LEFT(Database!BK260,FIND(".",Database!BK260)-1)&amp;" CH Equity","PE_RATIO",Database!$H260,Database!$H260),""))</f>
        <v/>
      </c>
      <c r="R260" s="24">
        <f>IF(Database!BK260="","",IFERROR(BDH("HSAHP Index","PX_LAST",Database!$H260,Database!$H260),""))</f>
        <v/>
      </c>
      <c r="S260" s="24">
        <f>IFERROR(BDP(Database!$A260&amp;" HK Equity","PX_TO_SALES_RATIO"),"")</f>
        <v/>
      </c>
      <c r="T260" s="18">
        <f>IF(Database!BK260="","",IFERROR(BDP(LEFT(Database!BK260,FIND(".",Database!BK260)-1)&amp;"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Database!AF261</f>
        <v/>
      </c>
      <c r="J261" s="24">
        <f>IFERROR(BDP(Database!$A261&amp;" HK Equity","PE_RATIO"),"")</f>
        <v/>
      </c>
      <c r="K261" s="10">
        <f>IFERROR(BDP(Database!$A261&amp;" HK Equity","A/H_SHARE_CONVERSION"),"")</f>
        <v/>
      </c>
      <c r="L261" s="16">
        <f>IF(Database!BK261="","(none found)",Database!BK261)</f>
        <v/>
      </c>
      <c r="M261" s="18">
        <f>IFERROR(BDH(Database!$A261&amp;" HK Equity","CUR_MKT_CAP",Database!$H261,Database!$H261),"")</f>
        <v/>
      </c>
      <c r="N261" s="97">
        <f>Database!Q261</f>
        <v/>
      </c>
      <c r="O261" s="24">
        <f>IFERROR(BDH(Database!$A261&amp;" HK Equity","PE_RATIO",Database!$H261,Database!$H261),"")</f>
        <v/>
      </c>
      <c r="P261" s="101">
        <f>IF(Database!BE261="","(n/m or not derivable)",Database!BE261)</f>
        <v/>
      </c>
      <c r="Q261" s="24">
        <f>IF(Database!BK261="","",IFERROR(BDH(LEFT(Database!BK261,FIND(".",Database!BK261)-1)&amp;" CH Equity","PE_RATIO",Database!$H261,Database!$H261),""))</f>
        <v/>
      </c>
      <c r="R261" s="24">
        <f>IF(Database!BK261="","",IFERROR(BDH("HSAHP Index","PX_LAST",Database!$H261,Database!$H261),""))</f>
        <v/>
      </c>
      <c r="S261" s="24">
        <f>IFERROR(BDP(Database!$A261&amp;" HK Equity","PX_TO_SALES_RATIO"),"")</f>
        <v/>
      </c>
      <c r="T261" s="18">
        <f>IF(Database!BK261="","",IFERROR(BDP(LEFT(Database!BK261,FIND(".",Database!BK261)-1)&amp;"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Database!AF262</f>
        <v/>
      </c>
      <c r="J262" s="24">
        <f>IFERROR(BDP(Database!$A262&amp;" HK Equity","PE_RATIO"),"")</f>
        <v/>
      </c>
      <c r="K262" s="10">
        <f>IFERROR(BDP(Database!$A262&amp;" HK Equity","A/H_SHARE_CONVERSION"),"")</f>
        <v/>
      </c>
      <c r="L262" s="16">
        <f>IF(Database!BK262="","(none found)",Database!BK262)</f>
        <v/>
      </c>
      <c r="M262" s="18">
        <f>IFERROR(BDH(Database!$A262&amp;" HK Equity","CUR_MKT_CAP",Database!$H262,Database!$H262),"")</f>
        <v/>
      </c>
      <c r="N262" s="97">
        <f>Database!Q262</f>
        <v/>
      </c>
      <c r="O262" s="24">
        <f>IFERROR(BDH(Database!$A262&amp;" HK Equity","PE_RATIO",Database!$H262,Database!$H262),"")</f>
        <v/>
      </c>
      <c r="P262" s="101">
        <f>IF(Database!BE262="","(n/m or not derivable)",Database!BE262)</f>
        <v/>
      </c>
      <c r="Q262" s="24">
        <f>IF(Database!BK262="","",IFERROR(BDH(LEFT(Database!BK262,FIND(".",Database!BK262)-1)&amp;" CH Equity","PE_RATIO",Database!$H262,Database!$H262),""))</f>
        <v/>
      </c>
      <c r="R262" s="24">
        <f>IF(Database!BK262="","",IFERROR(BDH("HSAHP Index","PX_LAST",Database!$H262,Database!$H262),""))</f>
        <v/>
      </c>
      <c r="S262" s="24">
        <f>IFERROR(BDP(Database!$A262&amp;" HK Equity","PX_TO_SALES_RATIO"),"")</f>
        <v/>
      </c>
      <c r="T262" s="18">
        <f>IF(Database!BK262="","",IFERROR(BDP(LEFT(Database!BK262,FIND(".",Database!BK262)-1)&amp;"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Database!AF263</f>
        <v/>
      </c>
      <c r="J263" s="24">
        <f>IFERROR(BDP(Database!$A263&amp;" HK Equity","PE_RATIO"),"")</f>
        <v/>
      </c>
      <c r="K263" s="10">
        <f>IFERROR(BDP(Database!$A263&amp;" HK Equity","A/H_SHARE_CONVERSION"),"")</f>
        <v/>
      </c>
      <c r="L263" s="16">
        <f>IF(Database!BK263="","(none found)",Database!BK263)</f>
        <v/>
      </c>
      <c r="M263" s="18">
        <f>IFERROR(BDH(Database!$A263&amp;" HK Equity","CUR_MKT_CAP",Database!$H263,Database!$H263),"")</f>
        <v/>
      </c>
      <c r="N263" s="97">
        <f>Database!Q263</f>
        <v/>
      </c>
      <c r="O263" s="24">
        <f>IFERROR(BDH(Database!$A263&amp;" HK Equity","PE_RATIO",Database!$H263,Database!$H263),"")</f>
        <v/>
      </c>
      <c r="P263" s="101">
        <f>IF(Database!BE263="","(n/m or not derivable)",Database!BE263)</f>
        <v/>
      </c>
      <c r="Q263" s="24">
        <f>IF(Database!BK263="","",IFERROR(BDH(LEFT(Database!BK263,FIND(".",Database!BK263)-1)&amp;" CH Equity","PE_RATIO",Database!$H263,Database!$H263),""))</f>
        <v/>
      </c>
      <c r="R263" s="24">
        <f>IF(Database!BK263="","",IFERROR(BDH("HSAHP Index","PX_LAST",Database!$H263,Database!$H263),""))</f>
        <v/>
      </c>
      <c r="S263" s="24">
        <f>IFERROR(BDP(Database!$A263&amp;" HK Equity","PX_TO_SALES_RATIO"),"")</f>
        <v/>
      </c>
      <c r="T263" s="18">
        <f>IF(Database!BK263="","",IFERROR(BDP(LEFT(Database!BK263,FIND(".",Database!BK263)-1)&amp;"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Database!AF264</f>
        <v/>
      </c>
      <c r="J264" s="24">
        <f>IFERROR(BDP(Database!$A264&amp;" HK Equity","PE_RATIO"),"")</f>
        <v/>
      </c>
      <c r="K264" s="10">
        <f>IFERROR(BDP(Database!$A264&amp;" HK Equity","A/H_SHARE_CONVERSION"),"")</f>
        <v/>
      </c>
      <c r="L264" s="16">
        <f>IF(Database!BK264="","(none found)",Database!BK264)</f>
        <v/>
      </c>
      <c r="M264" s="18">
        <f>IFERROR(BDH(Database!$A264&amp;" HK Equity","CUR_MKT_CAP",Database!$H264,Database!$H264),"")</f>
        <v/>
      </c>
      <c r="N264" s="97">
        <f>Database!Q264</f>
        <v/>
      </c>
      <c r="O264" s="24">
        <f>IFERROR(BDH(Database!$A264&amp;" HK Equity","PE_RATIO",Database!$H264,Database!$H264),"")</f>
        <v/>
      </c>
      <c r="P264" s="101">
        <f>IF(Database!BE264="","(n/m or not derivable)",Database!BE264)</f>
        <v/>
      </c>
      <c r="Q264" s="24">
        <f>IF(Database!BK264="","",IFERROR(BDH(LEFT(Database!BK264,FIND(".",Database!BK264)-1)&amp;" CH Equity","PE_RATIO",Database!$H264,Database!$H264),""))</f>
        <v/>
      </c>
      <c r="R264" s="24">
        <f>IF(Database!BK264="","",IFERROR(BDH("HSAHP Index","PX_LAST",Database!$H264,Database!$H264),""))</f>
        <v/>
      </c>
      <c r="S264" s="24">
        <f>IFERROR(BDP(Database!$A264&amp;" HK Equity","PX_TO_SALES_RATIO"),"")</f>
        <v/>
      </c>
      <c r="T264" s="18">
        <f>IF(Database!BK264="","",IFERROR(BDP(LEFT(Database!BK264,FIND(".",Database!BK264)-1)&amp;"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Database!AF265</f>
        <v/>
      </c>
      <c r="J265" s="24">
        <f>IFERROR(BDP(Database!$A265&amp;" HK Equity","PE_RATIO"),"")</f>
        <v/>
      </c>
      <c r="K265" s="10">
        <f>IFERROR(BDP(Database!$A265&amp;" HK Equity","A/H_SHARE_CONVERSION"),"")</f>
        <v/>
      </c>
      <c r="L265" s="16">
        <f>IF(Database!BK265="","(none found)",Database!BK265)</f>
        <v/>
      </c>
      <c r="M265" s="18">
        <f>IFERROR(BDH(Database!$A265&amp;" HK Equity","CUR_MKT_CAP",Database!$H265,Database!$H265),"")</f>
        <v/>
      </c>
      <c r="N265" s="97">
        <f>Database!Q265</f>
        <v/>
      </c>
      <c r="O265" s="24">
        <f>IFERROR(BDH(Database!$A265&amp;" HK Equity","PE_RATIO",Database!$H265,Database!$H265),"")</f>
        <v/>
      </c>
      <c r="P265" s="101">
        <f>IF(Database!BE265="","(n/m or not derivable)",Database!BE265)</f>
        <v/>
      </c>
      <c r="Q265" s="24">
        <f>IF(Database!BK265="","",IFERROR(BDH(LEFT(Database!BK265,FIND(".",Database!BK265)-1)&amp;" CH Equity","PE_RATIO",Database!$H265,Database!$H265),""))</f>
        <v/>
      </c>
      <c r="R265" s="24">
        <f>IF(Database!BK265="","",IFERROR(BDH("HSAHP Index","PX_LAST",Database!$H265,Database!$H265),""))</f>
        <v/>
      </c>
      <c r="S265" s="24">
        <f>IFERROR(BDP(Database!$A265&amp;" HK Equity","PX_TO_SALES_RATIO"),"")</f>
        <v/>
      </c>
      <c r="T265" s="18">
        <f>IF(Database!BK265="","",IFERROR(BDP(LEFT(Database!BK265,FIND(".",Database!BK265)-1)&amp;"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Database!AF266</f>
        <v/>
      </c>
      <c r="J266" s="24">
        <f>IFERROR(BDP(Database!$A266&amp;" HK Equity","PE_RATIO"),"")</f>
        <v/>
      </c>
      <c r="K266" s="10">
        <f>IFERROR(BDP(Database!$A266&amp;" HK Equity","A/H_SHARE_CONVERSION"),"")</f>
        <v/>
      </c>
      <c r="L266" s="16">
        <f>IF(Database!BK266="","(none found)",Database!BK266)</f>
        <v/>
      </c>
      <c r="M266" s="18">
        <f>IFERROR(BDH(Database!$A266&amp;" HK Equity","CUR_MKT_CAP",Database!$H266,Database!$H266),"")</f>
        <v/>
      </c>
      <c r="N266" s="97">
        <f>Database!Q266</f>
        <v/>
      </c>
      <c r="O266" s="24">
        <f>IFERROR(BDH(Database!$A266&amp;" HK Equity","PE_RATIO",Database!$H266,Database!$H266),"")</f>
        <v/>
      </c>
      <c r="P266" s="101">
        <f>IF(Database!BE266="","(n/m or not derivable)",Database!BE266)</f>
        <v/>
      </c>
      <c r="Q266" s="24">
        <f>IF(Database!BK266="","",IFERROR(BDH(LEFT(Database!BK266,FIND(".",Database!BK266)-1)&amp;" CH Equity","PE_RATIO",Database!$H266,Database!$H266),""))</f>
        <v/>
      </c>
      <c r="R266" s="24">
        <f>IF(Database!BK266="","",IFERROR(BDH("HSAHP Index","PX_LAST",Database!$H266,Database!$H266),""))</f>
        <v/>
      </c>
      <c r="S266" s="24">
        <f>IFERROR(BDP(Database!$A266&amp;" HK Equity","PX_TO_SALES_RATIO"),"")</f>
        <v/>
      </c>
      <c r="T266" s="18">
        <f>IF(Database!BK266="","",IFERROR(BDP(LEFT(Database!BK266,FIND(".",Database!BK266)-1)&amp;"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Database!AF267</f>
        <v/>
      </c>
      <c r="J267" s="24">
        <f>IFERROR(BDP(Database!$A267&amp;" HK Equity","PE_RATIO"),"")</f>
        <v/>
      </c>
      <c r="K267" s="10">
        <f>IFERROR(BDP(Database!$A267&amp;" HK Equity","A/H_SHARE_CONVERSION"),"")</f>
        <v/>
      </c>
      <c r="L267" s="16">
        <f>IF(Database!BK267="","(none found)",Database!BK267)</f>
        <v/>
      </c>
      <c r="M267" s="18">
        <f>IFERROR(BDH(Database!$A267&amp;" HK Equity","CUR_MKT_CAP",Database!$H267,Database!$H267),"")</f>
        <v/>
      </c>
      <c r="N267" s="97">
        <f>Database!Q267</f>
        <v/>
      </c>
      <c r="O267" s="24">
        <f>IFERROR(BDH(Database!$A267&amp;" HK Equity","PE_RATIO",Database!$H267,Database!$H267),"")</f>
        <v/>
      </c>
      <c r="P267" s="101">
        <f>IF(Database!BE267="","(n/m or not derivable)",Database!BE267)</f>
        <v/>
      </c>
      <c r="Q267" s="24">
        <f>IF(Database!BK267="","",IFERROR(BDH(LEFT(Database!BK267,FIND(".",Database!BK267)-1)&amp;" CH Equity","PE_RATIO",Database!$H267,Database!$H267),""))</f>
        <v/>
      </c>
      <c r="R267" s="24">
        <f>IF(Database!BK267="","",IFERROR(BDH("HSAHP Index","PX_LAST",Database!$H267,Database!$H267),""))</f>
        <v/>
      </c>
      <c r="S267" s="24">
        <f>IFERROR(BDP(Database!$A267&amp;" HK Equity","PX_TO_SALES_RATIO"),"")</f>
        <v/>
      </c>
      <c r="T267" s="18">
        <f>IF(Database!BK267="","",IFERROR(BDP(LEFT(Database!BK267,FIND(".",Database!BK267)-1)&amp;"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Database!AF268</f>
        <v/>
      </c>
      <c r="J268" s="24">
        <f>IFERROR(BDP(Database!$A268&amp;" HK Equity","PE_RATIO"),"")</f>
        <v/>
      </c>
      <c r="K268" s="10">
        <f>IFERROR(BDP(Database!$A268&amp;" HK Equity","A/H_SHARE_CONVERSION"),"")</f>
        <v/>
      </c>
      <c r="L268" s="16">
        <f>IF(Database!BK268="","(none found)",Database!BK268)</f>
        <v/>
      </c>
      <c r="M268" s="18">
        <f>IFERROR(BDH(Database!$A268&amp;" HK Equity","CUR_MKT_CAP",Database!$H268,Database!$H268),"")</f>
        <v/>
      </c>
      <c r="N268" s="97">
        <f>Database!Q268</f>
        <v/>
      </c>
      <c r="O268" s="24">
        <f>IFERROR(BDH(Database!$A268&amp;" HK Equity","PE_RATIO",Database!$H268,Database!$H268),"")</f>
        <v/>
      </c>
      <c r="P268" s="101">
        <f>IF(Database!BE268="","(n/m or not derivable)",Database!BE268)</f>
        <v/>
      </c>
      <c r="Q268" s="24">
        <f>IF(Database!BK268="","",IFERROR(BDH(LEFT(Database!BK268,FIND(".",Database!BK268)-1)&amp;" CH Equity","PE_RATIO",Database!$H268,Database!$H268),""))</f>
        <v/>
      </c>
      <c r="R268" s="24">
        <f>IF(Database!BK268="","",IFERROR(BDH("HSAHP Index","PX_LAST",Database!$H268,Database!$H268),""))</f>
        <v/>
      </c>
      <c r="S268" s="24">
        <f>IFERROR(BDP(Database!$A268&amp;" HK Equity","PX_TO_SALES_RATIO"),"")</f>
        <v/>
      </c>
      <c r="T268" s="18">
        <f>IF(Database!BK268="","",IFERROR(BDP(LEFT(Database!BK268,FIND(".",Database!BK268)-1)&amp;"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Database!AF269</f>
        <v/>
      </c>
      <c r="J269" s="24">
        <f>IFERROR(BDP(Database!$A269&amp;" HK Equity","PE_RATIO"),"")</f>
        <v/>
      </c>
      <c r="K269" s="10">
        <f>IFERROR(BDP(Database!$A269&amp;" HK Equity","A/H_SHARE_CONVERSION"),"")</f>
        <v/>
      </c>
      <c r="L269" s="16">
        <f>IF(Database!BK269="","(none found)",Database!BK269)</f>
        <v/>
      </c>
      <c r="M269" s="18">
        <f>IFERROR(BDH(Database!$A269&amp;" HK Equity","CUR_MKT_CAP",Database!$H269,Database!$H269),"")</f>
        <v/>
      </c>
      <c r="N269" s="97">
        <f>Database!Q269</f>
        <v/>
      </c>
      <c r="O269" s="24">
        <f>IFERROR(BDH(Database!$A269&amp;" HK Equity","PE_RATIO",Database!$H269,Database!$H269),"")</f>
        <v/>
      </c>
      <c r="P269" s="101">
        <f>IF(Database!BE269="","(n/m or not derivable)",Database!BE269)</f>
        <v/>
      </c>
      <c r="Q269" s="24">
        <f>IF(Database!BK269="","",IFERROR(BDH(LEFT(Database!BK269,FIND(".",Database!BK269)-1)&amp;" CH Equity","PE_RATIO",Database!$H269,Database!$H269),""))</f>
        <v/>
      </c>
      <c r="R269" s="24">
        <f>IF(Database!BK269="","",IFERROR(BDH("HSAHP Index","PX_LAST",Database!$H269,Database!$H269),""))</f>
        <v/>
      </c>
      <c r="S269" s="24">
        <f>IFERROR(BDP(Database!$A269&amp;" HK Equity","PX_TO_SALES_RATIO"),"")</f>
        <v/>
      </c>
      <c r="T269" s="18">
        <f>IF(Database!BK269="","",IFERROR(BDP(LEFT(Database!BK269,FIND(".",Database!BK269)-1)&amp;"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Database!AF270</f>
        <v/>
      </c>
      <c r="J270" s="24">
        <f>IFERROR(BDP(Database!$A270&amp;" HK Equity","PE_RATIO"),"")</f>
        <v/>
      </c>
      <c r="K270" s="10">
        <f>IFERROR(BDP(Database!$A270&amp;" HK Equity","A/H_SHARE_CONVERSION"),"")</f>
        <v/>
      </c>
      <c r="L270" s="16">
        <f>IF(Database!BK270="","(none found)",Database!BK270)</f>
        <v/>
      </c>
      <c r="M270" s="18">
        <f>IFERROR(BDH(Database!$A270&amp;" HK Equity","CUR_MKT_CAP",Database!$H270,Database!$H270),"")</f>
        <v/>
      </c>
      <c r="N270" s="97">
        <f>Database!Q270</f>
        <v/>
      </c>
      <c r="O270" s="24">
        <f>IFERROR(BDH(Database!$A270&amp;" HK Equity","PE_RATIO",Database!$H270,Database!$H270),"")</f>
        <v/>
      </c>
      <c r="P270" s="101">
        <f>IF(Database!BE270="","(n/m or not derivable)",Database!BE270)</f>
        <v/>
      </c>
      <c r="Q270" s="24">
        <f>IF(Database!BK270="","",IFERROR(BDH(LEFT(Database!BK270,FIND(".",Database!BK270)-1)&amp;" CH Equity","PE_RATIO",Database!$H270,Database!$H270),""))</f>
        <v/>
      </c>
      <c r="R270" s="24">
        <f>IF(Database!BK270="","",IFERROR(BDH("HSAHP Index","PX_LAST",Database!$H270,Database!$H270),""))</f>
        <v/>
      </c>
      <c r="S270" s="24">
        <f>IFERROR(BDP(Database!$A270&amp;" HK Equity","PX_TO_SALES_RATIO"),"")</f>
        <v/>
      </c>
      <c r="T270" s="18">
        <f>IF(Database!BK270="","",IFERROR(BDP(LEFT(Database!BK270,FIND(".",Database!BK270)-1)&amp;"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Database!AF271</f>
        <v/>
      </c>
      <c r="J271" s="24">
        <f>IFERROR(BDP(Database!$A271&amp;" HK Equity","PE_RATIO"),"")</f>
        <v/>
      </c>
      <c r="K271" s="10">
        <f>IFERROR(BDP(Database!$A271&amp;" HK Equity","A/H_SHARE_CONVERSION"),"")</f>
        <v/>
      </c>
      <c r="L271" s="16">
        <f>IF(Database!BK271="","(none found)",Database!BK271)</f>
        <v/>
      </c>
      <c r="M271" s="18">
        <f>IFERROR(BDH(Database!$A271&amp;" HK Equity","CUR_MKT_CAP",Database!$H271,Database!$H271),"")</f>
        <v/>
      </c>
      <c r="N271" s="97">
        <f>Database!Q271</f>
        <v/>
      </c>
      <c r="O271" s="24">
        <f>IFERROR(BDH(Database!$A271&amp;" HK Equity","PE_RATIO",Database!$H271,Database!$H271),"")</f>
        <v/>
      </c>
      <c r="P271" s="101">
        <f>IF(Database!BE271="","(n/m or not derivable)",Database!BE271)</f>
        <v/>
      </c>
      <c r="Q271" s="24">
        <f>IF(Database!BK271="","",IFERROR(BDH(LEFT(Database!BK271,FIND(".",Database!BK271)-1)&amp;" CH Equity","PE_RATIO",Database!$H271,Database!$H271),""))</f>
        <v/>
      </c>
      <c r="R271" s="24">
        <f>IF(Database!BK271="","",IFERROR(BDH("HSAHP Index","PX_LAST",Database!$H271,Database!$H271),""))</f>
        <v/>
      </c>
      <c r="S271" s="24">
        <f>IFERROR(BDP(Database!$A271&amp;" HK Equity","PX_TO_SALES_RATIO"),"")</f>
        <v/>
      </c>
      <c r="T271" s="18">
        <f>IF(Database!BK271="","",IFERROR(BDP(LEFT(Database!BK271,FIND(".",Database!BK271)-1)&amp;"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Database!AF272</f>
        <v/>
      </c>
      <c r="J272" s="24">
        <f>IFERROR(BDP(Database!$A272&amp;" HK Equity","PE_RATIO"),"")</f>
        <v/>
      </c>
      <c r="K272" s="10">
        <f>IFERROR(BDP(Database!$A272&amp;" HK Equity","A/H_SHARE_CONVERSION"),"")</f>
        <v/>
      </c>
      <c r="L272" s="16">
        <f>IF(Database!BK272="","(none found)",Database!BK272)</f>
        <v/>
      </c>
      <c r="M272" s="18">
        <f>IFERROR(BDH(Database!$A272&amp;" HK Equity","CUR_MKT_CAP",Database!$H272,Database!$H272),"")</f>
        <v/>
      </c>
      <c r="N272" s="97">
        <f>Database!Q272</f>
        <v/>
      </c>
      <c r="O272" s="24">
        <f>IFERROR(BDH(Database!$A272&amp;" HK Equity","PE_RATIO",Database!$H272,Database!$H272),"")</f>
        <v/>
      </c>
      <c r="P272" s="101">
        <f>IF(Database!BE272="","(n/m or not derivable)",Database!BE272)</f>
        <v/>
      </c>
      <c r="Q272" s="24">
        <f>IF(Database!BK272="","",IFERROR(BDH(LEFT(Database!BK272,FIND(".",Database!BK272)-1)&amp;" CH Equity","PE_RATIO",Database!$H272,Database!$H272),""))</f>
        <v/>
      </c>
      <c r="R272" s="24">
        <f>IF(Database!BK272="","",IFERROR(BDH("HSAHP Index","PX_LAST",Database!$H272,Database!$H272),""))</f>
        <v/>
      </c>
      <c r="S272" s="24">
        <f>IFERROR(BDP(Database!$A272&amp;" HK Equity","PX_TO_SALES_RATIO"),"")</f>
        <v/>
      </c>
      <c r="T272" s="18">
        <f>IF(Database!BK272="","",IFERROR(BDP(LEFT(Database!BK272,FIND(".",Database!BK272)-1)&amp;"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Database!AF273</f>
        <v/>
      </c>
      <c r="J273" s="24">
        <f>IFERROR(BDP(Database!$A273&amp;" HK Equity","PE_RATIO"),"")</f>
        <v/>
      </c>
      <c r="K273" s="10">
        <f>IFERROR(BDP(Database!$A273&amp;" HK Equity","A/H_SHARE_CONVERSION"),"")</f>
        <v/>
      </c>
      <c r="L273" s="16">
        <f>IF(Database!BK273="","(none found)",Database!BK273)</f>
        <v/>
      </c>
      <c r="M273" s="18">
        <f>IFERROR(BDH(Database!$A273&amp;" HK Equity","CUR_MKT_CAP",Database!$H273,Database!$H273),"")</f>
        <v/>
      </c>
      <c r="N273" s="97">
        <f>Database!Q273</f>
        <v/>
      </c>
      <c r="O273" s="24">
        <f>IFERROR(BDH(Database!$A273&amp;" HK Equity","PE_RATIO",Database!$H273,Database!$H273),"")</f>
        <v/>
      </c>
      <c r="P273" s="101">
        <f>IF(Database!BE273="","(n/m or not derivable)",Database!BE273)</f>
        <v/>
      </c>
      <c r="Q273" s="24">
        <f>IF(Database!BK273="","",IFERROR(BDH(LEFT(Database!BK273,FIND(".",Database!BK273)-1)&amp;" CH Equity","PE_RATIO",Database!$H273,Database!$H273),""))</f>
        <v/>
      </c>
      <c r="R273" s="24">
        <f>IF(Database!BK273="","",IFERROR(BDH("HSAHP Index","PX_LAST",Database!$H273,Database!$H273),""))</f>
        <v/>
      </c>
      <c r="S273" s="24">
        <f>IFERROR(BDP(Database!$A273&amp;" HK Equity","PX_TO_SALES_RATIO"),"")</f>
        <v/>
      </c>
      <c r="T273" s="18">
        <f>IF(Database!BK273="","",IFERROR(BDP(LEFT(Database!BK273,FIND(".",Database!BK273)-1)&amp;"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Database!AF274</f>
        <v/>
      </c>
      <c r="J274" s="24">
        <f>IFERROR(BDP(Database!$A274&amp;" HK Equity","PE_RATIO"),"")</f>
        <v/>
      </c>
      <c r="K274" s="10">
        <f>IFERROR(BDP(Database!$A274&amp;" HK Equity","A/H_SHARE_CONVERSION"),"")</f>
        <v/>
      </c>
      <c r="L274" s="16">
        <f>IF(Database!BK274="","(none found)",Database!BK274)</f>
        <v/>
      </c>
      <c r="M274" s="18">
        <f>IFERROR(BDH(Database!$A274&amp;" HK Equity","CUR_MKT_CAP",Database!$H274,Database!$H274),"")</f>
        <v/>
      </c>
      <c r="N274" s="97">
        <f>Database!Q274</f>
        <v/>
      </c>
      <c r="O274" s="24">
        <f>IFERROR(BDH(Database!$A274&amp;" HK Equity","PE_RATIO",Database!$H274,Database!$H274),"")</f>
        <v/>
      </c>
      <c r="P274" s="101">
        <f>IF(Database!BE274="","(n/m or not derivable)",Database!BE274)</f>
        <v/>
      </c>
      <c r="Q274" s="24">
        <f>IF(Database!BK274="","",IFERROR(BDH(LEFT(Database!BK274,FIND(".",Database!BK274)-1)&amp;" CH Equity","PE_RATIO",Database!$H274,Database!$H274),""))</f>
        <v/>
      </c>
      <c r="R274" s="24">
        <f>IF(Database!BK274="","",IFERROR(BDH("HSAHP Index","PX_LAST",Database!$H274,Database!$H274),""))</f>
        <v/>
      </c>
      <c r="S274" s="24">
        <f>IFERROR(BDP(Database!$A274&amp;" HK Equity","PX_TO_SALES_RATIO"),"")</f>
        <v/>
      </c>
      <c r="T274" s="18">
        <f>IF(Database!BK274="","",IFERROR(BDP(LEFT(Database!BK274,FIND(".",Database!BK274)-1)&amp;"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Database!AF275</f>
        <v/>
      </c>
      <c r="J275" s="24">
        <f>IFERROR(BDP(Database!$A275&amp;" HK Equity","PE_RATIO"),"")</f>
        <v/>
      </c>
      <c r="K275" s="10">
        <f>IFERROR(BDP(Database!$A275&amp;" HK Equity","A/H_SHARE_CONVERSION"),"")</f>
        <v/>
      </c>
      <c r="L275" s="16">
        <f>IF(Database!BK275="","(none found)",Database!BK275)</f>
        <v/>
      </c>
      <c r="M275" s="18">
        <f>IFERROR(BDH(Database!$A275&amp;" HK Equity","CUR_MKT_CAP",Database!$H275,Database!$H275),"")</f>
        <v/>
      </c>
      <c r="N275" s="97">
        <f>Database!Q275</f>
        <v/>
      </c>
      <c r="O275" s="24">
        <f>IFERROR(BDH(Database!$A275&amp;" HK Equity","PE_RATIO",Database!$H275,Database!$H275),"")</f>
        <v/>
      </c>
      <c r="P275" s="101">
        <f>IF(Database!BE275="","(n/m or not derivable)",Database!BE275)</f>
        <v/>
      </c>
      <c r="Q275" s="24">
        <f>IF(Database!BK275="","",IFERROR(BDH(LEFT(Database!BK275,FIND(".",Database!BK275)-1)&amp;" CH Equity","PE_RATIO",Database!$H275,Database!$H275),""))</f>
        <v/>
      </c>
      <c r="R275" s="24">
        <f>IF(Database!BK275="","",IFERROR(BDH("HSAHP Index","PX_LAST",Database!$H275,Database!$H275),""))</f>
        <v/>
      </c>
      <c r="S275" s="24">
        <f>IFERROR(BDP(Database!$A275&amp;" HK Equity","PX_TO_SALES_RATIO"),"")</f>
        <v/>
      </c>
      <c r="T275" s="18">
        <f>IF(Database!BK275="","",IFERROR(BDP(LEFT(Database!BK275,FIND(".",Database!BK275)-1)&amp;"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Database!AF276</f>
        <v/>
      </c>
      <c r="J276" s="24">
        <f>IFERROR(BDP(Database!$A276&amp;" HK Equity","PE_RATIO"),"")</f>
        <v/>
      </c>
      <c r="K276" s="10">
        <f>IFERROR(BDP(Database!$A276&amp;" HK Equity","A/H_SHARE_CONVERSION"),"")</f>
        <v/>
      </c>
      <c r="L276" s="16">
        <f>IF(Database!BK276="","(none found)",Database!BK276)</f>
        <v/>
      </c>
      <c r="M276" s="18">
        <f>IFERROR(BDH(Database!$A276&amp;" HK Equity","CUR_MKT_CAP",Database!$H276,Database!$H276),"")</f>
        <v/>
      </c>
      <c r="N276" s="97">
        <f>Database!Q276</f>
        <v/>
      </c>
      <c r="O276" s="24">
        <f>IFERROR(BDH(Database!$A276&amp;" HK Equity","PE_RATIO",Database!$H276,Database!$H276),"")</f>
        <v/>
      </c>
      <c r="P276" s="101">
        <f>IF(Database!BE276="","(n/m or not derivable)",Database!BE276)</f>
        <v/>
      </c>
      <c r="Q276" s="24">
        <f>IF(Database!BK276="","",IFERROR(BDH(LEFT(Database!BK276,FIND(".",Database!BK276)-1)&amp;" CH Equity","PE_RATIO",Database!$H276,Database!$H276),""))</f>
        <v/>
      </c>
      <c r="R276" s="24">
        <f>IF(Database!BK276="","",IFERROR(BDH("HSAHP Index","PX_LAST",Database!$H276,Database!$H276),""))</f>
        <v/>
      </c>
      <c r="S276" s="24">
        <f>IFERROR(BDP(Database!$A276&amp;" HK Equity","PX_TO_SALES_RATIO"),"")</f>
        <v/>
      </c>
      <c r="T276" s="18">
        <f>IF(Database!BK276="","",IFERROR(BDP(LEFT(Database!BK276,FIND(".",Database!BK276)-1)&amp;"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Database!AF277</f>
        <v/>
      </c>
      <c r="J277" s="24">
        <f>IFERROR(BDP(Database!$A277&amp;" HK Equity","PE_RATIO"),"")</f>
        <v/>
      </c>
      <c r="K277" s="10">
        <f>IFERROR(BDP(Database!$A277&amp;" HK Equity","A/H_SHARE_CONVERSION"),"")</f>
        <v/>
      </c>
      <c r="L277" s="16">
        <f>IF(Database!BK277="","(none found)",Database!BK277)</f>
        <v/>
      </c>
      <c r="M277" s="18">
        <f>IFERROR(BDH(Database!$A277&amp;" HK Equity","CUR_MKT_CAP",Database!$H277,Database!$H277),"")</f>
        <v/>
      </c>
      <c r="N277" s="97">
        <f>Database!Q277</f>
        <v/>
      </c>
      <c r="O277" s="24">
        <f>IFERROR(BDH(Database!$A277&amp;" HK Equity","PE_RATIO",Database!$H277,Database!$H277),"")</f>
        <v/>
      </c>
      <c r="P277" s="101">
        <f>IF(Database!BE277="","(n/m or not derivable)",Database!BE277)</f>
        <v/>
      </c>
      <c r="Q277" s="24">
        <f>IF(Database!BK277="","",IFERROR(BDH(LEFT(Database!BK277,FIND(".",Database!BK277)-1)&amp;" CH Equity","PE_RATIO",Database!$H277,Database!$H277),""))</f>
        <v/>
      </c>
      <c r="R277" s="24">
        <f>IF(Database!BK277="","",IFERROR(BDH("HSAHP Index","PX_LAST",Database!$H277,Database!$H277),""))</f>
        <v/>
      </c>
      <c r="S277" s="24">
        <f>IFERROR(BDP(Database!$A277&amp;" HK Equity","PX_TO_SALES_RATIO"),"")</f>
        <v/>
      </c>
      <c r="T277" s="18">
        <f>IF(Database!BK277="","",IFERROR(BDP(LEFT(Database!BK277,FIND(".",Database!BK277)-1)&amp;"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Database!AF278</f>
        <v/>
      </c>
      <c r="J278" s="24">
        <f>IFERROR(BDP(Database!$A278&amp;" HK Equity","PE_RATIO"),"")</f>
        <v/>
      </c>
      <c r="K278" s="10">
        <f>IFERROR(BDP(Database!$A278&amp;" HK Equity","A/H_SHARE_CONVERSION"),"")</f>
        <v/>
      </c>
      <c r="L278" s="16">
        <f>IF(Database!BK278="","(none found)",Database!BK278)</f>
        <v/>
      </c>
      <c r="M278" s="18">
        <f>IFERROR(BDH(Database!$A278&amp;" HK Equity","CUR_MKT_CAP",Database!$H278,Database!$H278),"")</f>
        <v/>
      </c>
      <c r="N278" s="97">
        <f>Database!Q278</f>
        <v/>
      </c>
      <c r="O278" s="24">
        <f>IFERROR(BDH(Database!$A278&amp;" HK Equity","PE_RATIO",Database!$H278,Database!$H278),"")</f>
        <v/>
      </c>
      <c r="P278" s="101">
        <f>IF(Database!BE278="","(n/m or not derivable)",Database!BE278)</f>
        <v/>
      </c>
      <c r="Q278" s="24">
        <f>IF(Database!BK278="","",IFERROR(BDH(LEFT(Database!BK278,FIND(".",Database!BK278)-1)&amp;" CH Equity","PE_RATIO",Database!$H278,Database!$H278),""))</f>
        <v/>
      </c>
      <c r="R278" s="24">
        <f>IF(Database!BK278="","",IFERROR(BDH("HSAHP Index","PX_LAST",Database!$H278,Database!$H278),""))</f>
        <v/>
      </c>
      <c r="S278" s="24">
        <f>IFERROR(BDP(Database!$A278&amp;" HK Equity","PX_TO_SALES_RATIO"),"")</f>
        <v/>
      </c>
      <c r="T278" s="18">
        <f>IF(Database!BK278="","",IFERROR(BDP(LEFT(Database!BK278,FIND(".",Database!BK278)-1)&amp;"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Database!AF279</f>
        <v/>
      </c>
      <c r="J279" s="24">
        <f>IFERROR(BDP(Database!$A279&amp;" HK Equity","PE_RATIO"),"")</f>
        <v/>
      </c>
      <c r="K279" s="10">
        <f>IFERROR(BDP(Database!$A279&amp;" HK Equity","A/H_SHARE_CONVERSION"),"")</f>
        <v/>
      </c>
      <c r="L279" s="16">
        <f>IF(Database!BK279="","(none found)",Database!BK279)</f>
        <v/>
      </c>
      <c r="M279" s="18">
        <f>IFERROR(BDH(Database!$A279&amp;" HK Equity","CUR_MKT_CAP",Database!$H279,Database!$H279),"")</f>
        <v/>
      </c>
      <c r="N279" s="97">
        <f>Database!Q279</f>
        <v/>
      </c>
      <c r="O279" s="24">
        <f>IFERROR(BDH(Database!$A279&amp;" HK Equity","PE_RATIO",Database!$H279,Database!$H279),"")</f>
        <v/>
      </c>
      <c r="P279" s="101">
        <f>IF(Database!BE279="","(n/m or not derivable)",Database!BE279)</f>
        <v/>
      </c>
      <c r="Q279" s="24">
        <f>IF(Database!BK279="","",IFERROR(BDH(LEFT(Database!BK279,FIND(".",Database!BK279)-1)&amp;" CH Equity","PE_RATIO",Database!$H279,Database!$H279),""))</f>
        <v/>
      </c>
      <c r="R279" s="24">
        <f>IF(Database!BK279="","",IFERROR(BDH("HSAHP Index","PX_LAST",Database!$H279,Database!$H279),""))</f>
        <v/>
      </c>
      <c r="S279" s="24">
        <f>IFERROR(BDP(Database!$A279&amp;" HK Equity","PX_TO_SALES_RATIO"),"")</f>
        <v/>
      </c>
      <c r="T279" s="18">
        <f>IF(Database!BK279="","",IFERROR(BDP(LEFT(Database!BK279,FIND(".",Database!BK279)-1)&amp;"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Database!AF280</f>
        <v/>
      </c>
      <c r="J280" s="24">
        <f>IFERROR(BDP(Database!$A280&amp;" HK Equity","PE_RATIO"),"")</f>
        <v/>
      </c>
      <c r="K280" s="10">
        <f>IFERROR(BDP(Database!$A280&amp;" HK Equity","A/H_SHARE_CONVERSION"),"")</f>
        <v/>
      </c>
      <c r="L280" s="16">
        <f>IF(Database!BK280="","(none found)",Database!BK280)</f>
        <v/>
      </c>
      <c r="M280" s="18">
        <f>IFERROR(BDH(Database!$A280&amp;" HK Equity","CUR_MKT_CAP",Database!$H280,Database!$H280),"")</f>
        <v/>
      </c>
      <c r="N280" s="97">
        <f>Database!Q280</f>
        <v/>
      </c>
      <c r="O280" s="24">
        <f>IFERROR(BDH(Database!$A280&amp;" HK Equity","PE_RATIO",Database!$H280,Database!$H280),"")</f>
        <v/>
      </c>
      <c r="P280" s="101">
        <f>IF(Database!BE280="","(n/m or not derivable)",Database!BE280)</f>
        <v/>
      </c>
      <c r="Q280" s="24">
        <f>IF(Database!BK280="","",IFERROR(BDH(LEFT(Database!BK280,FIND(".",Database!BK280)-1)&amp;" CH Equity","PE_RATIO",Database!$H280,Database!$H280),""))</f>
        <v/>
      </c>
      <c r="R280" s="24">
        <f>IF(Database!BK280="","",IFERROR(BDH("HSAHP Index","PX_LAST",Database!$H280,Database!$H280),""))</f>
        <v/>
      </c>
      <c r="S280" s="24">
        <f>IFERROR(BDP(Database!$A280&amp;" HK Equity","PX_TO_SALES_RATIO"),"")</f>
        <v/>
      </c>
      <c r="T280" s="18">
        <f>IF(Database!BK280="","",IFERROR(BDP(LEFT(Database!BK280,FIND(".",Database!BK280)-1)&amp;"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Database!AF281</f>
        <v/>
      </c>
      <c r="J281" s="24">
        <f>IFERROR(BDP(Database!$A281&amp;" HK Equity","PE_RATIO"),"")</f>
        <v/>
      </c>
      <c r="K281" s="10">
        <f>IFERROR(BDP(Database!$A281&amp;" HK Equity","A/H_SHARE_CONVERSION"),"")</f>
        <v/>
      </c>
      <c r="L281" s="16">
        <f>IF(Database!BK281="","(none found)",Database!BK281)</f>
        <v/>
      </c>
      <c r="M281" s="18">
        <f>IFERROR(BDH(Database!$A281&amp;" HK Equity","CUR_MKT_CAP",Database!$H281,Database!$H281),"")</f>
        <v/>
      </c>
      <c r="N281" s="97">
        <f>Database!Q281</f>
        <v/>
      </c>
      <c r="O281" s="24">
        <f>IFERROR(BDH(Database!$A281&amp;" HK Equity","PE_RATIO",Database!$H281,Database!$H281),"")</f>
        <v/>
      </c>
      <c r="P281" s="101">
        <f>IF(Database!BE281="","(n/m or not derivable)",Database!BE281)</f>
        <v/>
      </c>
      <c r="Q281" s="24">
        <f>IF(Database!BK281="","",IFERROR(BDH(LEFT(Database!BK281,FIND(".",Database!BK281)-1)&amp;" CH Equity","PE_RATIO",Database!$H281,Database!$H281),""))</f>
        <v/>
      </c>
      <c r="R281" s="24">
        <f>IF(Database!BK281="","",IFERROR(BDH("HSAHP Index","PX_LAST",Database!$H281,Database!$H281),""))</f>
        <v/>
      </c>
      <c r="S281" s="24">
        <f>IFERROR(BDP(Database!$A281&amp;" HK Equity","PX_TO_SALES_RATIO"),"")</f>
        <v/>
      </c>
      <c r="T281" s="18">
        <f>IF(Database!BK281="","",IFERROR(BDP(LEFT(Database!BK281,FIND(".",Database!BK281)-1)&amp;"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Database!AF282</f>
        <v/>
      </c>
      <c r="J282" s="24">
        <f>IFERROR(BDP(Database!$A282&amp;" HK Equity","PE_RATIO"),"")</f>
        <v/>
      </c>
      <c r="K282" s="10">
        <f>IFERROR(BDP(Database!$A282&amp;" HK Equity","A/H_SHARE_CONVERSION"),"")</f>
        <v/>
      </c>
      <c r="L282" s="16">
        <f>IF(Database!BK282="","(none found)",Database!BK282)</f>
        <v/>
      </c>
      <c r="M282" s="18">
        <f>IFERROR(BDH(Database!$A282&amp;" HK Equity","CUR_MKT_CAP",Database!$H282,Database!$H282),"")</f>
        <v/>
      </c>
      <c r="N282" s="97">
        <f>Database!Q282</f>
        <v/>
      </c>
      <c r="O282" s="24">
        <f>IFERROR(BDH(Database!$A282&amp;" HK Equity","PE_RATIO",Database!$H282,Database!$H282),"")</f>
        <v/>
      </c>
      <c r="P282" s="101">
        <f>IF(Database!BE282="","(n/m or not derivable)",Database!BE282)</f>
        <v/>
      </c>
      <c r="Q282" s="24">
        <f>IF(Database!BK282="","",IFERROR(BDH(LEFT(Database!BK282,FIND(".",Database!BK282)-1)&amp;" CH Equity","PE_RATIO",Database!$H282,Database!$H282),""))</f>
        <v/>
      </c>
      <c r="R282" s="24">
        <f>IF(Database!BK282="","",IFERROR(BDH("HSAHP Index","PX_LAST",Database!$H282,Database!$H282),""))</f>
        <v/>
      </c>
      <c r="S282" s="24">
        <f>IFERROR(BDP(Database!$A282&amp;" HK Equity","PX_TO_SALES_RATIO"),"")</f>
        <v/>
      </c>
      <c r="T282" s="18">
        <f>IF(Database!BK282="","",IFERROR(BDP(LEFT(Database!BK282,FIND(".",Database!BK282)-1)&amp;"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Database!AF283</f>
        <v/>
      </c>
      <c r="J283" s="24">
        <f>IFERROR(BDP(Database!$A283&amp;" HK Equity","PE_RATIO"),"")</f>
        <v/>
      </c>
      <c r="K283" s="10">
        <f>IFERROR(BDP(Database!$A283&amp;" HK Equity","A/H_SHARE_CONVERSION"),"")</f>
        <v/>
      </c>
      <c r="L283" s="16">
        <f>IF(Database!BK283="","(none found)",Database!BK283)</f>
        <v/>
      </c>
      <c r="M283" s="18">
        <f>IFERROR(BDH(Database!$A283&amp;" HK Equity","CUR_MKT_CAP",Database!$H283,Database!$H283),"")</f>
        <v/>
      </c>
      <c r="N283" s="97">
        <f>Database!Q283</f>
        <v/>
      </c>
      <c r="O283" s="24">
        <f>IFERROR(BDH(Database!$A283&amp;" HK Equity","PE_RATIO",Database!$H283,Database!$H283),"")</f>
        <v/>
      </c>
      <c r="P283" s="101">
        <f>IF(Database!BE283="","(n/m or not derivable)",Database!BE283)</f>
        <v/>
      </c>
      <c r="Q283" s="24">
        <f>IF(Database!BK283="","",IFERROR(BDH(LEFT(Database!BK283,FIND(".",Database!BK283)-1)&amp;" CH Equity","PE_RATIO",Database!$H283,Database!$H283),""))</f>
        <v/>
      </c>
      <c r="R283" s="24">
        <f>IF(Database!BK283="","",IFERROR(BDH("HSAHP Index","PX_LAST",Database!$H283,Database!$H283),""))</f>
        <v/>
      </c>
      <c r="S283" s="24">
        <f>IFERROR(BDP(Database!$A283&amp;" HK Equity","PX_TO_SALES_RATIO"),"")</f>
        <v/>
      </c>
      <c r="T283" s="18">
        <f>IF(Database!BK283="","",IFERROR(BDP(LEFT(Database!BK283,FIND(".",Database!BK283)-1)&amp;"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Database!AF284</f>
        <v/>
      </c>
      <c r="J284" s="24">
        <f>IFERROR(BDP(Database!$A284&amp;" HK Equity","PE_RATIO"),"")</f>
        <v/>
      </c>
      <c r="K284" s="10">
        <f>IFERROR(BDP(Database!$A284&amp;" HK Equity","A/H_SHARE_CONVERSION"),"")</f>
        <v/>
      </c>
      <c r="L284" s="16">
        <f>IF(Database!BK284="","(none found)",Database!BK284)</f>
        <v/>
      </c>
      <c r="M284" s="18">
        <f>IFERROR(BDH(Database!$A284&amp;" HK Equity","CUR_MKT_CAP",Database!$H284,Database!$H284),"")</f>
        <v/>
      </c>
      <c r="N284" s="97">
        <f>Database!Q284</f>
        <v/>
      </c>
      <c r="O284" s="24">
        <f>IFERROR(BDH(Database!$A284&amp;" HK Equity","PE_RATIO",Database!$H284,Database!$H284),"")</f>
        <v/>
      </c>
      <c r="P284" s="101">
        <f>IF(Database!BE284="","(n/m or not derivable)",Database!BE284)</f>
        <v/>
      </c>
      <c r="Q284" s="24">
        <f>IF(Database!BK284="","",IFERROR(BDH(LEFT(Database!BK284,FIND(".",Database!BK284)-1)&amp;" CH Equity","PE_RATIO",Database!$H284,Database!$H284),""))</f>
        <v/>
      </c>
      <c r="R284" s="24">
        <f>IF(Database!BK284="","",IFERROR(BDH("HSAHP Index","PX_LAST",Database!$H284,Database!$H284),""))</f>
        <v/>
      </c>
      <c r="S284" s="24">
        <f>IFERROR(BDP(Database!$A284&amp;" HK Equity","PX_TO_SALES_RATIO"),"")</f>
        <v/>
      </c>
      <c r="T284" s="18">
        <f>IF(Database!BK284="","",IFERROR(BDP(LEFT(Database!BK284,FIND(".",Database!BK284)-1)&amp;"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Database!AF285</f>
        <v/>
      </c>
      <c r="J285" s="24">
        <f>IFERROR(BDP(Database!$A285&amp;" HK Equity","PE_RATIO"),"")</f>
        <v/>
      </c>
      <c r="K285" s="10">
        <f>IFERROR(BDP(Database!$A285&amp;" HK Equity","A/H_SHARE_CONVERSION"),"")</f>
        <v/>
      </c>
      <c r="L285" s="16">
        <f>IF(Database!BK285="","(none found)",Database!BK285)</f>
        <v/>
      </c>
      <c r="M285" s="18">
        <f>IFERROR(BDH(Database!$A285&amp;" HK Equity","CUR_MKT_CAP",Database!$H285,Database!$H285),"")</f>
        <v/>
      </c>
      <c r="N285" s="97">
        <f>Database!Q285</f>
        <v/>
      </c>
      <c r="O285" s="24">
        <f>IFERROR(BDH(Database!$A285&amp;" HK Equity","PE_RATIO",Database!$H285,Database!$H285),"")</f>
        <v/>
      </c>
      <c r="P285" s="101">
        <f>IF(Database!BE285="","(n/m or not derivable)",Database!BE285)</f>
        <v/>
      </c>
      <c r="Q285" s="24">
        <f>IF(Database!BK285="","",IFERROR(BDH(LEFT(Database!BK285,FIND(".",Database!BK285)-1)&amp;" CH Equity","PE_RATIO",Database!$H285,Database!$H285),""))</f>
        <v/>
      </c>
      <c r="R285" s="24">
        <f>IF(Database!BK285="","",IFERROR(BDH("HSAHP Index","PX_LAST",Database!$H285,Database!$H285),""))</f>
        <v/>
      </c>
      <c r="S285" s="24">
        <f>IFERROR(BDP(Database!$A285&amp;" HK Equity","PX_TO_SALES_RATIO"),"")</f>
        <v/>
      </c>
      <c r="T285" s="18">
        <f>IF(Database!BK285="","",IFERROR(BDP(LEFT(Database!BK285,FIND(".",Database!BK285)-1)&amp;"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Database!AF286</f>
        <v/>
      </c>
      <c r="J286" s="24">
        <f>IFERROR(BDP(Database!$A286&amp;" HK Equity","PE_RATIO"),"")</f>
        <v/>
      </c>
      <c r="K286" s="10">
        <f>IFERROR(BDP(Database!$A286&amp;" HK Equity","A/H_SHARE_CONVERSION"),"")</f>
        <v/>
      </c>
      <c r="L286" s="16">
        <f>IF(Database!BK286="","(none found)",Database!BK286)</f>
        <v/>
      </c>
      <c r="M286" s="18">
        <f>IFERROR(BDH(Database!$A286&amp;" HK Equity","CUR_MKT_CAP",Database!$H286,Database!$H286),"")</f>
        <v/>
      </c>
      <c r="N286" s="97">
        <f>Database!Q286</f>
        <v/>
      </c>
      <c r="O286" s="24">
        <f>IFERROR(BDH(Database!$A286&amp;" HK Equity","PE_RATIO",Database!$H286,Database!$H286),"")</f>
        <v/>
      </c>
      <c r="P286" s="101">
        <f>IF(Database!BE286="","(n/m or not derivable)",Database!BE286)</f>
        <v/>
      </c>
      <c r="Q286" s="24">
        <f>IF(Database!BK286="","",IFERROR(BDH(LEFT(Database!BK286,FIND(".",Database!BK286)-1)&amp;" CH Equity","PE_RATIO",Database!$H286,Database!$H286),""))</f>
        <v/>
      </c>
      <c r="R286" s="24">
        <f>IF(Database!BK286="","",IFERROR(BDH("HSAHP Index","PX_LAST",Database!$H286,Database!$H286),""))</f>
        <v/>
      </c>
      <c r="S286" s="24">
        <f>IFERROR(BDP(Database!$A286&amp;" HK Equity","PX_TO_SALES_RATIO"),"")</f>
        <v/>
      </c>
      <c r="T286" s="18">
        <f>IF(Database!BK286="","",IFERROR(BDP(LEFT(Database!BK286,FIND(".",Database!BK286)-1)&amp;"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Database!AF287</f>
        <v/>
      </c>
      <c r="J287" s="24">
        <f>IFERROR(BDP(Database!$A287&amp;" HK Equity","PE_RATIO"),"")</f>
        <v/>
      </c>
      <c r="K287" s="10">
        <f>IFERROR(BDP(Database!$A287&amp;" HK Equity","A/H_SHARE_CONVERSION"),"")</f>
        <v/>
      </c>
      <c r="L287" s="16">
        <f>IF(Database!BK287="","(none found)",Database!BK287)</f>
        <v/>
      </c>
      <c r="M287" s="18">
        <f>IFERROR(BDH(Database!$A287&amp;" HK Equity","CUR_MKT_CAP",Database!$H287,Database!$H287),"")</f>
        <v/>
      </c>
      <c r="N287" s="97">
        <f>Database!Q287</f>
        <v/>
      </c>
      <c r="O287" s="24">
        <f>IFERROR(BDH(Database!$A287&amp;" HK Equity","PE_RATIO",Database!$H287,Database!$H287),"")</f>
        <v/>
      </c>
      <c r="P287" s="101">
        <f>IF(Database!BE287="","(n/m or not derivable)",Database!BE287)</f>
        <v/>
      </c>
      <c r="Q287" s="24">
        <f>IF(Database!BK287="","",IFERROR(BDH(LEFT(Database!BK287,FIND(".",Database!BK287)-1)&amp;" CH Equity","PE_RATIO",Database!$H287,Database!$H287),""))</f>
        <v/>
      </c>
      <c r="R287" s="24">
        <f>IF(Database!BK287="","",IFERROR(BDH("HSAHP Index","PX_LAST",Database!$H287,Database!$H287),""))</f>
        <v/>
      </c>
      <c r="S287" s="24">
        <f>IFERROR(BDP(Database!$A287&amp;" HK Equity","PX_TO_SALES_RATIO"),"")</f>
        <v/>
      </c>
      <c r="T287" s="18">
        <f>IF(Database!BK287="","",IFERROR(BDP(LEFT(Database!BK287,FIND(".",Database!BK287)-1)&amp;"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Database!AF288</f>
        <v/>
      </c>
      <c r="J288" s="24">
        <f>IFERROR(BDP(Database!$A288&amp;" HK Equity","PE_RATIO"),"")</f>
        <v/>
      </c>
      <c r="K288" s="10">
        <f>IFERROR(BDP(Database!$A288&amp;" HK Equity","A/H_SHARE_CONVERSION"),"")</f>
        <v/>
      </c>
      <c r="L288" s="16">
        <f>IF(Database!BK288="","(none found)",Database!BK288)</f>
        <v/>
      </c>
      <c r="M288" s="18">
        <f>IFERROR(BDH(Database!$A288&amp;" HK Equity","CUR_MKT_CAP",Database!$H288,Database!$H288),"")</f>
        <v/>
      </c>
      <c r="N288" s="97">
        <f>Database!Q288</f>
        <v/>
      </c>
      <c r="O288" s="24">
        <f>IFERROR(BDH(Database!$A288&amp;" HK Equity","PE_RATIO",Database!$H288,Database!$H288),"")</f>
        <v/>
      </c>
      <c r="P288" s="101">
        <f>IF(Database!BE288="","(n/m or not derivable)",Database!BE288)</f>
        <v/>
      </c>
      <c r="Q288" s="24">
        <f>IF(Database!BK288="","",IFERROR(BDH(LEFT(Database!BK288,FIND(".",Database!BK288)-1)&amp;" CH Equity","PE_RATIO",Database!$H288,Database!$H288),""))</f>
        <v/>
      </c>
      <c r="R288" s="24">
        <f>IF(Database!BK288="","",IFERROR(BDH("HSAHP Index","PX_LAST",Database!$H288,Database!$H288),""))</f>
        <v/>
      </c>
      <c r="S288" s="24">
        <f>IFERROR(BDP(Database!$A288&amp;" HK Equity","PX_TO_SALES_RATIO"),"")</f>
        <v/>
      </c>
      <c r="T288" s="18">
        <f>IF(Database!BK288="","",IFERROR(BDP(LEFT(Database!BK288,FIND(".",Database!BK288)-1)&amp;"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Database!AF289</f>
        <v/>
      </c>
      <c r="J289" s="24">
        <f>IFERROR(BDP(Database!$A289&amp;" HK Equity","PE_RATIO"),"")</f>
        <v/>
      </c>
      <c r="K289" s="10">
        <f>IFERROR(BDP(Database!$A289&amp;" HK Equity","A/H_SHARE_CONVERSION"),"")</f>
        <v/>
      </c>
      <c r="L289" s="16">
        <f>IF(Database!BK289="","(none found)",Database!BK289)</f>
        <v/>
      </c>
      <c r="M289" s="18">
        <f>IFERROR(BDH(Database!$A289&amp;" HK Equity","CUR_MKT_CAP",Database!$H289,Database!$H289),"")</f>
        <v/>
      </c>
      <c r="N289" s="97">
        <f>Database!Q289</f>
        <v/>
      </c>
      <c r="O289" s="24">
        <f>IFERROR(BDH(Database!$A289&amp;" HK Equity","PE_RATIO",Database!$H289,Database!$H289),"")</f>
        <v/>
      </c>
      <c r="P289" s="101">
        <f>IF(Database!BE289="","(n/m or not derivable)",Database!BE289)</f>
        <v/>
      </c>
      <c r="Q289" s="24">
        <f>IF(Database!BK289="","",IFERROR(BDH(LEFT(Database!BK289,FIND(".",Database!BK289)-1)&amp;" CH Equity","PE_RATIO",Database!$H289,Database!$H289),""))</f>
        <v/>
      </c>
      <c r="R289" s="24">
        <f>IF(Database!BK289="","",IFERROR(BDH("HSAHP Index","PX_LAST",Database!$H289,Database!$H289),""))</f>
        <v/>
      </c>
      <c r="S289" s="24">
        <f>IFERROR(BDP(Database!$A289&amp;" HK Equity","PX_TO_SALES_RATIO"),"")</f>
        <v/>
      </c>
      <c r="T289" s="18">
        <f>IF(Database!BK289="","",IFERROR(BDP(LEFT(Database!BK289,FIND(".",Database!BK289)-1)&amp;"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Database!AF290</f>
        <v/>
      </c>
      <c r="J290" s="24">
        <f>IFERROR(BDP(Database!$A290&amp;" HK Equity","PE_RATIO"),"")</f>
        <v/>
      </c>
      <c r="K290" s="10">
        <f>IFERROR(BDP(Database!$A290&amp;" HK Equity","A/H_SHARE_CONVERSION"),"")</f>
        <v/>
      </c>
      <c r="L290" s="16">
        <f>IF(Database!BK290="","(none found)",Database!BK290)</f>
        <v/>
      </c>
      <c r="M290" s="18">
        <f>IFERROR(BDH(Database!$A290&amp;" HK Equity","CUR_MKT_CAP",Database!$H290,Database!$H290),"")</f>
        <v/>
      </c>
      <c r="N290" s="97">
        <f>Database!Q290</f>
        <v/>
      </c>
      <c r="O290" s="24">
        <f>IFERROR(BDH(Database!$A290&amp;" HK Equity","PE_RATIO",Database!$H290,Database!$H290),"")</f>
        <v/>
      </c>
      <c r="P290" s="101">
        <f>IF(Database!BE290="","(n/m or not derivable)",Database!BE290)</f>
        <v/>
      </c>
      <c r="Q290" s="24">
        <f>IF(Database!BK290="","",IFERROR(BDH(LEFT(Database!BK290,FIND(".",Database!BK290)-1)&amp;" CH Equity","PE_RATIO",Database!$H290,Database!$H290),""))</f>
        <v/>
      </c>
      <c r="R290" s="24">
        <f>IF(Database!BK290="","",IFERROR(BDH("HSAHP Index","PX_LAST",Database!$H290,Database!$H290),""))</f>
        <v/>
      </c>
      <c r="S290" s="24">
        <f>IFERROR(BDP(Database!$A290&amp;" HK Equity","PX_TO_SALES_RATIO"),"")</f>
        <v/>
      </c>
      <c r="T290" s="18">
        <f>IF(Database!BK290="","",IFERROR(BDP(LEFT(Database!BK290,FIND(".",Database!BK290)-1)&amp;"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Database!AF291</f>
        <v/>
      </c>
      <c r="J291" s="24">
        <f>IFERROR(BDP(Database!$A291&amp;" HK Equity","PE_RATIO"),"")</f>
        <v/>
      </c>
      <c r="K291" s="10">
        <f>IFERROR(BDP(Database!$A291&amp;" HK Equity","A/H_SHARE_CONVERSION"),"")</f>
        <v/>
      </c>
      <c r="L291" s="16">
        <f>IF(Database!BK291="","(none found)",Database!BK291)</f>
        <v/>
      </c>
      <c r="M291" s="18">
        <f>IFERROR(BDH(Database!$A291&amp;" HK Equity","CUR_MKT_CAP",Database!$H291,Database!$H291),"")</f>
        <v/>
      </c>
      <c r="N291" s="97">
        <f>Database!Q291</f>
        <v/>
      </c>
      <c r="O291" s="24">
        <f>IFERROR(BDH(Database!$A291&amp;" HK Equity","PE_RATIO",Database!$H291,Database!$H291),"")</f>
        <v/>
      </c>
      <c r="P291" s="101">
        <f>IF(Database!BE291="","(n/m or not derivable)",Database!BE291)</f>
        <v/>
      </c>
      <c r="Q291" s="24">
        <f>IF(Database!BK291="","",IFERROR(BDH(LEFT(Database!BK291,FIND(".",Database!BK291)-1)&amp;" CH Equity","PE_RATIO",Database!$H291,Database!$H291),""))</f>
        <v/>
      </c>
      <c r="R291" s="24">
        <f>IF(Database!BK291="","",IFERROR(BDH("HSAHP Index","PX_LAST",Database!$H291,Database!$H291),""))</f>
        <v/>
      </c>
      <c r="S291" s="24">
        <f>IFERROR(BDP(Database!$A291&amp;" HK Equity","PX_TO_SALES_RATIO"),"")</f>
        <v/>
      </c>
      <c r="T291" s="18">
        <f>IF(Database!BK291="","",IFERROR(BDP(LEFT(Database!BK291,FIND(".",Database!BK291)-1)&amp;"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Database!AF292</f>
        <v/>
      </c>
      <c r="J292" s="24">
        <f>IFERROR(BDP(Database!$A292&amp;" HK Equity","PE_RATIO"),"")</f>
        <v/>
      </c>
      <c r="K292" s="10">
        <f>IFERROR(BDP(Database!$A292&amp;" HK Equity","A/H_SHARE_CONVERSION"),"")</f>
        <v/>
      </c>
      <c r="L292" s="16">
        <f>IF(Database!BK292="","(none found)",Database!BK292)</f>
        <v/>
      </c>
      <c r="M292" s="18">
        <f>IFERROR(BDH(Database!$A292&amp;" HK Equity","CUR_MKT_CAP",Database!$H292,Database!$H292),"")</f>
        <v/>
      </c>
      <c r="N292" s="97">
        <f>Database!Q292</f>
        <v/>
      </c>
      <c r="O292" s="24">
        <f>IFERROR(BDH(Database!$A292&amp;" HK Equity","PE_RATIO",Database!$H292,Database!$H292),"")</f>
        <v/>
      </c>
      <c r="P292" s="101">
        <f>IF(Database!BE292="","(n/m or not derivable)",Database!BE292)</f>
        <v/>
      </c>
      <c r="Q292" s="24">
        <f>IF(Database!BK292="","",IFERROR(BDH(LEFT(Database!BK292,FIND(".",Database!BK292)-1)&amp;" CH Equity","PE_RATIO",Database!$H292,Database!$H292),""))</f>
        <v/>
      </c>
      <c r="R292" s="24">
        <f>IF(Database!BK292="","",IFERROR(BDH("HSAHP Index","PX_LAST",Database!$H292,Database!$H292),""))</f>
        <v/>
      </c>
      <c r="S292" s="24">
        <f>IFERROR(BDP(Database!$A292&amp;" HK Equity","PX_TO_SALES_RATIO"),"")</f>
        <v/>
      </c>
      <c r="T292" s="18">
        <f>IF(Database!BK292="","",IFERROR(BDP(LEFT(Database!BK292,FIND(".",Database!BK292)-1)&amp;"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Database!AF293</f>
        <v/>
      </c>
      <c r="J293" s="24">
        <f>IFERROR(BDP(Database!$A293&amp;" HK Equity","PE_RATIO"),"")</f>
        <v/>
      </c>
      <c r="K293" s="10">
        <f>IFERROR(BDP(Database!$A293&amp;" HK Equity","A/H_SHARE_CONVERSION"),"")</f>
        <v/>
      </c>
      <c r="L293" s="16">
        <f>IF(Database!BK293="","(none found)",Database!BK293)</f>
        <v/>
      </c>
      <c r="M293" s="18">
        <f>IFERROR(BDH(Database!$A293&amp;" HK Equity","CUR_MKT_CAP",Database!$H293,Database!$H293),"")</f>
        <v/>
      </c>
      <c r="N293" s="97">
        <f>Database!Q293</f>
        <v/>
      </c>
      <c r="O293" s="24">
        <f>IFERROR(BDH(Database!$A293&amp;" HK Equity","PE_RATIO",Database!$H293,Database!$H293),"")</f>
        <v/>
      </c>
      <c r="P293" s="101">
        <f>IF(Database!BE293="","(n/m or not derivable)",Database!BE293)</f>
        <v/>
      </c>
      <c r="Q293" s="24">
        <f>IF(Database!BK293="","",IFERROR(BDH(LEFT(Database!BK293,FIND(".",Database!BK293)-1)&amp;" CH Equity","PE_RATIO",Database!$H293,Database!$H293),""))</f>
        <v/>
      </c>
      <c r="R293" s="24">
        <f>IF(Database!BK293="","",IFERROR(BDH("HSAHP Index","PX_LAST",Database!$H293,Database!$H293),""))</f>
        <v/>
      </c>
      <c r="S293" s="24">
        <f>IFERROR(BDP(Database!$A293&amp;" HK Equity","PX_TO_SALES_RATIO"),"")</f>
        <v/>
      </c>
      <c r="T293" s="18">
        <f>IF(Database!BK293="","",IFERROR(BDP(LEFT(Database!BK293,FIND(".",Database!BK293)-1)&amp;"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Database!AF294</f>
        <v/>
      </c>
      <c r="J294" s="24">
        <f>IFERROR(BDP(Database!$A294&amp;" HK Equity","PE_RATIO"),"")</f>
        <v/>
      </c>
      <c r="K294" s="10">
        <f>IFERROR(BDP(Database!$A294&amp;" HK Equity","A/H_SHARE_CONVERSION"),"")</f>
        <v/>
      </c>
      <c r="L294" s="16">
        <f>IF(Database!BK294="","(none found)",Database!BK294)</f>
        <v/>
      </c>
      <c r="M294" s="18">
        <f>IFERROR(BDH(Database!$A294&amp;" HK Equity","CUR_MKT_CAP",Database!$H294,Database!$H294),"")</f>
        <v/>
      </c>
      <c r="N294" s="97">
        <f>Database!Q294</f>
        <v/>
      </c>
      <c r="O294" s="24">
        <f>IFERROR(BDH(Database!$A294&amp;" HK Equity","PE_RATIO",Database!$H294,Database!$H294),"")</f>
        <v/>
      </c>
      <c r="P294" s="101">
        <f>IF(Database!BE294="","(n/m or not derivable)",Database!BE294)</f>
        <v/>
      </c>
      <c r="Q294" s="24">
        <f>IF(Database!BK294="","",IFERROR(BDH(LEFT(Database!BK294,FIND(".",Database!BK294)-1)&amp;" CH Equity","PE_RATIO",Database!$H294,Database!$H294),""))</f>
        <v/>
      </c>
      <c r="R294" s="24">
        <f>IF(Database!BK294="","",IFERROR(BDH("HSAHP Index","PX_LAST",Database!$H294,Database!$H294),""))</f>
        <v/>
      </c>
      <c r="S294" s="24">
        <f>IFERROR(BDP(Database!$A294&amp;" HK Equity","PX_TO_SALES_RATIO"),"")</f>
        <v/>
      </c>
      <c r="T294" s="18">
        <f>IF(Database!BK294="","",IFERROR(BDP(LEFT(Database!BK294,FIND(".",Database!BK294)-1)&amp;"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Database!AF295</f>
        <v/>
      </c>
      <c r="J295" s="24">
        <f>IFERROR(BDP(Database!$A295&amp;" HK Equity","PE_RATIO"),"")</f>
        <v/>
      </c>
      <c r="K295" s="10">
        <f>IFERROR(BDP(Database!$A295&amp;" HK Equity","A/H_SHARE_CONVERSION"),"")</f>
        <v/>
      </c>
      <c r="L295" s="16">
        <f>IF(Database!BK295="","(none found)",Database!BK295)</f>
        <v/>
      </c>
      <c r="M295" s="18">
        <f>IFERROR(BDH(Database!$A295&amp;" HK Equity","CUR_MKT_CAP",Database!$H295,Database!$H295),"")</f>
        <v/>
      </c>
      <c r="N295" s="97">
        <f>Database!Q295</f>
        <v/>
      </c>
      <c r="O295" s="24">
        <f>IFERROR(BDH(Database!$A295&amp;" HK Equity","PE_RATIO",Database!$H295,Database!$H295),"")</f>
        <v/>
      </c>
      <c r="P295" s="101">
        <f>IF(Database!BE295="","(n/m or not derivable)",Database!BE295)</f>
        <v/>
      </c>
      <c r="Q295" s="24">
        <f>IF(Database!BK295="","",IFERROR(BDH(LEFT(Database!BK295,FIND(".",Database!BK295)-1)&amp;" CH Equity","PE_RATIO",Database!$H295,Database!$H295),""))</f>
        <v/>
      </c>
      <c r="R295" s="24">
        <f>IF(Database!BK295="","",IFERROR(BDH("HSAHP Index","PX_LAST",Database!$H295,Database!$H295),""))</f>
        <v/>
      </c>
      <c r="S295" s="24">
        <f>IFERROR(BDP(Database!$A295&amp;" HK Equity","PX_TO_SALES_RATIO"),"")</f>
        <v/>
      </c>
      <c r="T295" s="18">
        <f>IF(Database!BK295="","",IFERROR(BDP(LEFT(Database!BK295,FIND(".",Database!BK295)-1)&amp;"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Database!AF296</f>
        <v/>
      </c>
      <c r="J296" s="24">
        <f>IFERROR(BDP(Database!$A296&amp;" HK Equity","PE_RATIO"),"")</f>
        <v/>
      </c>
      <c r="K296" s="10">
        <f>IFERROR(BDP(Database!$A296&amp;" HK Equity","A/H_SHARE_CONVERSION"),"")</f>
        <v/>
      </c>
      <c r="L296" s="16">
        <f>IF(Database!BK296="","(none found)",Database!BK296)</f>
        <v/>
      </c>
      <c r="M296" s="18">
        <f>IFERROR(BDH(Database!$A296&amp;" HK Equity","CUR_MKT_CAP",Database!$H296,Database!$H296),"")</f>
        <v/>
      </c>
      <c r="N296" s="97">
        <f>Database!Q296</f>
        <v/>
      </c>
      <c r="O296" s="24">
        <f>IFERROR(BDH(Database!$A296&amp;" HK Equity","PE_RATIO",Database!$H296,Database!$H296),"")</f>
        <v/>
      </c>
      <c r="P296" s="101">
        <f>IF(Database!BE296="","(n/m or not derivable)",Database!BE296)</f>
        <v/>
      </c>
      <c r="Q296" s="24">
        <f>IF(Database!BK296="","",IFERROR(BDH(LEFT(Database!BK296,FIND(".",Database!BK296)-1)&amp;" CH Equity","PE_RATIO",Database!$H296,Database!$H296),""))</f>
        <v/>
      </c>
      <c r="R296" s="24">
        <f>IF(Database!BK296="","",IFERROR(BDH("HSAHP Index","PX_LAST",Database!$H296,Database!$H296),""))</f>
        <v/>
      </c>
      <c r="S296" s="24">
        <f>IFERROR(BDP(Database!$A296&amp;" HK Equity","PX_TO_SALES_RATIO"),"")</f>
        <v/>
      </c>
      <c r="T296" s="18">
        <f>IF(Database!BK296="","",IFERROR(BDP(LEFT(Database!BK296,FIND(".",Database!BK296)-1)&amp;"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Database!AF297</f>
        <v/>
      </c>
      <c r="J297" s="24">
        <f>IFERROR(BDP(Database!$A297&amp;" HK Equity","PE_RATIO"),"")</f>
        <v/>
      </c>
      <c r="K297" s="10">
        <f>IFERROR(BDP(Database!$A297&amp;" HK Equity","A/H_SHARE_CONVERSION"),"")</f>
        <v/>
      </c>
      <c r="L297" s="16">
        <f>IF(Database!BK297="","(none found)",Database!BK297)</f>
        <v/>
      </c>
      <c r="M297" s="18">
        <f>IFERROR(BDH(Database!$A297&amp;" HK Equity","CUR_MKT_CAP",Database!$H297,Database!$H297),"")</f>
        <v/>
      </c>
      <c r="N297" s="97">
        <f>Database!Q297</f>
        <v/>
      </c>
      <c r="O297" s="24">
        <f>IFERROR(BDH(Database!$A297&amp;" HK Equity","PE_RATIO",Database!$H297,Database!$H297),"")</f>
        <v/>
      </c>
      <c r="P297" s="101">
        <f>IF(Database!BE297="","(n/m or not derivable)",Database!BE297)</f>
        <v/>
      </c>
      <c r="Q297" s="24">
        <f>IF(Database!BK297="","",IFERROR(BDH(LEFT(Database!BK297,FIND(".",Database!BK297)-1)&amp;" CH Equity","PE_RATIO",Database!$H297,Database!$H297),""))</f>
        <v/>
      </c>
      <c r="R297" s="24">
        <f>IF(Database!BK297="","",IFERROR(BDH("HSAHP Index","PX_LAST",Database!$H297,Database!$H297),""))</f>
        <v/>
      </c>
      <c r="S297" s="24">
        <f>IFERROR(BDP(Database!$A297&amp;" HK Equity","PX_TO_SALES_RATIO"),"")</f>
        <v/>
      </c>
      <c r="T297" s="18">
        <f>IF(Database!BK297="","",IFERROR(BDP(LEFT(Database!BK297,FIND(".",Database!BK297)-1)&amp;"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Database!AF298</f>
        <v/>
      </c>
      <c r="J298" s="24">
        <f>IFERROR(BDP(Database!$A298&amp;" HK Equity","PE_RATIO"),"")</f>
        <v/>
      </c>
      <c r="K298" s="10">
        <f>IFERROR(BDP(Database!$A298&amp;" HK Equity","A/H_SHARE_CONVERSION"),"")</f>
        <v/>
      </c>
      <c r="L298" s="16">
        <f>IF(Database!BK298="","(none found)",Database!BK298)</f>
        <v/>
      </c>
      <c r="M298" s="18">
        <f>IFERROR(BDH(Database!$A298&amp;" HK Equity","CUR_MKT_CAP",Database!$H298,Database!$H298),"")</f>
        <v/>
      </c>
      <c r="N298" s="97">
        <f>Database!Q298</f>
        <v/>
      </c>
      <c r="O298" s="24">
        <f>IFERROR(BDH(Database!$A298&amp;" HK Equity","PE_RATIO",Database!$H298,Database!$H298),"")</f>
        <v/>
      </c>
      <c r="P298" s="101">
        <f>IF(Database!BE298="","(n/m or not derivable)",Database!BE298)</f>
        <v/>
      </c>
      <c r="Q298" s="24">
        <f>IF(Database!BK298="","",IFERROR(BDH(LEFT(Database!BK298,FIND(".",Database!BK298)-1)&amp;" CH Equity","PE_RATIO",Database!$H298,Database!$H298),""))</f>
        <v/>
      </c>
      <c r="R298" s="24">
        <f>IF(Database!BK298="","",IFERROR(BDH("HSAHP Index","PX_LAST",Database!$H298,Database!$H298),""))</f>
        <v/>
      </c>
      <c r="S298" s="24">
        <f>IFERROR(BDP(Database!$A298&amp;" HK Equity","PX_TO_SALES_RATIO"),"")</f>
        <v/>
      </c>
      <c r="T298" s="18">
        <f>IF(Database!BK298="","",IFERROR(BDP(LEFT(Database!BK298,FIND(".",Database!BK298)-1)&amp;"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Database!AF299</f>
        <v/>
      </c>
      <c r="J299" s="24">
        <f>IFERROR(BDP(Database!$A299&amp;" HK Equity","PE_RATIO"),"")</f>
        <v/>
      </c>
      <c r="K299" s="10">
        <f>IFERROR(BDP(Database!$A299&amp;" HK Equity","A/H_SHARE_CONVERSION"),"")</f>
        <v/>
      </c>
      <c r="L299" s="16">
        <f>IF(Database!BK299="","(none found)",Database!BK299)</f>
        <v/>
      </c>
      <c r="M299" s="18">
        <f>IFERROR(BDH(Database!$A299&amp;" HK Equity","CUR_MKT_CAP",Database!$H299,Database!$H299),"")</f>
        <v/>
      </c>
      <c r="N299" s="97">
        <f>Database!Q299</f>
        <v/>
      </c>
      <c r="O299" s="24">
        <f>IFERROR(BDH(Database!$A299&amp;" HK Equity","PE_RATIO",Database!$H299,Database!$H299),"")</f>
        <v/>
      </c>
      <c r="P299" s="101">
        <f>IF(Database!BE299="","(n/m or not derivable)",Database!BE299)</f>
        <v/>
      </c>
      <c r="Q299" s="24">
        <f>IF(Database!BK299="","",IFERROR(BDH(LEFT(Database!BK299,FIND(".",Database!BK299)-1)&amp;" CH Equity","PE_RATIO",Database!$H299,Database!$H299),""))</f>
        <v/>
      </c>
      <c r="R299" s="24">
        <f>IF(Database!BK299="","",IFERROR(BDH("HSAHP Index","PX_LAST",Database!$H299,Database!$H299),""))</f>
        <v/>
      </c>
      <c r="S299" s="24">
        <f>IFERROR(BDP(Database!$A299&amp;" HK Equity","PX_TO_SALES_RATIO"),"")</f>
        <v/>
      </c>
      <c r="T299" s="18">
        <f>IF(Database!BK299="","",IFERROR(BDP(LEFT(Database!BK299,FIND(".",Database!BK299)-1)&amp;"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Database!AF300</f>
        <v/>
      </c>
      <c r="J300" s="24">
        <f>IFERROR(BDP(Database!$A300&amp;" HK Equity","PE_RATIO"),"")</f>
        <v/>
      </c>
      <c r="K300" s="10">
        <f>IFERROR(BDP(Database!$A300&amp;" HK Equity","A/H_SHARE_CONVERSION"),"")</f>
        <v/>
      </c>
      <c r="L300" s="16">
        <f>IF(Database!BK300="","(none found)",Database!BK300)</f>
        <v/>
      </c>
      <c r="M300" s="18">
        <f>IFERROR(BDH(Database!$A300&amp;" HK Equity","CUR_MKT_CAP",Database!$H300,Database!$H300),"")</f>
        <v/>
      </c>
      <c r="N300" s="97">
        <f>Database!Q300</f>
        <v/>
      </c>
      <c r="O300" s="24">
        <f>IFERROR(BDH(Database!$A300&amp;" HK Equity","PE_RATIO",Database!$H300,Database!$H300),"")</f>
        <v/>
      </c>
      <c r="P300" s="101">
        <f>IF(Database!BE300="","(n/m or not derivable)",Database!BE300)</f>
        <v/>
      </c>
      <c r="Q300" s="24">
        <f>IF(Database!BK300="","",IFERROR(BDH(LEFT(Database!BK300,FIND(".",Database!BK300)-1)&amp;" CH Equity","PE_RATIO",Database!$H300,Database!$H300),""))</f>
        <v/>
      </c>
      <c r="R300" s="24">
        <f>IF(Database!BK300="","",IFERROR(BDH("HSAHP Index","PX_LAST",Database!$H300,Database!$H300),""))</f>
        <v/>
      </c>
      <c r="S300" s="24">
        <f>IFERROR(BDP(Database!$A300&amp;" HK Equity","PX_TO_SALES_RATIO"),"")</f>
        <v/>
      </c>
      <c r="T300" s="18">
        <f>IF(Database!BK300="","",IFERROR(BDP(LEFT(Database!BK300,FIND(".",Database!BK300)-1)&amp;"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Database!AF301</f>
        <v/>
      </c>
      <c r="J301" s="24">
        <f>IFERROR(BDP(Database!$A301&amp;" HK Equity","PE_RATIO"),"")</f>
        <v/>
      </c>
      <c r="K301" s="10">
        <f>IFERROR(BDP(Database!$A301&amp;" HK Equity","A/H_SHARE_CONVERSION"),"")</f>
        <v/>
      </c>
      <c r="L301" s="16">
        <f>IF(Database!BK301="","(none found)",Database!BK301)</f>
        <v/>
      </c>
      <c r="M301" s="18">
        <f>IFERROR(BDH(Database!$A301&amp;" HK Equity","CUR_MKT_CAP",Database!$H301,Database!$H301),"")</f>
        <v/>
      </c>
      <c r="N301" s="97">
        <f>Database!Q301</f>
        <v/>
      </c>
      <c r="O301" s="24">
        <f>IFERROR(BDH(Database!$A301&amp;" HK Equity","PE_RATIO",Database!$H301,Database!$H301),"")</f>
        <v/>
      </c>
      <c r="P301" s="101">
        <f>IF(Database!BE301="","(n/m or not derivable)",Database!BE301)</f>
        <v/>
      </c>
      <c r="Q301" s="24">
        <f>IF(Database!BK301="","",IFERROR(BDH(LEFT(Database!BK301,FIND(".",Database!BK301)-1)&amp;" CH Equity","PE_RATIO",Database!$H301,Database!$H301),""))</f>
        <v/>
      </c>
      <c r="R301" s="24">
        <f>IF(Database!BK301="","",IFERROR(BDH("HSAHP Index","PX_LAST",Database!$H301,Database!$H301),""))</f>
        <v/>
      </c>
      <c r="S301" s="24">
        <f>IFERROR(BDP(Database!$A301&amp;" HK Equity","PX_TO_SALES_RATIO"),"")</f>
        <v/>
      </c>
      <c r="T301" s="18">
        <f>IF(Database!BK301="","",IFERROR(BDP(LEFT(Database!BK301,FIND(".",Database!BK301)-1)&amp;"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Database!AF302</f>
        <v/>
      </c>
      <c r="J302" s="24">
        <f>IFERROR(BDP(Database!$A302&amp;" HK Equity","PE_RATIO"),"")</f>
        <v/>
      </c>
      <c r="K302" s="10">
        <f>IFERROR(BDP(Database!$A302&amp;" HK Equity","A/H_SHARE_CONVERSION"),"")</f>
        <v/>
      </c>
      <c r="L302" s="16">
        <f>IF(Database!BK302="","(none found)",Database!BK302)</f>
        <v/>
      </c>
      <c r="M302" s="18">
        <f>IFERROR(BDH(Database!$A302&amp;" HK Equity","CUR_MKT_CAP",Database!$H302,Database!$H302),"")</f>
        <v/>
      </c>
      <c r="N302" s="97">
        <f>Database!Q302</f>
        <v/>
      </c>
      <c r="O302" s="24">
        <f>IFERROR(BDH(Database!$A302&amp;" HK Equity","PE_RATIO",Database!$H302,Database!$H302),"")</f>
        <v/>
      </c>
      <c r="P302" s="101">
        <f>IF(Database!BE302="","(n/m or not derivable)",Database!BE302)</f>
        <v/>
      </c>
      <c r="Q302" s="24">
        <f>IF(Database!BK302="","",IFERROR(BDH(LEFT(Database!BK302,FIND(".",Database!BK302)-1)&amp;" CH Equity","PE_RATIO",Database!$H302,Database!$H302),""))</f>
        <v/>
      </c>
      <c r="R302" s="24">
        <f>IF(Database!BK302="","",IFERROR(BDH("HSAHP Index","PX_LAST",Database!$H302,Database!$H302),""))</f>
        <v/>
      </c>
      <c r="S302" s="24">
        <f>IFERROR(BDP(Database!$A302&amp;" HK Equity","PX_TO_SALES_RATIO"),"")</f>
        <v/>
      </c>
      <c r="T302" s="18">
        <f>IF(Database!BK302="","",IFERROR(BDP(LEFT(Database!BK302,FIND(".",Database!BK302)-1)&amp;"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Database!AF303</f>
        <v/>
      </c>
      <c r="J303" s="24">
        <f>IFERROR(BDP(Database!$A303&amp;" HK Equity","PE_RATIO"),"")</f>
        <v/>
      </c>
      <c r="K303" s="10">
        <f>IFERROR(BDP(Database!$A303&amp;" HK Equity","A/H_SHARE_CONVERSION"),"")</f>
        <v/>
      </c>
      <c r="L303" s="16">
        <f>IF(Database!BK303="","(none found)",Database!BK303)</f>
        <v/>
      </c>
      <c r="M303" s="18">
        <f>IFERROR(BDH(Database!$A303&amp;" HK Equity","CUR_MKT_CAP",Database!$H303,Database!$H303),"")</f>
        <v/>
      </c>
      <c r="N303" s="97">
        <f>Database!Q303</f>
        <v/>
      </c>
      <c r="O303" s="24">
        <f>IFERROR(BDH(Database!$A303&amp;" HK Equity","PE_RATIO",Database!$H303,Database!$H303),"")</f>
        <v/>
      </c>
      <c r="P303" s="101">
        <f>IF(Database!BE303="","(n/m or not derivable)",Database!BE303)</f>
        <v/>
      </c>
      <c r="Q303" s="24">
        <f>IF(Database!BK303="","",IFERROR(BDH(LEFT(Database!BK303,FIND(".",Database!BK303)-1)&amp;" CH Equity","PE_RATIO",Database!$H303,Database!$H303),""))</f>
        <v/>
      </c>
      <c r="R303" s="24">
        <f>IF(Database!BK303="","",IFERROR(BDH("HSAHP Index","PX_LAST",Database!$H303,Database!$H303),""))</f>
        <v/>
      </c>
      <c r="S303" s="24">
        <f>IFERROR(BDP(Database!$A303&amp;" HK Equity","PX_TO_SALES_RATIO"),"")</f>
        <v/>
      </c>
      <c r="T303" s="18">
        <f>IF(Database!BK303="","",IFERROR(BDP(LEFT(Database!BK303,FIND(".",Database!BK303)-1)&amp;"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Database!AF304</f>
        <v/>
      </c>
      <c r="J304" s="24">
        <f>IFERROR(BDP(Database!$A304&amp;" HK Equity","PE_RATIO"),"")</f>
        <v/>
      </c>
      <c r="K304" s="10">
        <f>IFERROR(BDP(Database!$A304&amp;" HK Equity","A/H_SHARE_CONVERSION"),"")</f>
        <v/>
      </c>
      <c r="L304" s="16">
        <f>IF(Database!BK304="","(none found)",Database!BK304)</f>
        <v/>
      </c>
      <c r="M304" s="18">
        <f>IFERROR(BDH(Database!$A304&amp;" HK Equity","CUR_MKT_CAP",Database!$H304,Database!$H304),"")</f>
        <v/>
      </c>
      <c r="N304" s="97">
        <f>Database!Q304</f>
        <v/>
      </c>
      <c r="O304" s="24">
        <f>IFERROR(BDH(Database!$A304&amp;" HK Equity","PE_RATIO",Database!$H304,Database!$H304),"")</f>
        <v/>
      </c>
      <c r="P304" s="101">
        <f>IF(Database!BE304="","(n/m or not derivable)",Database!BE304)</f>
        <v/>
      </c>
      <c r="Q304" s="24">
        <f>IF(Database!BK304="","",IFERROR(BDH(LEFT(Database!BK304,FIND(".",Database!BK304)-1)&amp;" CH Equity","PE_RATIO",Database!$H304,Database!$H304),""))</f>
        <v/>
      </c>
      <c r="R304" s="24">
        <f>IF(Database!BK304="","",IFERROR(BDH("HSAHP Index","PX_LAST",Database!$H304,Database!$H304),""))</f>
        <v/>
      </c>
      <c r="S304" s="24">
        <f>IFERROR(BDP(Database!$A304&amp;" HK Equity","PX_TO_SALES_RATIO"),"")</f>
        <v/>
      </c>
      <c r="T304" s="18">
        <f>IF(Database!BK304="","",IFERROR(BDP(LEFT(Database!BK304,FIND(".",Database!BK304)-1)&amp;"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Database!AF305</f>
        <v/>
      </c>
      <c r="J305" s="24">
        <f>IFERROR(BDP(Database!$A305&amp;" HK Equity","PE_RATIO"),"")</f>
        <v/>
      </c>
      <c r="K305" s="10">
        <f>IFERROR(BDP(Database!$A305&amp;" HK Equity","A/H_SHARE_CONVERSION"),"")</f>
        <v/>
      </c>
      <c r="L305" s="16">
        <f>IF(Database!BK305="","(none found)",Database!BK305)</f>
        <v/>
      </c>
      <c r="M305" s="18">
        <f>IFERROR(BDH(Database!$A305&amp;" HK Equity","CUR_MKT_CAP",Database!$H305,Database!$H305),"")</f>
        <v/>
      </c>
      <c r="N305" s="97">
        <f>Database!Q305</f>
        <v/>
      </c>
      <c r="O305" s="24">
        <f>IFERROR(BDH(Database!$A305&amp;" HK Equity","PE_RATIO",Database!$H305,Database!$H305),"")</f>
        <v/>
      </c>
      <c r="P305" s="101">
        <f>IF(Database!BE305="","(n/m or not derivable)",Database!BE305)</f>
        <v/>
      </c>
      <c r="Q305" s="24">
        <f>IF(Database!BK305="","",IFERROR(BDH(LEFT(Database!BK305,FIND(".",Database!BK305)-1)&amp;" CH Equity","PE_RATIO",Database!$H305,Database!$H305),""))</f>
        <v/>
      </c>
      <c r="R305" s="24">
        <f>IF(Database!BK305="","",IFERROR(BDH("HSAHP Index","PX_LAST",Database!$H305,Database!$H305),""))</f>
        <v/>
      </c>
      <c r="S305" s="24">
        <f>IFERROR(BDP(Database!$A305&amp;" HK Equity","PX_TO_SALES_RATIO"),"")</f>
        <v/>
      </c>
      <c r="T305" s="18">
        <f>IF(Database!BK305="","",IFERROR(BDP(LEFT(Database!BK305,FIND(".",Database!BK305)-1)&amp;"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Database!AF306</f>
        <v/>
      </c>
      <c r="J306" s="24">
        <f>IFERROR(BDP(Database!$A306&amp;" HK Equity","PE_RATIO"),"")</f>
        <v/>
      </c>
      <c r="K306" s="10">
        <f>IFERROR(BDP(Database!$A306&amp;" HK Equity","A/H_SHARE_CONVERSION"),"")</f>
        <v/>
      </c>
      <c r="L306" s="16">
        <f>IF(Database!BK306="","(none found)",Database!BK306)</f>
        <v/>
      </c>
      <c r="M306" s="18">
        <f>IFERROR(BDH(Database!$A306&amp;" HK Equity","CUR_MKT_CAP",Database!$H306,Database!$H306),"")</f>
        <v/>
      </c>
      <c r="N306" s="97">
        <f>Database!Q306</f>
        <v/>
      </c>
      <c r="O306" s="24">
        <f>IFERROR(BDH(Database!$A306&amp;" HK Equity","PE_RATIO",Database!$H306,Database!$H306),"")</f>
        <v/>
      </c>
      <c r="P306" s="101">
        <f>IF(Database!BE306="","(n/m or not derivable)",Database!BE306)</f>
        <v/>
      </c>
      <c r="Q306" s="24">
        <f>IF(Database!BK306="","",IFERROR(BDH(LEFT(Database!BK306,FIND(".",Database!BK306)-1)&amp;" CH Equity","PE_RATIO",Database!$H306,Database!$H306),""))</f>
        <v/>
      </c>
      <c r="R306" s="24">
        <f>IF(Database!BK306="","",IFERROR(BDH("HSAHP Index","PX_LAST",Database!$H306,Database!$H306),""))</f>
        <v/>
      </c>
      <c r="S306" s="24">
        <f>IFERROR(BDP(Database!$A306&amp;" HK Equity","PX_TO_SALES_RATIO"),"")</f>
        <v/>
      </c>
      <c r="T306" s="18">
        <f>IF(Database!BK306="","",IFERROR(BDP(LEFT(Database!BK306,FIND(".",Database!BK306)-1)&amp;"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Database!AF307</f>
        <v/>
      </c>
      <c r="J307" s="24">
        <f>IFERROR(BDP(Database!$A307&amp;" HK Equity","PE_RATIO"),"")</f>
        <v/>
      </c>
      <c r="K307" s="10">
        <f>IFERROR(BDP(Database!$A307&amp;" HK Equity","A/H_SHARE_CONVERSION"),"")</f>
        <v/>
      </c>
      <c r="L307" s="16">
        <f>IF(Database!BK307="","(none found)",Database!BK307)</f>
        <v/>
      </c>
      <c r="M307" s="18">
        <f>IFERROR(BDH(Database!$A307&amp;" HK Equity","CUR_MKT_CAP",Database!$H307,Database!$H307),"")</f>
        <v/>
      </c>
      <c r="N307" s="97">
        <f>Database!Q307</f>
        <v/>
      </c>
      <c r="O307" s="24">
        <f>IFERROR(BDH(Database!$A307&amp;" HK Equity","PE_RATIO",Database!$H307,Database!$H307),"")</f>
        <v/>
      </c>
      <c r="P307" s="101">
        <f>IF(Database!BE307="","(n/m or not derivable)",Database!BE307)</f>
        <v/>
      </c>
      <c r="Q307" s="24">
        <f>IF(Database!BK307="","",IFERROR(BDH(LEFT(Database!BK307,FIND(".",Database!BK307)-1)&amp;" CH Equity","PE_RATIO",Database!$H307,Database!$H307),""))</f>
        <v/>
      </c>
      <c r="R307" s="24">
        <f>IF(Database!BK307="","",IFERROR(BDH("HSAHP Index","PX_LAST",Database!$H307,Database!$H307),""))</f>
        <v/>
      </c>
      <c r="S307" s="24">
        <f>IFERROR(BDP(Database!$A307&amp;" HK Equity","PX_TO_SALES_RATIO"),"")</f>
        <v/>
      </c>
      <c r="T307" s="18">
        <f>IF(Database!BK307="","",IFERROR(BDP(LEFT(Database!BK307,FIND(".",Database!BK307)-1)&amp;"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Database!AF308</f>
        <v/>
      </c>
      <c r="J308" s="24">
        <f>IFERROR(BDP(Database!$A308&amp;" HK Equity","PE_RATIO"),"")</f>
        <v/>
      </c>
      <c r="K308" s="10">
        <f>IFERROR(BDP(Database!$A308&amp;" HK Equity","A/H_SHARE_CONVERSION"),"")</f>
        <v/>
      </c>
      <c r="L308" s="16">
        <f>IF(Database!BK308="","(none found)",Database!BK308)</f>
        <v/>
      </c>
      <c r="M308" s="18">
        <f>IFERROR(BDH(Database!$A308&amp;" HK Equity","CUR_MKT_CAP",Database!$H308,Database!$H308),"")</f>
        <v/>
      </c>
      <c r="N308" s="97">
        <f>Database!Q308</f>
        <v/>
      </c>
      <c r="O308" s="24">
        <f>IFERROR(BDH(Database!$A308&amp;" HK Equity","PE_RATIO",Database!$H308,Database!$H308),"")</f>
        <v/>
      </c>
      <c r="P308" s="101">
        <f>IF(Database!BE308="","(n/m or not derivable)",Database!BE308)</f>
        <v/>
      </c>
      <c r="Q308" s="24">
        <f>IF(Database!BK308="","",IFERROR(BDH(LEFT(Database!BK308,FIND(".",Database!BK308)-1)&amp;" CH Equity","PE_RATIO",Database!$H308,Database!$H308),""))</f>
        <v/>
      </c>
      <c r="R308" s="24">
        <f>IF(Database!BK308="","",IFERROR(BDH("HSAHP Index","PX_LAST",Database!$H308,Database!$H308),""))</f>
        <v/>
      </c>
      <c r="S308" s="24">
        <f>IFERROR(BDP(Database!$A308&amp;" HK Equity","PX_TO_SALES_RATIO"),"")</f>
        <v/>
      </c>
      <c r="T308" s="18">
        <f>IF(Database!BK308="","",IFERROR(BDP(LEFT(Database!BK308,FIND(".",Database!BK308)-1)&amp;"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Database!AF309</f>
        <v/>
      </c>
      <c r="J309" s="24">
        <f>IFERROR(BDP(Database!$A309&amp;" HK Equity","PE_RATIO"),"")</f>
        <v/>
      </c>
      <c r="K309" s="10">
        <f>IFERROR(BDP(Database!$A309&amp;" HK Equity","A/H_SHARE_CONVERSION"),"")</f>
        <v/>
      </c>
      <c r="L309" s="16">
        <f>IF(Database!BK309="","(none found)",Database!BK309)</f>
        <v/>
      </c>
      <c r="M309" s="18">
        <f>IFERROR(BDH(Database!$A309&amp;" HK Equity","CUR_MKT_CAP",Database!$H309,Database!$H309),"")</f>
        <v/>
      </c>
      <c r="N309" s="97">
        <f>Database!Q309</f>
        <v/>
      </c>
      <c r="O309" s="24">
        <f>IFERROR(BDH(Database!$A309&amp;" HK Equity","PE_RATIO",Database!$H309,Database!$H309),"")</f>
        <v/>
      </c>
      <c r="P309" s="101">
        <f>IF(Database!BE309="","(n/m or not derivable)",Database!BE309)</f>
        <v/>
      </c>
      <c r="Q309" s="24">
        <f>IF(Database!BK309="","",IFERROR(BDH(LEFT(Database!BK309,FIND(".",Database!BK309)-1)&amp;" CH Equity","PE_RATIO",Database!$H309,Database!$H309),""))</f>
        <v/>
      </c>
      <c r="R309" s="24">
        <f>IF(Database!BK309="","",IFERROR(BDH("HSAHP Index","PX_LAST",Database!$H309,Database!$H309),""))</f>
        <v/>
      </c>
      <c r="S309" s="24">
        <f>IFERROR(BDP(Database!$A309&amp;" HK Equity","PX_TO_SALES_RATIO"),"")</f>
        <v/>
      </c>
      <c r="T309" s="18">
        <f>IF(Database!BK309="","",IFERROR(BDP(LEFT(Database!BK309,FIND(".",Database!BK309)-1)&amp;"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Database!AF310</f>
        <v/>
      </c>
      <c r="J310" s="24">
        <f>IFERROR(BDP(Database!$A310&amp;" HK Equity","PE_RATIO"),"")</f>
        <v/>
      </c>
      <c r="K310" s="10">
        <f>IFERROR(BDP(Database!$A310&amp;" HK Equity","A/H_SHARE_CONVERSION"),"")</f>
        <v/>
      </c>
      <c r="L310" s="16">
        <f>IF(Database!BK310="","(none found)",Database!BK310)</f>
        <v/>
      </c>
      <c r="M310" s="18">
        <f>IFERROR(BDH(Database!$A310&amp;" HK Equity","CUR_MKT_CAP",Database!$H310,Database!$H310),"")</f>
        <v/>
      </c>
      <c r="N310" s="97">
        <f>Database!Q310</f>
        <v/>
      </c>
      <c r="O310" s="24">
        <f>IFERROR(BDH(Database!$A310&amp;" HK Equity","PE_RATIO",Database!$H310,Database!$H310),"")</f>
        <v/>
      </c>
      <c r="P310" s="101">
        <f>IF(Database!BE310="","(n/m or not derivable)",Database!BE310)</f>
        <v/>
      </c>
      <c r="Q310" s="24">
        <f>IF(Database!BK310="","",IFERROR(BDH(LEFT(Database!BK310,FIND(".",Database!BK310)-1)&amp;" CH Equity","PE_RATIO",Database!$H310,Database!$H310),""))</f>
        <v/>
      </c>
      <c r="R310" s="24">
        <f>IF(Database!BK310="","",IFERROR(BDH("HSAHP Index","PX_LAST",Database!$H310,Database!$H310),""))</f>
        <v/>
      </c>
      <c r="S310" s="24">
        <f>IFERROR(BDP(Database!$A310&amp;" HK Equity","PX_TO_SALES_RATIO"),"")</f>
        <v/>
      </c>
      <c r="T310" s="18">
        <f>IF(Database!BK310="","",IFERROR(BDP(LEFT(Database!BK310,FIND(".",Database!BK310)-1)&amp;"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Database!AF311</f>
        <v/>
      </c>
      <c r="J311" s="24">
        <f>IFERROR(BDP(Database!$A311&amp;" HK Equity","PE_RATIO"),"")</f>
        <v/>
      </c>
      <c r="K311" s="10">
        <f>IFERROR(BDP(Database!$A311&amp;" HK Equity","A/H_SHARE_CONVERSION"),"")</f>
        <v/>
      </c>
      <c r="L311" s="16">
        <f>IF(Database!BK311="","(none found)",Database!BK311)</f>
        <v/>
      </c>
      <c r="M311" s="18">
        <f>IFERROR(BDH(Database!$A311&amp;" HK Equity","CUR_MKT_CAP",Database!$H311,Database!$H311),"")</f>
        <v/>
      </c>
      <c r="N311" s="97">
        <f>Database!Q311</f>
        <v/>
      </c>
      <c r="O311" s="24">
        <f>IFERROR(BDH(Database!$A311&amp;" HK Equity","PE_RATIO",Database!$H311,Database!$H311),"")</f>
        <v/>
      </c>
      <c r="P311" s="101">
        <f>IF(Database!BE311="","(n/m or not derivable)",Database!BE311)</f>
        <v/>
      </c>
      <c r="Q311" s="24">
        <f>IF(Database!BK311="","",IFERROR(BDH(LEFT(Database!BK311,FIND(".",Database!BK311)-1)&amp;" CH Equity","PE_RATIO",Database!$H311,Database!$H311),""))</f>
        <v/>
      </c>
      <c r="R311" s="24">
        <f>IF(Database!BK311="","",IFERROR(BDH("HSAHP Index","PX_LAST",Database!$H311,Database!$H311),""))</f>
        <v/>
      </c>
      <c r="S311" s="24">
        <f>IFERROR(BDP(Database!$A311&amp;" HK Equity","PX_TO_SALES_RATIO"),"")</f>
        <v/>
      </c>
      <c r="T311" s="18">
        <f>IF(Database!BK311="","",IFERROR(BDP(LEFT(Database!BK311,FIND(".",Database!BK311)-1)&amp;"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Database!AF312</f>
        <v/>
      </c>
      <c r="J312" s="24">
        <f>IFERROR(BDP(Database!$A312&amp;" HK Equity","PE_RATIO"),"")</f>
        <v/>
      </c>
      <c r="K312" s="10">
        <f>IFERROR(BDP(Database!$A312&amp;" HK Equity","A/H_SHARE_CONVERSION"),"")</f>
        <v/>
      </c>
      <c r="L312" s="16">
        <f>IF(Database!BK312="","(none found)",Database!BK312)</f>
        <v/>
      </c>
      <c r="M312" s="18">
        <f>IFERROR(BDH(Database!$A312&amp;" HK Equity","CUR_MKT_CAP",Database!$H312,Database!$H312),"")</f>
        <v/>
      </c>
      <c r="N312" s="97">
        <f>Database!Q312</f>
        <v/>
      </c>
      <c r="O312" s="24">
        <f>IFERROR(BDH(Database!$A312&amp;" HK Equity","PE_RATIO",Database!$H312,Database!$H312),"")</f>
        <v/>
      </c>
      <c r="P312" s="101">
        <f>IF(Database!BE312="","(n/m or not derivable)",Database!BE312)</f>
        <v/>
      </c>
      <c r="Q312" s="24">
        <f>IF(Database!BK312="","",IFERROR(BDH(LEFT(Database!BK312,FIND(".",Database!BK312)-1)&amp;" CH Equity","PE_RATIO",Database!$H312,Database!$H312),""))</f>
        <v/>
      </c>
      <c r="R312" s="24">
        <f>IF(Database!BK312="","",IFERROR(BDH("HSAHP Index","PX_LAST",Database!$H312,Database!$H312),""))</f>
        <v/>
      </c>
      <c r="S312" s="24">
        <f>IFERROR(BDP(Database!$A312&amp;" HK Equity","PX_TO_SALES_RATIO"),"")</f>
        <v/>
      </c>
      <c r="T312" s="18">
        <f>IF(Database!BK312="","",IFERROR(BDP(LEFT(Database!BK312,FIND(".",Database!BK312)-1)&amp;"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Database!AF313</f>
        <v/>
      </c>
      <c r="J313" s="24">
        <f>IFERROR(BDP(Database!$A313&amp;" HK Equity","PE_RATIO"),"")</f>
        <v/>
      </c>
      <c r="K313" s="10">
        <f>IFERROR(BDP(Database!$A313&amp;" HK Equity","A/H_SHARE_CONVERSION"),"")</f>
        <v/>
      </c>
      <c r="L313" s="16">
        <f>IF(Database!BK313="","(none found)",Database!BK313)</f>
        <v/>
      </c>
      <c r="M313" s="18">
        <f>IFERROR(BDH(Database!$A313&amp;" HK Equity","CUR_MKT_CAP",Database!$H313,Database!$H313),"")</f>
        <v/>
      </c>
      <c r="N313" s="97">
        <f>Database!Q313</f>
        <v/>
      </c>
      <c r="O313" s="24">
        <f>IFERROR(BDH(Database!$A313&amp;" HK Equity","PE_RATIO",Database!$H313,Database!$H313),"")</f>
        <v/>
      </c>
      <c r="P313" s="101">
        <f>IF(Database!BE313="","(n/m or not derivable)",Database!BE313)</f>
        <v/>
      </c>
      <c r="Q313" s="24">
        <f>IF(Database!BK313="","",IFERROR(BDH(LEFT(Database!BK313,FIND(".",Database!BK313)-1)&amp;" CH Equity","PE_RATIO",Database!$H313,Database!$H313),""))</f>
        <v/>
      </c>
      <c r="R313" s="24">
        <f>IF(Database!BK313="","",IFERROR(BDH("HSAHP Index","PX_LAST",Database!$H313,Database!$H313),""))</f>
        <v/>
      </c>
      <c r="S313" s="24">
        <f>IFERROR(BDP(Database!$A313&amp;" HK Equity","PX_TO_SALES_RATIO"),"")</f>
        <v/>
      </c>
      <c r="T313" s="18">
        <f>IF(Database!BK313="","",IFERROR(BDP(LEFT(Database!BK313,FIND(".",Database!BK313)-1)&amp;"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Database!AF314</f>
        <v/>
      </c>
      <c r="J314" s="24">
        <f>IFERROR(BDP(Database!$A314&amp;" HK Equity","PE_RATIO"),"")</f>
        <v/>
      </c>
      <c r="K314" s="10">
        <f>IFERROR(BDP(Database!$A314&amp;" HK Equity","A/H_SHARE_CONVERSION"),"")</f>
        <v/>
      </c>
      <c r="L314" s="16">
        <f>IF(Database!BK314="","(none found)",Database!BK314)</f>
        <v/>
      </c>
      <c r="M314" s="18">
        <f>IFERROR(BDH(Database!$A314&amp;" HK Equity","CUR_MKT_CAP",Database!$H314,Database!$H314),"")</f>
        <v/>
      </c>
      <c r="N314" s="97">
        <f>Database!Q314</f>
        <v/>
      </c>
      <c r="O314" s="24">
        <f>IFERROR(BDH(Database!$A314&amp;" HK Equity","PE_RATIO",Database!$H314,Database!$H314),"")</f>
        <v/>
      </c>
      <c r="P314" s="101">
        <f>IF(Database!BE314="","(n/m or not derivable)",Database!BE314)</f>
        <v/>
      </c>
      <c r="Q314" s="24">
        <f>IF(Database!BK314="","",IFERROR(BDH(LEFT(Database!BK314,FIND(".",Database!BK314)-1)&amp;" CH Equity","PE_RATIO",Database!$H314,Database!$H314),""))</f>
        <v/>
      </c>
      <c r="R314" s="24">
        <f>IF(Database!BK314="","",IFERROR(BDH("HSAHP Index","PX_LAST",Database!$H314,Database!$H314),""))</f>
        <v/>
      </c>
      <c r="S314" s="24">
        <f>IFERROR(BDP(Database!$A314&amp;" HK Equity","PX_TO_SALES_RATIO"),"")</f>
        <v/>
      </c>
      <c r="T314" s="18">
        <f>IF(Database!BK314="","",IFERROR(BDP(LEFT(Database!BK314,FIND(".",Database!BK314)-1)&amp;"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Database!AF315</f>
        <v/>
      </c>
      <c r="J315" s="24">
        <f>IFERROR(BDP(Database!$A315&amp;" HK Equity","PE_RATIO"),"")</f>
        <v/>
      </c>
      <c r="K315" s="10">
        <f>IFERROR(BDP(Database!$A315&amp;" HK Equity","A/H_SHARE_CONVERSION"),"")</f>
        <v/>
      </c>
      <c r="L315" s="16">
        <f>IF(Database!BK315="","(none found)",Database!BK315)</f>
        <v/>
      </c>
      <c r="M315" s="18">
        <f>IFERROR(BDH(Database!$A315&amp;" HK Equity","CUR_MKT_CAP",Database!$H315,Database!$H315),"")</f>
        <v/>
      </c>
      <c r="N315" s="97">
        <f>Database!Q315</f>
        <v/>
      </c>
      <c r="O315" s="24">
        <f>IFERROR(BDH(Database!$A315&amp;" HK Equity","PE_RATIO",Database!$H315,Database!$H315),"")</f>
        <v/>
      </c>
      <c r="P315" s="101">
        <f>IF(Database!BE315="","(n/m or not derivable)",Database!BE315)</f>
        <v/>
      </c>
      <c r="Q315" s="24">
        <f>IF(Database!BK315="","",IFERROR(BDH(LEFT(Database!BK315,FIND(".",Database!BK315)-1)&amp;" CH Equity","PE_RATIO",Database!$H315,Database!$H315),""))</f>
        <v/>
      </c>
      <c r="R315" s="24">
        <f>IF(Database!BK315="","",IFERROR(BDH("HSAHP Index","PX_LAST",Database!$H315,Database!$H315),""))</f>
        <v/>
      </c>
      <c r="S315" s="24">
        <f>IFERROR(BDP(Database!$A315&amp;" HK Equity","PX_TO_SALES_RATIO"),"")</f>
        <v/>
      </c>
      <c r="T315" s="18">
        <f>IF(Database!BK315="","",IFERROR(BDP(LEFT(Database!BK315,FIND(".",Database!BK315)-1)&amp;"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Database!AF316</f>
        <v/>
      </c>
      <c r="J316" s="24">
        <f>IFERROR(BDP(Database!$A316&amp;" HK Equity","PE_RATIO"),"")</f>
        <v/>
      </c>
      <c r="K316" s="10">
        <f>IFERROR(BDP(Database!$A316&amp;" HK Equity","A/H_SHARE_CONVERSION"),"")</f>
        <v/>
      </c>
      <c r="L316" s="16">
        <f>IF(Database!BK316="","(none found)",Database!BK316)</f>
        <v/>
      </c>
      <c r="M316" s="18">
        <f>IFERROR(BDH(Database!$A316&amp;" HK Equity","CUR_MKT_CAP",Database!$H316,Database!$H316),"")</f>
        <v/>
      </c>
      <c r="N316" s="97">
        <f>Database!Q316</f>
        <v/>
      </c>
      <c r="O316" s="24">
        <f>IFERROR(BDH(Database!$A316&amp;" HK Equity","PE_RATIO",Database!$H316,Database!$H316),"")</f>
        <v/>
      </c>
      <c r="P316" s="101">
        <f>IF(Database!BE316="","(n/m or not derivable)",Database!BE316)</f>
        <v/>
      </c>
      <c r="Q316" s="24">
        <f>IF(Database!BK316="","",IFERROR(BDH(LEFT(Database!BK316,FIND(".",Database!BK316)-1)&amp;" CH Equity","PE_RATIO",Database!$H316,Database!$H316),""))</f>
        <v/>
      </c>
      <c r="R316" s="24">
        <f>IF(Database!BK316="","",IFERROR(BDH("HSAHP Index","PX_LAST",Database!$H316,Database!$H316),""))</f>
        <v/>
      </c>
      <c r="S316" s="24">
        <f>IFERROR(BDP(Database!$A316&amp;" HK Equity","PX_TO_SALES_RATIO"),"")</f>
        <v/>
      </c>
      <c r="T316" s="18">
        <f>IF(Database!BK316="","",IFERROR(BDP(LEFT(Database!BK316,FIND(".",Database!BK316)-1)&amp;"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Database!AF317</f>
        <v/>
      </c>
      <c r="J317" s="24">
        <f>IFERROR(BDP(Database!$A317&amp;" HK Equity","PE_RATIO"),"")</f>
        <v/>
      </c>
      <c r="K317" s="10">
        <f>IFERROR(BDP(Database!$A317&amp;" HK Equity","A/H_SHARE_CONVERSION"),"")</f>
        <v/>
      </c>
      <c r="L317" s="16">
        <f>IF(Database!BK317="","(none found)",Database!BK317)</f>
        <v/>
      </c>
      <c r="M317" s="18">
        <f>IFERROR(BDH(Database!$A317&amp;" HK Equity","CUR_MKT_CAP",Database!$H317,Database!$H317),"")</f>
        <v/>
      </c>
      <c r="N317" s="97">
        <f>Database!Q317</f>
        <v/>
      </c>
      <c r="O317" s="24">
        <f>IFERROR(BDH(Database!$A317&amp;" HK Equity","PE_RATIO",Database!$H317,Database!$H317),"")</f>
        <v/>
      </c>
      <c r="P317" s="101">
        <f>IF(Database!BE317="","(n/m or not derivable)",Database!BE317)</f>
        <v/>
      </c>
      <c r="Q317" s="24">
        <f>IF(Database!BK317="","",IFERROR(BDH(LEFT(Database!BK317,FIND(".",Database!BK317)-1)&amp;" CH Equity","PE_RATIO",Database!$H317,Database!$H317),""))</f>
        <v/>
      </c>
      <c r="R317" s="24">
        <f>IF(Database!BK317="","",IFERROR(BDH("HSAHP Index","PX_LAST",Database!$H317,Database!$H317),""))</f>
        <v/>
      </c>
      <c r="S317" s="24">
        <f>IFERROR(BDP(Database!$A317&amp;" HK Equity","PX_TO_SALES_RATIO"),"")</f>
        <v/>
      </c>
      <c r="T317" s="18">
        <f>IF(Database!BK317="","",IFERROR(BDP(LEFT(Database!BK317,FIND(".",Database!BK317)-1)&amp;"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Database!AF318</f>
        <v/>
      </c>
      <c r="J318" s="24">
        <f>IFERROR(BDP(Database!$A318&amp;" HK Equity","PE_RATIO"),"")</f>
        <v/>
      </c>
      <c r="K318" s="10">
        <f>IFERROR(BDP(Database!$A318&amp;" HK Equity","A/H_SHARE_CONVERSION"),"")</f>
        <v/>
      </c>
      <c r="L318" s="16">
        <f>IF(Database!BK318="","(none found)",Database!BK318)</f>
        <v/>
      </c>
      <c r="M318" s="18">
        <f>IFERROR(BDH(Database!$A318&amp;" HK Equity","CUR_MKT_CAP",Database!$H318,Database!$H318),"")</f>
        <v/>
      </c>
      <c r="N318" s="97">
        <f>Database!Q318</f>
        <v/>
      </c>
      <c r="O318" s="24">
        <f>IFERROR(BDH(Database!$A318&amp;" HK Equity","PE_RATIO",Database!$H318,Database!$H318),"")</f>
        <v/>
      </c>
      <c r="P318" s="101">
        <f>IF(Database!BE318="","(n/m or not derivable)",Database!BE318)</f>
        <v/>
      </c>
      <c r="Q318" s="24">
        <f>IF(Database!BK318="","",IFERROR(BDH(LEFT(Database!BK318,FIND(".",Database!BK318)-1)&amp;" CH Equity","PE_RATIO",Database!$H318,Database!$H318),""))</f>
        <v/>
      </c>
      <c r="R318" s="24">
        <f>IF(Database!BK318="","",IFERROR(BDH("HSAHP Index","PX_LAST",Database!$H318,Database!$H318),""))</f>
        <v/>
      </c>
      <c r="S318" s="24">
        <f>IFERROR(BDP(Database!$A318&amp;" HK Equity","PX_TO_SALES_RATIO"),"")</f>
        <v/>
      </c>
      <c r="T318" s="18">
        <f>IF(Database!BK318="","",IFERROR(BDP(LEFT(Database!BK318,FIND(".",Database!BK318)-1)&amp;"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Database!AF319</f>
        <v/>
      </c>
      <c r="J319" s="24">
        <f>IFERROR(BDP(Database!$A319&amp;" HK Equity","PE_RATIO"),"")</f>
        <v/>
      </c>
      <c r="K319" s="10">
        <f>IFERROR(BDP(Database!$A319&amp;" HK Equity","A/H_SHARE_CONVERSION"),"")</f>
        <v/>
      </c>
      <c r="L319" s="16">
        <f>IF(Database!BK319="","(none found)",Database!BK319)</f>
        <v/>
      </c>
      <c r="M319" s="18">
        <f>IFERROR(BDH(Database!$A319&amp;" HK Equity","CUR_MKT_CAP",Database!$H319,Database!$H319),"")</f>
        <v/>
      </c>
      <c r="N319" s="97">
        <f>Database!Q319</f>
        <v/>
      </c>
      <c r="O319" s="24">
        <f>IFERROR(BDH(Database!$A319&amp;" HK Equity","PE_RATIO",Database!$H319,Database!$H319),"")</f>
        <v/>
      </c>
      <c r="P319" s="101">
        <f>IF(Database!BE319="","(n/m or not derivable)",Database!BE319)</f>
        <v/>
      </c>
      <c r="Q319" s="24">
        <f>IF(Database!BK319="","",IFERROR(BDH(LEFT(Database!BK319,FIND(".",Database!BK319)-1)&amp;" CH Equity","PE_RATIO",Database!$H319,Database!$H319),""))</f>
        <v/>
      </c>
      <c r="R319" s="24">
        <f>IF(Database!BK319="","",IFERROR(BDH("HSAHP Index","PX_LAST",Database!$H319,Database!$H319),""))</f>
        <v/>
      </c>
      <c r="S319" s="24">
        <f>IFERROR(BDP(Database!$A319&amp;" HK Equity","PX_TO_SALES_RATIO"),"")</f>
        <v/>
      </c>
      <c r="T319" s="18">
        <f>IF(Database!BK319="","",IFERROR(BDP(LEFT(Database!BK319,FIND(".",Database!BK319)-1)&amp;"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Database!AF320</f>
        <v/>
      </c>
      <c r="J320" s="24">
        <f>IFERROR(BDP(Database!$A320&amp;" HK Equity","PE_RATIO"),"")</f>
        <v/>
      </c>
      <c r="K320" s="10">
        <f>IFERROR(BDP(Database!$A320&amp;" HK Equity","A/H_SHARE_CONVERSION"),"")</f>
        <v/>
      </c>
      <c r="L320" s="16">
        <f>IF(Database!BK320="","(none found)",Database!BK320)</f>
        <v/>
      </c>
      <c r="M320" s="18">
        <f>IFERROR(BDH(Database!$A320&amp;" HK Equity","CUR_MKT_CAP",Database!$H320,Database!$H320),"")</f>
        <v/>
      </c>
      <c r="N320" s="97">
        <f>Database!Q320</f>
        <v/>
      </c>
      <c r="O320" s="24">
        <f>IFERROR(BDH(Database!$A320&amp;" HK Equity","PE_RATIO",Database!$H320,Database!$H320),"")</f>
        <v/>
      </c>
      <c r="P320" s="101">
        <f>IF(Database!BE320="","(n/m or not derivable)",Database!BE320)</f>
        <v/>
      </c>
      <c r="Q320" s="24">
        <f>IF(Database!BK320="","",IFERROR(BDH(LEFT(Database!BK320,FIND(".",Database!BK320)-1)&amp;" CH Equity","PE_RATIO",Database!$H320,Database!$H320),""))</f>
        <v/>
      </c>
      <c r="R320" s="24">
        <f>IF(Database!BK320="","",IFERROR(BDH("HSAHP Index","PX_LAST",Database!$H320,Database!$H320),""))</f>
        <v/>
      </c>
      <c r="S320" s="24">
        <f>IFERROR(BDP(Database!$A320&amp;" HK Equity","PX_TO_SALES_RATIO"),"")</f>
        <v/>
      </c>
      <c r="T320" s="18">
        <f>IF(Database!BK320="","",IFERROR(BDP(LEFT(Database!BK320,FIND(".",Database!BK320)-1)&amp;"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Database!AF321</f>
        <v/>
      </c>
      <c r="J321" s="24">
        <f>IFERROR(BDP(Database!$A321&amp;" HK Equity","PE_RATIO"),"")</f>
        <v/>
      </c>
      <c r="K321" s="10">
        <f>IFERROR(BDP(Database!$A321&amp;" HK Equity","A/H_SHARE_CONVERSION"),"")</f>
        <v/>
      </c>
      <c r="L321" s="16">
        <f>IF(Database!BK321="","(none found)",Database!BK321)</f>
        <v/>
      </c>
      <c r="M321" s="18">
        <f>IFERROR(BDH(Database!$A321&amp;" HK Equity","CUR_MKT_CAP",Database!$H321,Database!$H321),"")</f>
        <v/>
      </c>
      <c r="N321" s="97">
        <f>Database!Q321</f>
        <v/>
      </c>
      <c r="O321" s="24">
        <f>IFERROR(BDH(Database!$A321&amp;" HK Equity","PE_RATIO",Database!$H321,Database!$H321),"")</f>
        <v/>
      </c>
      <c r="P321" s="101">
        <f>IF(Database!BE321="","(n/m or not derivable)",Database!BE321)</f>
        <v/>
      </c>
      <c r="Q321" s="24">
        <f>IF(Database!BK321="","",IFERROR(BDH(LEFT(Database!BK321,FIND(".",Database!BK321)-1)&amp;" CH Equity","PE_RATIO",Database!$H321,Database!$H321),""))</f>
        <v/>
      </c>
      <c r="R321" s="24">
        <f>IF(Database!BK321="","",IFERROR(BDH("HSAHP Index","PX_LAST",Database!$H321,Database!$H321),""))</f>
        <v/>
      </c>
      <c r="S321" s="24">
        <f>IFERROR(BDP(Database!$A321&amp;" HK Equity","PX_TO_SALES_RATIO"),"")</f>
        <v/>
      </c>
      <c r="T321" s="18">
        <f>IF(Database!BK321="","",IFERROR(BDP(LEFT(Database!BK321,FIND(".",Database!BK321)-1)&amp;"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Database!AF322</f>
        <v/>
      </c>
      <c r="J322" s="24">
        <f>IFERROR(BDP(Database!$A322&amp;" HK Equity","PE_RATIO"),"")</f>
        <v/>
      </c>
      <c r="K322" s="10">
        <f>IFERROR(BDP(Database!$A322&amp;" HK Equity","A/H_SHARE_CONVERSION"),"")</f>
        <v/>
      </c>
      <c r="L322" s="16">
        <f>IF(Database!BK322="","(none found)",Database!BK322)</f>
        <v/>
      </c>
      <c r="M322" s="18">
        <f>IFERROR(BDH(Database!$A322&amp;" HK Equity","CUR_MKT_CAP",Database!$H322,Database!$H322),"")</f>
        <v/>
      </c>
      <c r="N322" s="97">
        <f>Database!Q322</f>
        <v/>
      </c>
      <c r="O322" s="24">
        <f>IFERROR(BDH(Database!$A322&amp;" HK Equity","PE_RATIO",Database!$H322,Database!$H322),"")</f>
        <v/>
      </c>
      <c r="P322" s="101">
        <f>IF(Database!BE322="","(n/m or not derivable)",Database!BE322)</f>
        <v/>
      </c>
      <c r="Q322" s="24">
        <f>IF(Database!BK322="","",IFERROR(BDH(LEFT(Database!BK322,FIND(".",Database!BK322)-1)&amp;" CH Equity","PE_RATIO",Database!$H322,Database!$H322),""))</f>
        <v/>
      </c>
      <c r="R322" s="24">
        <f>IF(Database!BK322="","",IFERROR(BDH("HSAHP Index","PX_LAST",Database!$H322,Database!$H322),""))</f>
        <v/>
      </c>
      <c r="S322" s="24">
        <f>IFERROR(BDP(Database!$A322&amp;" HK Equity","PX_TO_SALES_RATIO"),"")</f>
        <v/>
      </c>
      <c r="T322" s="18">
        <f>IF(Database!BK322="","",IFERROR(BDP(LEFT(Database!BK322,FIND(".",Database!BK322)-1)&amp;"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Database!AF323</f>
        <v/>
      </c>
      <c r="J323" s="24">
        <f>IFERROR(BDP(Database!$A323&amp;" HK Equity","PE_RATIO"),"")</f>
        <v/>
      </c>
      <c r="K323" s="10">
        <f>IFERROR(BDP(Database!$A323&amp;" HK Equity","A/H_SHARE_CONVERSION"),"")</f>
        <v/>
      </c>
      <c r="L323" s="16">
        <f>IF(Database!BK323="","(none found)",Database!BK323)</f>
        <v/>
      </c>
      <c r="M323" s="18">
        <f>IFERROR(BDH(Database!$A323&amp;" HK Equity","CUR_MKT_CAP",Database!$H323,Database!$H323),"")</f>
        <v/>
      </c>
      <c r="N323" s="97">
        <f>Database!Q323</f>
        <v/>
      </c>
      <c r="O323" s="24">
        <f>IFERROR(BDH(Database!$A323&amp;" HK Equity","PE_RATIO",Database!$H323,Database!$H323),"")</f>
        <v/>
      </c>
      <c r="P323" s="101">
        <f>IF(Database!BE323="","(n/m or not derivable)",Database!BE323)</f>
        <v/>
      </c>
      <c r="Q323" s="24">
        <f>IF(Database!BK323="","",IFERROR(BDH(LEFT(Database!BK323,FIND(".",Database!BK323)-1)&amp;" CH Equity","PE_RATIO",Database!$H323,Database!$H323),""))</f>
        <v/>
      </c>
      <c r="R323" s="24">
        <f>IF(Database!BK323="","",IFERROR(BDH("HSAHP Index","PX_LAST",Database!$H323,Database!$H323),""))</f>
        <v/>
      </c>
      <c r="S323" s="24">
        <f>IFERROR(BDP(Database!$A323&amp;" HK Equity","PX_TO_SALES_RATIO"),"")</f>
        <v/>
      </c>
      <c r="T323" s="18">
        <f>IF(Database!BK323="","",IFERROR(BDP(LEFT(Database!BK323,FIND(".",Database!BK323)-1)&amp;"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Database!AF324</f>
        <v/>
      </c>
      <c r="J324" s="24">
        <f>IFERROR(BDP(Database!$A324&amp;" HK Equity","PE_RATIO"),"")</f>
        <v/>
      </c>
      <c r="K324" s="10">
        <f>IFERROR(BDP(Database!$A324&amp;" HK Equity","A/H_SHARE_CONVERSION"),"")</f>
        <v/>
      </c>
      <c r="L324" s="16">
        <f>IF(Database!BK324="","(none found)",Database!BK324)</f>
        <v/>
      </c>
      <c r="M324" s="18">
        <f>IFERROR(BDH(Database!$A324&amp;" HK Equity","CUR_MKT_CAP",Database!$H324,Database!$H324),"")</f>
        <v/>
      </c>
      <c r="N324" s="97">
        <f>Database!Q324</f>
        <v/>
      </c>
      <c r="O324" s="24">
        <f>IFERROR(BDH(Database!$A324&amp;" HK Equity","PE_RATIO",Database!$H324,Database!$H324),"")</f>
        <v/>
      </c>
      <c r="P324" s="101">
        <f>IF(Database!BE324="","(n/m or not derivable)",Database!BE324)</f>
        <v/>
      </c>
      <c r="Q324" s="24">
        <f>IF(Database!BK324="","",IFERROR(BDH(LEFT(Database!BK324,FIND(".",Database!BK324)-1)&amp;" CH Equity","PE_RATIO",Database!$H324,Database!$H324),""))</f>
        <v/>
      </c>
      <c r="R324" s="24">
        <f>IF(Database!BK324="","",IFERROR(BDH("HSAHP Index","PX_LAST",Database!$H324,Database!$H324),""))</f>
        <v/>
      </c>
      <c r="S324" s="24">
        <f>IFERROR(BDP(Database!$A324&amp;" HK Equity","PX_TO_SALES_RATIO"),"")</f>
        <v/>
      </c>
      <c r="T324" s="18">
        <f>IF(Database!BK324="","",IFERROR(BDP(LEFT(Database!BK324,FIND(".",Database!BK324)-1)&amp;"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Database!AF325</f>
        <v/>
      </c>
      <c r="J325" s="24">
        <f>IFERROR(BDP(Database!$A325&amp;" HK Equity","PE_RATIO"),"")</f>
        <v/>
      </c>
      <c r="K325" s="10">
        <f>IFERROR(BDP(Database!$A325&amp;" HK Equity","A/H_SHARE_CONVERSION"),"")</f>
        <v/>
      </c>
      <c r="L325" s="16">
        <f>IF(Database!BK325="","(none found)",Database!BK325)</f>
        <v/>
      </c>
      <c r="M325" s="18">
        <f>IFERROR(BDH(Database!$A325&amp;" HK Equity","CUR_MKT_CAP",Database!$H325,Database!$H325),"")</f>
        <v/>
      </c>
      <c r="N325" s="97">
        <f>Database!Q325</f>
        <v/>
      </c>
      <c r="O325" s="24">
        <f>IFERROR(BDH(Database!$A325&amp;" HK Equity","PE_RATIO",Database!$H325,Database!$H325),"")</f>
        <v/>
      </c>
      <c r="P325" s="101">
        <f>IF(Database!BE325="","(n/m or not derivable)",Database!BE325)</f>
        <v/>
      </c>
      <c r="Q325" s="24">
        <f>IF(Database!BK325="","",IFERROR(BDH(LEFT(Database!BK325,FIND(".",Database!BK325)-1)&amp;" CH Equity","PE_RATIO",Database!$H325,Database!$H325),""))</f>
        <v/>
      </c>
      <c r="R325" s="24">
        <f>IF(Database!BK325="","",IFERROR(BDH("HSAHP Index","PX_LAST",Database!$H325,Database!$H325),""))</f>
        <v/>
      </c>
      <c r="S325" s="24">
        <f>IFERROR(BDP(Database!$A325&amp;" HK Equity","PX_TO_SALES_RATIO"),"")</f>
        <v/>
      </c>
      <c r="T325" s="18">
        <f>IF(Database!BK325="","",IFERROR(BDP(LEFT(Database!BK325,FIND(".",Database!BK325)-1)&amp;"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Database!AF326</f>
        <v/>
      </c>
      <c r="J326" s="24">
        <f>IFERROR(BDP(Database!$A326&amp;" HK Equity","PE_RATIO"),"")</f>
        <v/>
      </c>
      <c r="K326" s="10">
        <f>IFERROR(BDP(Database!$A326&amp;" HK Equity","A/H_SHARE_CONVERSION"),"")</f>
        <v/>
      </c>
      <c r="L326" s="16">
        <f>IF(Database!BK326="","(none found)",Database!BK326)</f>
        <v/>
      </c>
      <c r="M326" s="18">
        <f>IFERROR(BDH(Database!$A326&amp;" HK Equity","CUR_MKT_CAP",Database!$H326,Database!$H326),"")</f>
        <v/>
      </c>
      <c r="N326" s="97">
        <f>Database!Q326</f>
        <v/>
      </c>
      <c r="O326" s="24">
        <f>IFERROR(BDH(Database!$A326&amp;" HK Equity","PE_RATIO",Database!$H326,Database!$H326),"")</f>
        <v/>
      </c>
      <c r="P326" s="101">
        <f>IF(Database!BE326="","(n/m or not derivable)",Database!BE326)</f>
        <v/>
      </c>
      <c r="Q326" s="24">
        <f>IF(Database!BK326="","",IFERROR(BDH(LEFT(Database!BK326,FIND(".",Database!BK326)-1)&amp;" CH Equity","PE_RATIO",Database!$H326,Database!$H326),""))</f>
        <v/>
      </c>
      <c r="R326" s="24">
        <f>IF(Database!BK326="","",IFERROR(BDH("HSAHP Index","PX_LAST",Database!$H326,Database!$H326),""))</f>
        <v/>
      </c>
      <c r="S326" s="24">
        <f>IFERROR(BDP(Database!$A326&amp;" HK Equity","PX_TO_SALES_RATIO"),"")</f>
        <v/>
      </c>
      <c r="T326" s="18">
        <f>IF(Database!BK326="","",IFERROR(BDP(LEFT(Database!BK326,FIND(".",Database!BK326)-1)&amp;"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Database!AF327</f>
        <v/>
      </c>
      <c r="J327" s="24">
        <f>IFERROR(BDP(Database!$A327&amp;" HK Equity","PE_RATIO"),"")</f>
        <v/>
      </c>
      <c r="K327" s="10">
        <f>IFERROR(BDP(Database!$A327&amp;" HK Equity","A/H_SHARE_CONVERSION"),"")</f>
        <v/>
      </c>
      <c r="L327" s="16">
        <f>IF(Database!BK327="","(none found)",Database!BK327)</f>
        <v/>
      </c>
      <c r="M327" s="18">
        <f>IFERROR(BDH(Database!$A327&amp;" HK Equity","CUR_MKT_CAP",Database!$H327,Database!$H327),"")</f>
        <v/>
      </c>
      <c r="N327" s="97">
        <f>Database!Q327</f>
        <v/>
      </c>
      <c r="O327" s="24">
        <f>IFERROR(BDH(Database!$A327&amp;" HK Equity","PE_RATIO",Database!$H327,Database!$H327),"")</f>
        <v/>
      </c>
      <c r="P327" s="101">
        <f>IF(Database!BE327="","(n/m or not derivable)",Database!BE327)</f>
        <v/>
      </c>
      <c r="Q327" s="24">
        <f>IF(Database!BK327="","",IFERROR(BDH(LEFT(Database!BK327,FIND(".",Database!BK327)-1)&amp;" CH Equity","PE_RATIO",Database!$H327,Database!$H327),""))</f>
        <v/>
      </c>
      <c r="R327" s="24">
        <f>IF(Database!BK327="","",IFERROR(BDH("HSAHP Index","PX_LAST",Database!$H327,Database!$H327),""))</f>
        <v/>
      </c>
      <c r="S327" s="24">
        <f>IFERROR(BDP(Database!$A327&amp;" HK Equity","PX_TO_SALES_RATIO"),"")</f>
        <v/>
      </c>
      <c r="T327" s="18">
        <f>IF(Database!BK327="","",IFERROR(BDP(LEFT(Database!BK327,FIND(".",Database!BK327)-1)&amp;"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Database!AF328</f>
        <v/>
      </c>
      <c r="J328" s="24">
        <f>IFERROR(BDP(Database!$A328&amp;" HK Equity","PE_RATIO"),"")</f>
        <v/>
      </c>
      <c r="K328" s="10">
        <f>IFERROR(BDP(Database!$A328&amp;" HK Equity","A/H_SHARE_CONVERSION"),"")</f>
        <v/>
      </c>
      <c r="L328" s="16">
        <f>IF(Database!BK328="","(none found)",Database!BK328)</f>
        <v/>
      </c>
      <c r="M328" s="18">
        <f>IFERROR(BDH(Database!$A328&amp;" HK Equity","CUR_MKT_CAP",Database!$H328,Database!$H328),"")</f>
        <v/>
      </c>
      <c r="N328" s="97">
        <f>Database!Q328</f>
        <v/>
      </c>
      <c r="O328" s="24">
        <f>IFERROR(BDH(Database!$A328&amp;" HK Equity","PE_RATIO",Database!$H328,Database!$H328),"")</f>
        <v/>
      </c>
      <c r="P328" s="101">
        <f>IF(Database!BE328="","(n/m or not derivable)",Database!BE328)</f>
        <v/>
      </c>
      <c r="Q328" s="24">
        <f>IF(Database!BK328="","",IFERROR(BDH(LEFT(Database!BK328,FIND(".",Database!BK328)-1)&amp;" CH Equity","PE_RATIO",Database!$H328,Database!$H328),""))</f>
        <v/>
      </c>
      <c r="R328" s="24">
        <f>IF(Database!BK328="","",IFERROR(BDH("HSAHP Index","PX_LAST",Database!$H328,Database!$H328),""))</f>
        <v/>
      </c>
      <c r="S328" s="24">
        <f>IFERROR(BDP(Database!$A328&amp;" HK Equity","PX_TO_SALES_RATIO"),"")</f>
        <v/>
      </c>
      <c r="T328" s="18">
        <f>IF(Database!BK328="","",IFERROR(BDP(LEFT(Database!BK328,FIND(".",Database!BK328)-1)&amp;"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Database!AF329</f>
        <v/>
      </c>
      <c r="J329" s="24">
        <f>IFERROR(BDP(Database!$A329&amp;" HK Equity","PE_RATIO"),"")</f>
        <v/>
      </c>
      <c r="K329" s="10">
        <f>IFERROR(BDP(Database!$A329&amp;" HK Equity","A/H_SHARE_CONVERSION"),"")</f>
        <v/>
      </c>
      <c r="L329" s="16">
        <f>IF(Database!BK329="","(none found)",Database!BK329)</f>
        <v/>
      </c>
      <c r="M329" s="18">
        <f>IFERROR(BDH(Database!$A329&amp;" HK Equity","CUR_MKT_CAP",Database!$H329,Database!$H329),"")</f>
        <v/>
      </c>
      <c r="N329" s="97">
        <f>Database!Q329</f>
        <v/>
      </c>
      <c r="O329" s="24">
        <f>IFERROR(BDH(Database!$A329&amp;" HK Equity","PE_RATIO",Database!$H329,Database!$H329),"")</f>
        <v/>
      </c>
      <c r="P329" s="101">
        <f>IF(Database!BE329="","(n/m or not derivable)",Database!BE329)</f>
        <v/>
      </c>
      <c r="Q329" s="24">
        <f>IF(Database!BK329="","",IFERROR(BDH(LEFT(Database!BK329,FIND(".",Database!BK329)-1)&amp;" CH Equity","PE_RATIO",Database!$H329,Database!$H329),""))</f>
        <v/>
      </c>
      <c r="R329" s="24">
        <f>IF(Database!BK329="","",IFERROR(BDH("HSAHP Index","PX_LAST",Database!$H329,Database!$H329),""))</f>
        <v/>
      </c>
      <c r="S329" s="24">
        <f>IFERROR(BDP(Database!$A329&amp;" HK Equity","PX_TO_SALES_RATIO"),"")</f>
        <v/>
      </c>
      <c r="T329" s="18">
        <f>IF(Database!BK329="","",IFERROR(BDP(LEFT(Database!BK329,FIND(".",Database!BK329)-1)&amp;"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Database!AF330</f>
        <v/>
      </c>
      <c r="J330" s="24">
        <f>IFERROR(BDP(Database!$A330&amp;" HK Equity","PE_RATIO"),"")</f>
        <v/>
      </c>
      <c r="K330" s="10">
        <f>IFERROR(BDP(Database!$A330&amp;" HK Equity","A/H_SHARE_CONVERSION"),"")</f>
        <v/>
      </c>
      <c r="L330" s="16">
        <f>IF(Database!BK330="","(none found)",Database!BK330)</f>
        <v/>
      </c>
      <c r="M330" s="18">
        <f>IFERROR(BDH(Database!$A330&amp;" HK Equity","CUR_MKT_CAP",Database!$H330,Database!$H330),"")</f>
        <v/>
      </c>
      <c r="N330" s="97">
        <f>Database!Q330</f>
        <v/>
      </c>
      <c r="O330" s="24">
        <f>IFERROR(BDH(Database!$A330&amp;" HK Equity","PE_RATIO",Database!$H330,Database!$H330),"")</f>
        <v/>
      </c>
      <c r="P330" s="101">
        <f>IF(Database!BE330="","(n/m or not derivable)",Database!BE330)</f>
        <v/>
      </c>
      <c r="Q330" s="24">
        <f>IF(Database!BK330="","",IFERROR(BDH(LEFT(Database!BK330,FIND(".",Database!BK330)-1)&amp;" CH Equity","PE_RATIO",Database!$H330,Database!$H330),""))</f>
        <v/>
      </c>
      <c r="R330" s="24">
        <f>IF(Database!BK330="","",IFERROR(BDH("HSAHP Index","PX_LAST",Database!$H330,Database!$H330),""))</f>
        <v/>
      </c>
      <c r="S330" s="24">
        <f>IFERROR(BDP(Database!$A330&amp;" HK Equity","PX_TO_SALES_RATIO"),"")</f>
        <v/>
      </c>
      <c r="T330" s="18">
        <f>IF(Database!BK330="","",IFERROR(BDP(LEFT(Database!BK330,FIND(".",Database!BK330)-1)&amp;"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Database!AF331</f>
        <v/>
      </c>
      <c r="J331" s="24">
        <f>IFERROR(BDP(Database!$A331&amp;" HK Equity","PE_RATIO"),"")</f>
        <v/>
      </c>
      <c r="K331" s="10">
        <f>IFERROR(BDP(Database!$A331&amp;" HK Equity","A/H_SHARE_CONVERSION"),"")</f>
        <v/>
      </c>
      <c r="L331" s="16">
        <f>IF(Database!BK331="","(none found)",Database!BK331)</f>
        <v/>
      </c>
      <c r="M331" s="18">
        <f>IFERROR(BDH(Database!$A331&amp;" HK Equity","CUR_MKT_CAP",Database!$H331,Database!$H331),"")</f>
        <v/>
      </c>
      <c r="N331" s="97">
        <f>Database!Q331</f>
        <v/>
      </c>
      <c r="O331" s="24">
        <f>IFERROR(BDH(Database!$A331&amp;" HK Equity","PE_RATIO",Database!$H331,Database!$H331),"")</f>
        <v/>
      </c>
      <c r="P331" s="101">
        <f>IF(Database!BE331="","(n/m or not derivable)",Database!BE331)</f>
        <v/>
      </c>
      <c r="Q331" s="24">
        <f>IF(Database!BK331="","",IFERROR(BDH(LEFT(Database!BK331,FIND(".",Database!BK331)-1)&amp;" CH Equity","PE_RATIO",Database!$H331,Database!$H331),""))</f>
        <v/>
      </c>
      <c r="R331" s="24">
        <f>IF(Database!BK331="","",IFERROR(BDH("HSAHP Index","PX_LAST",Database!$H331,Database!$H331),""))</f>
        <v/>
      </c>
      <c r="S331" s="24">
        <f>IFERROR(BDP(Database!$A331&amp;" HK Equity","PX_TO_SALES_RATIO"),"")</f>
        <v/>
      </c>
      <c r="T331" s="18">
        <f>IF(Database!BK331="","",IFERROR(BDP(LEFT(Database!BK331,FIND(".",Database!BK331)-1)&amp;"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Database!AF332</f>
        <v/>
      </c>
      <c r="J332" s="24">
        <f>IFERROR(BDP(Database!$A332&amp;" HK Equity","PE_RATIO"),"")</f>
        <v/>
      </c>
      <c r="K332" s="10">
        <f>IFERROR(BDP(Database!$A332&amp;" HK Equity","A/H_SHARE_CONVERSION"),"")</f>
        <v/>
      </c>
      <c r="L332" s="16">
        <f>IF(Database!BK332="","(none found)",Database!BK332)</f>
        <v/>
      </c>
      <c r="M332" s="18">
        <f>IFERROR(BDH(Database!$A332&amp;" HK Equity","CUR_MKT_CAP",Database!$H332,Database!$H332),"")</f>
        <v/>
      </c>
      <c r="N332" s="97">
        <f>Database!Q332</f>
        <v/>
      </c>
      <c r="O332" s="24">
        <f>IFERROR(BDH(Database!$A332&amp;" HK Equity","PE_RATIO",Database!$H332,Database!$H332),"")</f>
        <v/>
      </c>
      <c r="P332" s="101">
        <f>IF(Database!BE332="","(n/m or not derivable)",Database!BE332)</f>
        <v/>
      </c>
      <c r="Q332" s="24">
        <f>IF(Database!BK332="","",IFERROR(BDH(LEFT(Database!BK332,FIND(".",Database!BK332)-1)&amp;" CH Equity","PE_RATIO",Database!$H332,Database!$H332),""))</f>
        <v/>
      </c>
      <c r="R332" s="24">
        <f>IF(Database!BK332="","",IFERROR(BDH("HSAHP Index","PX_LAST",Database!$H332,Database!$H332),""))</f>
        <v/>
      </c>
      <c r="S332" s="24">
        <f>IFERROR(BDP(Database!$A332&amp;" HK Equity","PX_TO_SALES_RATIO"),"")</f>
        <v/>
      </c>
      <c r="T332" s="18">
        <f>IF(Database!BK332="","",IFERROR(BDP(LEFT(Database!BK332,FIND(".",Database!BK332)-1)&amp;"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Database!AF333</f>
        <v/>
      </c>
      <c r="J333" s="24">
        <f>IFERROR(BDP(Database!$A333&amp;" HK Equity","PE_RATIO"),"")</f>
        <v/>
      </c>
      <c r="K333" s="10">
        <f>IFERROR(BDP(Database!$A333&amp;" HK Equity","A/H_SHARE_CONVERSION"),"")</f>
        <v/>
      </c>
      <c r="L333" s="16">
        <f>IF(Database!BK333="","(none found)",Database!BK333)</f>
        <v/>
      </c>
      <c r="M333" s="18">
        <f>IFERROR(BDH(Database!$A333&amp;" HK Equity","CUR_MKT_CAP",Database!$H333,Database!$H333),"")</f>
        <v/>
      </c>
      <c r="N333" s="97">
        <f>Database!Q333</f>
        <v/>
      </c>
      <c r="O333" s="24">
        <f>IFERROR(BDH(Database!$A333&amp;" HK Equity","PE_RATIO",Database!$H333,Database!$H333),"")</f>
        <v/>
      </c>
      <c r="P333" s="101">
        <f>IF(Database!BE333="","(n/m or not derivable)",Database!BE333)</f>
        <v/>
      </c>
      <c r="Q333" s="24">
        <f>IF(Database!BK333="","",IFERROR(BDH(LEFT(Database!BK333,FIND(".",Database!BK333)-1)&amp;" CH Equity","PE_RATIO",Database!$H333,Database!$H333),""))</f>
        <v/>
      </c>
      <c r="R333" s="24">
        <f>IF(Database!BK333="","",IFERROR(BDH("HSAHP Index","PX_LAST",Database!$H333,Database!$H333),""))</f>
        <v/>
      </c>
      <c r="S333" s="24">
        <f>IFERROR(BDP(Database!$A333&amp;" HK Equity","PX_TO_SALES_RATIO"),"")</f>
        <v/>
      </c>
      <c r="T333" s="18">
        <f>IF(Database!BK333="","",IFERROR(BDP(LEFT(Database!BK333,FIND(".",Database!BK333)-1)&amp;"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Database!AF334</f>
        <v/>
      </c>
      <c r="J334" s="24">
        <f>IFERROR(BDP(Database!$A334&amp;" HK Equity","PE_RATIO"),"")</f>
        <v/>
      </c>
      <c r="K334" s="10">
        <f>IFERROR(BDP(Database!$A334&amp;" HK Equity","A/H_SHARE_CONVERSION"),"")</f>
        <v/>
      </c>
      <c r="L334" s="16">
        <f>IF(Database!BK334="","(none found)",Database!BK334)</f>
        <v/>
      </c>
      <c r="M334" s="18">
        <f>IFERROR(BDH(Database!$A334&amp;" HK Equity","CUR_MKT_CAP",Database!$H334,Database!$H334),"")</f>
        <v/>
      </c>
      <c r="N334" s="97">
        <f>Database!Q334</f>
        <v/>
      </c>
      <c r="O334" s="24">
        <f>IFERROR(BDH(Database!$A334&amp;" HK Equity","PE_RATIO",Database!$H334,Database!$H334),"")</f>
        <v/>
      </c>
      <c r="P334" s="101">
        <f>IF(Database!BE334="","(n/m or not derivable)",Database!BE334)</f>
        <v/>
      </c>
      <c r="Q334" s="24">
        <f>IF(Database!BK334="","",IFERROR(BDH(LEFT(Database!BK334,FIND(".",Database!BK334)-1)&amp;" CH Equity","PE_RATIO",Database!$H334,Database!$H334),""))</f>
        <v/>
      </c>
      <c r="R334" s="24">
        <f>IF(Database!BK334="","",IFERROR(BDH("HSAHP Index","PX_LAST",Database!$H334,Database!$H334),""))</f>
        <v/>
      </c>
      <c r="S334" s="24">
        <f>IFERROR(BDP(Database!$A334&amp;" HK Equity","PX_TO_SALES_RATIO"),"")</f>
        <v/>
      </c>
      <c r="T334" s="18">
        <f>IF(Database!BK334="","",IFERROR(BDP(LEFT(Database!BK334,FIND(".",Database!BK334)-1)&amp;"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Database!AF335</f>
        <v/>
      </c>
      <c r="J335" s="24">
        <f>IFERROR(BDP(Database!$A335&amp;" HK Equity","PE_RATIO"),"")</f>
        <v/>
      </c>
      <c r="K335" s="10">
        <f>IFERROR(BDP(Database!$A335&amp;" HK Equity","A/H_SHARE_CONVERSION"),"")</f>
        <v/>
      </c>
      <c r="L335" s="16">
        <f>IF(Database!BK335="","(none found)",Database!BK335)</f>
        <v/>
      </c>
      <c r="M335" s="18">
        <f>IFERROR(BDH(Database!$A335&amp;" HK Equity","CUR_MKT_CAP",Database!$H335,Database!$H335),"")</f>
        <v/>
      </c>
      <c r="N335" s="97">
        <f>Database!Q335</f>
        <v/>
      </c>
      <c r="O335" s="24">
        <f>IFERROR(BDH(Database!$A335&amp;" HK Equity","PE_RATIO",Database!$H335,Database!$H335),"")</f>
        <v/>
      </c>
      <c r="P335" s="101">
        <f>IF(Database!BE335="","(n/m or not derivable)",Database!BE335)</f>
        <v/>
      </c>
      <c r="Q335" s="24">
        <f>IF(Database!BK335="","",IFERROR(BDH(LEFT(Database!BK335,FIND(".",Database!BK335)-1)&amp;" CH Equity","PE_RATIO",Database!$H335,Database!$H335),""))</f>
        <v/>
      </c>
      <c r="R335" s="24">
        <f>IF(Database!BK335="","",IFERROR(BDH("HSAHP Index","PX_LAST",Database!$H335,Database!$H335),""))</f>
        <v/>
      </c>
      <c r="S335" s="24">
        <f>IFERROR(BDP(Database!$A335&amp;" HK Equity","PX_TO_SALES_RATIO"),"")</f>
        <v/>
      </c>
      <c r="T335" s="18">
        <f>IF(Database!BK335="","",IFERROR(BDP(LEFT(Database!BK335,FIND(".",Database!BK335)-1)&amp;"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Database!AF336</f>
        <v/>
      </c>
      <c r="J336" s="24">
        <f>IFERROR(BDP(Database!$A336&amp;" HK Equity","PE_RATIO"),"")</f>
        <v/>
      </c>
      <c r="K336" s="10">
        <f>IFERROR(BDP(Database!$A336&amp;" HK Equity","A/H_SHARE_CONVERSION"),"")</f>
        <v/>
      </c>
      <c r="L336" s="16">
        <f>IF(Database!BK336="","(none found)",Database!BK336)</f>
        <v/>
      </c>
      <c r="M336" s="18">
        <f>IFERROR(BDH(Database!$A336&amp;" HK Equity","CUR_MKT_CAP",Database!$H336,Database!$H336),"")</f>
        <v/>
      </c>
      <c r="N336" s="97">
        <f>Database!Q336</f>
        <v/>
      </c>
      <c r="O336" s="24">
        <f>IFERROR(BDH(Database!$A336&amp;" HK Equity","PE_RATIO",Database!$H336,Database!$H336),"")</f>
        <v/>
      </c>
      <c r="P336" s="101">
        <f>IF(Database!BE336="","(n/m or not derivable)",Database!BE336)</f>
        <v/>
      </c>
      <c r="Q336" s="24">
        <f>IF(Database!BK336="","",IFERROR(BDH(LEFT(Database!BK336,FIND(".",Database!BK336)-1)&amp;" CH Equity","PE_RATIO",Database!$H336,Database!$H336),""))</f>
        <v/>
      </c>
      <c r="R336" s="24">
        <f>IF(Database!BK336="","",IFERROR(BDH("HSAHP Index","PX_LAST",Database!$H336,Database!$H336),""))</f>
        <v/>
      </c>
      <c r="S336" s="24">
        <f>IFERROR(BDP(Database!$A336&amp;" HK Equity","PX_TO_SALES_RATIO"),"")</f>
        <v/>
      </c>
      <c r="T336" s="18">
        <f>IF(Database!BK336="","",IFERROR(BDP(LEFT(Database!BK336,FIND(".",Database!BK336)-1)&amp;"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Database!AF337</f>
        <v/>
      </c>
      <c r="J337" s="24">
        <f>IFERROR(BDP(Database!$A337&amp;" HK Equity","PE_RATIO"),"")</f>
        <v/>
      </c>
      <c r="K337" s="10">
        <f>IFERROR(BDP(Database!$A337&amp;" HK Equity","A/H_SHARE_CONVERSION"),"")</f>
        <v/>
      </c>
      <c r="L337" s="16">
        <f>IF(Database!BK337="","(none found)",Database!BK337)</f>
        <v/>
      </c>
      <c r="M337" s="18">
        <f>IFERROR(BDH(Database!$A337&amp;" HK Equity","CUR_MKT_CAP",Database!$H337,Database!$H337),"")</f>
        <v/>
      </c>
      <c r="N337" s="97">
        <f>Database!Q337</f>
        <v/>
      </c>
      <c r="O337" s="24">
        <f>IFERROR(BDH(Database!$A337&amp;" HK Equity","PE_RATIO",Database!$H337,Database!$H337),"")</f>
        <v/>
      </c>
      <c r="P337" s="101">
        <f>IF(Database!BE337="","(n/m or not derivable)",Database!BE337)</f>
        <v/>
      </c>
      <c r="Q337" s="24">
        <f>IF(Database!BK337="","",IFERROR(BDH(LEFT(Database!BK337,FIND(".",Database!BK337)-1)&amp;" CH Equity","PE_RATIO",Database!$H337,Database!$H337),""))</f>
        <v/>
      </c>
      <c r="R337" s="24">
        <f>IF(Database!BK337="","",IFERROR(BDH("HSAHP Index","PX_LAST",Database!$H337,Database!$H337),""))</f>
        <v/>
      </c>
      <c r="S337" s="24">
        <f>IFERROR(BDP(Database!$A337&amp;" HK Equity","PX_TO_SALES_RATIO"),"")</f>
        <v/>
      </c>
      <c r="T337" s="18">
        <f>IF(Database!BK337="","",IFERROR(BDP(LEFT(Database!BK337,FIND(".",Database!BK337)-1)&amp;"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Database!AF338</f>
        <v/>
      </c>
      <c r="J338" s="24">
        <f>IFERROR(BDP(Database!$A338&amp;" HK Equity","PE_RATIO"),"")</f>
        <v/>
      </c>
      <c r="K338" s="10">
        <f>IFERROR(BDP(Database!$A338&amp;" HK Equity","A/H_SHARE_CONVERSION"),"")</f>
        <v/>
      </c>
      <c r="L338" s="16">
        <f>IF(Database!BK338="","(none found)",Database!BK338)</f>
        <v/>
      </c>
      <c r="M338" s="18">
        <f>IFERROR(BDH(Database!$A338&amp;" HK Equity","CUR_MKT_CAP",Database!$H338,Database!$H338),"")</f>
        <v/>
      </c>
      <c r="N338" s="97">
        <f>Database!Q338</f>
        <v/>
      </c>
      <c r="O338" s="24">
        <f>IFERROR(BDH(Database!$A338&amp;" HK Equity","PE_RATIO",Database!$H338,Database!$H338),"")</f>
        <v/>
      </c>
      <c r="P338" s="101">
        <f>IF(Database!BE338="","(n/m or not derivable)",Database!BE338)</f>
        <v/>
      </c>
      <c r="Q338" s="24">
        <f>IF(Database!BK338="","",IFERROR(BDH(LEFT(Database!BK338,FIND(".",Database!BK338)-1)&amp;" CH Equity","PE_RATIO",Database!$H338,Database!$H338),""))</f>
        <v/>
      </c>
      <c r="R338" s="24">
        <f>IF(Database!BK338="","",IFERROR(BDH("HSAHP Index","PX_LAST",Database!$H338,Database!$H338),""))</f>
        <v/>
      </c>
      <c r="S338" s="24">
        <f>IFERROR(BDP(Database!$A338&amp;" HK Equity","PX_TO_SALES_RATIO"),"")</f>
        <v/>
      </c>
      <c r="T338" s="18">
        <f>IF(Database!BK338="","",IFERROR(BDP(LEFT(Database!BK338,FIND(".",Database!BK338)-1)&amp;"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Database!AF339</f>
        <v/>
      </c>
      <c r="J339" s="24">
        <f>IFERROR(BDP(Database!$A339&amp;" HK Equity","PE_RATIO"),"")</f>
        <v/>
      </c>
      <c r="K339" s="10">
        <f>IFERROR(BDP(Database!$A339&amp;" HK Equity","A/H_SHARE_CONVERSION"),"")</f>
        <v/>
      </c>
      <c r="L339" s="16">
        <f>IF(Database!BK339="","(none found)",Database!BK339)</f>
        <v/>
      </c>
      <c r="M339" s="18">
        <f>IFERROR(BDH(Database!$A339&amp;" HK Equity","CUR_MKT_CAP",Database!$H339,Database!$H339),"")</f>
        <v/>
      </c>
      <c r="N339" s="97">
        <f>Database!Q339</f>
        <v/>
      </c>
      <c r="O339" s="24">
        <f>IFERROR(BDH(Database!$A339&amp;" HK Equity","PE_RATIO",Database!$H339,Database!$H339),"")</f>
        <v/>
      </c>
      <c r="P339" s="101">
        <f>IF(Database!BE339="","(n/m or not derivable)",Database!BE339)</f>
        <v/>
      </c>
      <c r="Q339" s="24">
        <f>IF(Database!BK339="","",IFERROR(BDH(LEFT(Database!BK339,FIND(".",Database!BK339)-1)&amp;" CH Equity","PE_RATIO",Database!$H339,Database!$H339),""))</f>
        <v/>
      </c>
      <c r="R339" s="24">
        <f>IF(Database!BK339="","",IFERROR(BDH("HSAHP Index","PX_LAST",Database!$H339,Database!$H339),""))</f>
        <v/>
      </c>
      <c r="S339" s="24">
        <f>IFERROR(BDP(Database!$A339&amp;" HK Equity","PX_TO_SALES_RATIO"),"")</f>
        <v/>
      </c>
      <c r="T339" s="18">
        <f>IF(Database!BK339="","",IFERROR(BDP(LEFT(Database!BK339,FIND(".",Database!BK339)-1)&amp;"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Database!AF340</f>
        <v/>
      </c>
      <c r="J340" s="24">
        <f>IFERROR(BDP(Database!$A340&amp;" HK Equity","PE_RATIO"),"")</f>
        <v/>
      </c>
      <c r="K340" s="10">
        <f>IFERROR(BDP(Database!$A340&amp;" HK Equity","A/H_SHARE_CONVERSION"),"")</f>
        <v/>
      </c>
      <c r="L340" s="16">
        <f>IF(Database!BK340="","(none found)",Database!BK340)</f>
        <v/>
      </c>
      <c r="M340" s="18">
        <f>IFERROR(BDH(Database!$A340&amp;" HK Equity","CUR_MKT_CAP",Database!$H340,Database!$H340),"")</f>
        <v/>
      </c>
      <c r="N340" s="97">
        <f>Database!Q340</f>
        <v/>
      </c>
      <c r="O340" s="24">
        <f>IFERROR(BDH(Database!$A340&amp;" HK Equity","PE_RATIO",Database!$H340,Database!$H340),"")</f>
        <v/>
      </c>
      <c r="P340" s="101">
        <f>IF(Database!BE340="","(n/m or not derivable)",Database!BE340)</f>
        <v/>
      </c>
      <c r="Q340" s="24">
        <f>IF(Database!BK340="","",IFERROR(BDH(LEFT(Database!BK340,FIND(".",Database!BK340)-1)&amp;" CH Equity","PE_RATIO",Database!$H340,Database!$H340),""))</f>
        <v/>
      </c>
      <c r="R340" s="24">
        <f>IF(Database!BK340="","",IFERROR(BDH("HSAHP Index","PX_LAST",Database!$H340,Database!$H340),""))</f>
        <v/>
      </c>
      <c r="S340" s="24">
        <f>IFERROR(BDP(Database!$A340&amp;" HK Equity","PX_TO_SALES_RATIO"),"")</f>
        <v/>
      </c>
      <c r="T340" s="18">
        <f>IF(Database!BK340="","",IFERROR(BDP(LEFT(Database!BK340,FIND(".",Database!BK340)-1)&amp;"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Database!AF341</f>
        <v/>
      </c>
      <c r="J341" s="24">
        <f>IFERROR(BDP(Database!$A341&amp;" HK Equity","PE_RATIO"),"")</f>
        <v/>
      </c>
      <c r="K341" s="10">
        <f>IFERROR(BDP(Database!$A341&amp;" HK Equity","A/H_SHARE_CONVERSION"),"")</f>
        <v/>
      </c>
      <c r="L341" s="16">
        <f>IF(Database!BK341="","(none found)",Database!BK341)</f>
        <v/>
      </c>
      <c r="M341" s="18">
        <f>IFERROR(BDH(Database!$A341&amp;" HK Equity","CUR_MKT_CAP",Database!$H341,Database!$H341),"")</f>
        <v/>
      </c>
      <c r="N341" s="97">
        <f>Database!Q341</f>
        <v/>
      </c>
      <c r="O341" s="24">
        <f>IFERROR(BDH(Database!$A341&amp;" HK Equity","PE_RATIO",Database!$H341,Database!$H341),"")</f>
        <v/>
      </c>
      <c r="P341" s="101">
        <f>IF(Database!BE341="","(n/m or not derivable)",Database!BE341)</f>
        <v/>
      </c>
      <c r="Q341" s="24">
        <f>IF(Database!BK341="","",IFERROR(BDH(LEFT(Database!BK341,FIND(".",Database!BK341)-1)&amp;" CH Equity","PE_RATIO",Database!$H341,Database!$H341),""))</f>
        <v/>
      </c>
      <c r="R341" s="24">
        <f>IF(Database!BK341="","",IFERROR(BDH("HSAHP Index","PX_LAST",Database!$H341,Database!$H341),""))</f>
        <v/>
      </c>
      <c r="S341" s="24">
        <f>IFERROR(BDP(Database!$A341&amp;" HK Equity","PX_TO_SALES_RATIO"),"")</f>
        <v/>
      </c>
      <c r="T341" s="18">
        <f>IF(Database!BK341="","",IFERROR(BDP(LEFT(Database!BK341,FIND(".",Database!BK341)-1)&amp;"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Database!AF342</f>
        <v/>
      </c>
      <c r="J342" s="24">
        <f>IFERROR(BDP(Database!$A342&amp;" HK Equity","PE_RATIO"),"")</f>
        <v/>
      </c>
      <c r="K342" s="10">
        <f>IFERROR(BDP(Database!$A342&amp;" HK Equity","A/H_SHARE_CONVERSION"),"")</f>
        <v/>
      </c>
      <c r="L342" s="16">
        <f>IF(Database!BK342="","(none found)",Database!BK342)</f>
        <v/>
      </c>
      <c r="M342" s="18">
        <f>IFERROR(BDH(Database!$A342&amp;" HK Equity","CUR_MKT_CAP",Database!$H342,Database!$H342),"")</f>
        <v/>
      </c>
      <c r="N342" s="97">
        <f>Database!Q342</f>
        <v/>
      </c>
      <c r="O342" s="24">
        <f>IFERROR(BDH(Database!$A342&amp;" HK Equity","PE_RATIO",Database!$H342,Database!$H342),"")</f>
        <v/>
      </c>
      <c r="P342" s="101">
        <f>IF(Database!BE342="","(n/m or not derivable)",Database!BE342)</f>
        <v/>
      </c>
      <c r="Q342" s="24">
        <f>IF(Database!BK342="","",IFERROR(BDH(LEFT(Database!BK342,FIND(".",Database!BK342)-1)&amp;" CH Equity","PE_RATIO",Database!$H342,Database!$H342),""))</f>
        <v/>
      </c>
      <c r="R342" s="24">
        <f>IF(Database!BK342="","",IFERROR(BDH("HSAHP Index","PX_LAST",Database!$H342,Database!$H342),""))</f>
        <v/>
      </c>
      <c r="S342" s="24">
        <f>IFERROR(BDP(Database!$A342&amp;" HK Equity","PX_TO_SALES_RATIO"),"")</f>
        <v/>
      </c>
      <c r="T342" s="18">
        <f>IF(Database!BK342="","",IFERROR(BDP(LEFT(Database!BK342,FIND(".",Database!BK342)-1)&amp;"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Database!AF343</f>
        <v/>
      </c>
      <c r="J343" s="24">
        <f>IFERROR(BDP(Database!$A343&amp;" HK Equity","PE_RATIO"),"")</f>
        <v/>
      </c>
      <c r="K343" s="10">
        <f>IFERROR(BDP(Database!$A343&amp;" HK Equity","A/H_SHARE_CONVERSION"),"")</f>
        <v/>
      </c>
      <c r="L343" s="16">
        <f>IF(Database!BK343="","(none found)",Database!BK343)</f>
        <v/>
      </c>
      <c r="M343" s="18">
        <f>IFERROR(BDH(Database!$A343&amp;" HK Equity","CUR_MKT_CAP",Database!$H343,Database!$H343),"")</f>
        <v/>
      </c>
      <c r="N343" s="97">
        <f>Database!Q343</f>
        <v/>
      </c>
      <c r="O343" s="24">
        <f>IFERROR(BDH(Database!$A343&amp;" HK Equity","PE_RATIO",Database!$H343,Database!$H343),"")</f>
        <v/>
      </c>
      <c r="P343" s="101">
        <f>IF(Database!BE343="","(n/m or not derivable)",Database!BE343)</f>
        <v/>
      </c>
      <c r="Q343" s="24">
        <f>IF(Database!BK343="","",IFERROR(BDH(LEFT(Database!BK343,FIND(".",Database!BK343)-1)&amp;" CH Equity","PE_RATIO",Database!$H343,Database!$H343),""))</f>
        <v/>
      </c>
      <c r="R343" s="24">
        <f>IF(Database!BK343="","",IFERROR(BDH("HSAHP Index","PX_LAST",Database!$H343,Database!$H343),""))</f>
        <v/>
      </c>
      <c r="S343" s="24">
        <f>IFERROR(BDP(Database!$A343&amp;" HK Equity","PX_TO_SALES_RATIO"),"")</f>
        <v/>
      </c>
      <c r="T343" s="18">
        <f>IF(Database!BK343="","",IFERROR(BDP(LEFT(Database!BK343,FIND(".",Database!BK343)-1)&amp;"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Database!AF344</f>
        <v/>
      </c>
      <c r="J344" s="24">
        <f>IFERROR(BDP(Database!$A344&amp;" HK Equity","PE_RATIO"),"")</f>
        <v/>
      </c>
      <c r="K344" s="10">
        <f>IFERROR(BDP(Database!$A344&amp;" HK Equity","A/H_SHARE_CONVERSION"),"")</f>
        <v/>
      </c>
      <c r="L344" s="16">
        <f>IF(Database!BK344="","(none found)",Database!BK344)</f>
        <v/>
      </c>
      <c r="M344" s="18">
        <f>IFERROR(BDH(Database!$A344&amp;" HK Equity","CUR_MKT_CAP",Database!$H344,Database!$H344),"")</f>
        <v/>
      </c>
      <c r="N344" s="97">
        <f>Database!Q344</f>
        <v/>
      </c>
      <c r="O344" s="24">
        <f>IFERROR(BDH(Database!$A344&amp;" HK Equity","PE_RATIO",Database!$H344,Database!$H344),"")</f>
        <v/>
      </c>
      <c r="P344" s="101">
        <f>IF(Database!BE344="","(n/m or not derivable)",Database!BE344)</f>
        <v/>
      </c>
      <c r="Q344" s="24">
        <f>IF(Database!BK344="","",IFERROR(BDH(LEFT(Database!BK344,FIND(".",Database!BK344)-1)&amp;" CH Equity","PE_RATIO",Database!$H344,Database!$H344),""))</f>
        <v/>
      </c>
      <c r="R344" s="24">
        <f>IF(Database!BK344="","",IFERROR(BDH("HSAHP Index","PX_LAST",Database!$H344,Database!$H344),""))</f>
        <v/>
      </c>
      <c r="S344" s="24">
        <f>IFERROR(BDP(Database!$A344&amp;" HK Equity","PX_TO_SALES_RATIO"),"")</f>
        <v/>
      </c>
      <c r="T344" s="18">
        <f>IF(Database!BK344="","",IFERROR(BDP(LEFT(Database!BK344,FIND(".",Database!BK344)-1)&amp;"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Database!AF345</f>
        <v/>
      </c>
      <c r="J345" s="24">
        <f>IFERROR(BDP(Database!$A345&amp;" HK Equity","PE_RATIO"),"")</f>
        <v/>
      </c>
      <c r="K345" s="10">
        <f>IFERROR(BDP(Database!$A345&amp;" HK Equity","A/H_SHARE_CONVERSION"),"")</f>
        <v/>
      </c>
      <c r="L345" s="16">
        <f>IF(Database!BK345="","(none found)",Database!BK345)</f>
        <v/>
      </c>
      <c r="M345" s="18">
        <f>IFERROR(BDH(Database!$A345&amp;" HK Equity","CUR_MKT_CAP",Database!$H345,Database!$H345),"")</f>
        <v/>
      </c>
      <c r="N345" s="97">
        <f>Database!Q345</f>
        <v/>
      </c>
      <c r="O345" s="24">
        <f>IFERROR(BDH(Database!$A345&amp;" HK Equity","PE_RATIO",Database!$H345,Database!$H345),"")</f>
        <v/>
      </c>
      <c r="P345" s="101">
        <f>IF(Database!BE345="","(n/m or not derivable)",Database!BE345)</f>
        <v/>
      </c>
      <c r="Q345" s="24">
        <f>IF(Database!BK345="","",IFERROR(BDH(LEFT(Database!BK345,FIND(".",Database!BK345)-1)&amp;" CH Equity","PE_RATIO",Database!$H345,Database!$H345),""))</f>
        <v/>
      </c>
      <c r="R345" s="24">
        <f>IF(Database!BK345="","",IFERROR(BDH("HSAHP Index","PX_LAST",Database!$H345,Database!$H345),""))</f>
        <v/>
      </c>
      <c r="S345" s="24">
        <f>IFERROR(BDP(Database!$A345&amp;" HK Equity","PX_TO_SALES_RATIO"),"")</f>
        <v/>
      </c>
      <c r="T345" s="18">
        <f>IF(Database!BK345="","",IFERROR(BDP(LEFT(Database!BK345,FIND(".",Database!BK345)-1)&amp;"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Database!AF346</f>
        <v/>
      </c>
      <c r="J346" s="24">
        <f>IFERROR(BDP(Database!$A346&amp;" HK Equity","PE_RATIO"),"")</f>
        <v/>
      </c>
      <c r="K346" s="10">
        <f>IFERROR(BDP(Database!$A346&amp;" HK Equity","A/H_SHARE_CONVERSION"),"")</f>
        <v/>
      </c>
      <c r="L346" s="16">
        <f>IF(Database!BK346="","(none found)",Database!BK346)</f>
        <v/>
      </c>
      <c r="M346" s="18">
        <f>IFERROR(BDH(Database!$A346&amp;" HK Equity","CUR_MKT_CAP",Database!$H346,Database!$H346),"")</f>
        <v/>
      </c>
      <c r="N346" s="97">
        <f>Database!Q346</f>
        <v/>
      </c>
      <c r="O346" s="24">
        <f>IFERROR(BDH(Database!$A346&amp;" HK Equity","PE_RATIO",Database!$H346,Database!$H346),"")</f>
        <v/>
      </c>
      <c r="P346" s="101">
        <f>IF(Database!BE346="","(n/m or not derivable)",Database!BE346)</f>
        <v/>
      </c>
      <c r="Q346" s="24">
        <f>IF(Database!BK346="","",IFERROR(BDH(LEFT(Database!BK346,FIND(".",Database!BK346)-1)&amp;" CH Equity","PE_RATIO",Database!$H346,Database!$H346),""))</f>
        <v/>
      </c>
      <c r="R346" s="24">
        <f>IF(Database!BK346="","",IFERROR(BDH("HSAHP Index","PX_LAST",Database!$H346,Database!$H346),""))</f>
        <v/>
      </c>
      <c r="S346" s="24">
        <f>IFERROR(BDP(Database!$A346&amp;" HK Equity","PX_TO_SALES_RATIO"),"")</f>
        <v/>
      </c>
      <c r="T346" s="18">
        <f>IF(Database!BK346="","",IFERROR(BDP(LEFT(Database!BK346,FIND(".",Database!BK346)-1)&amp;"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Database!AF347</f>
        <v/>
      </c>
      <c r="J347" s="24">
        <f>IFERROR(BDP(Database!$A347&amp;" HK Equity","PE_RATIO"),"")</f>
        <v/>
      </c>
      <c r="K347" s="10">
        <f>IFERROR(BDP(Database!$A347&amp;" HK Equity","A/H_SHARE_CONVERSION"),"")</f>
        <v/>
      </c>
      <c r="L347" s="16">
        <f>IF(Database!BK347="","(none found)",Database!BK347)</f>
        <v/>
      </c>
      <c r="M347" s="18">
        <f>IFERROR(BDH(Database!$A347&amp;" HK Equity","CUR_MKT_CAP",Database!$H347,Database!$H347),"")</f>
        <v/>
      </c>
      <c r="N347" s="97">
        <f>Database!Q347</f>
        <v/>
      </c>
      <c r="O347" s="24">
        <f>IFERROR(BDH(Database!$A347&amp;" HK Equity","PE_RATIO",Database!$H347,Database!$H347),"")</f>
        <v/>
      </c>
      <c r="P347" s="101">
        <f>IF(Database!BE347="","(n/m or not derivable)",Database!BE347)</f>
        <v/>
      </c>
      <c r="Q347" s="24">
        <f>IF(Database!BK347="","",IFERROR(BDH(LEFT(Database!BK347,FIND(".",Database!BK347)-1)&amp;" CH Equity","PE_RATIO",Database!$H347,Database!$H347),""))</f>
        <v/>
      </c>
      <c r="R347" s="24">
        <f>IF(Database!BK347="","",IFERROR(BDH("HSAHP Index","PX_LAST",Database!$H347,Database!$H347),""))</f>
        <v/>
      </c>
      <c r="S347" s="24">
        <f>IFERROR(BDP(Database!$A347&amp;" HK Equity","PX_TO_SALES_RATIO"),"")</f>
        <v/>
      </c>
      <c r="T347" s="18">
        <f>IF(Database!BK347="","",IFERROR(BDP(LEFT(Database!BK347,FIND(".",Database!BK347)-1)&amp;"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Database!AF348</f>
        <v/>
      </c>
      <c r="J348" s="24">
        <f>IFERROR(BDP(Database!$A348&amp;" HK Equity","PE_RATIO"),"")</f>
        <v/>
      </c>
      <c r="K348" s="10">
        <f>IFERROR(BDP(Database!$A348&amp;" HK Equity","A/H_SHARE_CONVERSION"),"")</f>
        <v/>
      </c>
      <c r="L348" s="16">
        <f>IF(Database!BK348="","(none found)",Database!BK348)</f>
        <v/>
      </c>
      <c r="M348" s="18">
        <f>IFERROR(BDH(Database!$A348&amp;" HK Equity","CUR_MKT_CAP",Database!$H348,Database!$H348),"")</f>
        <v/>
      </c>
      <c r="N348" s="97">
        <f>Database!Q348</f>
        <v/>
      </c>
      <c r="O348" s="24">
        <f>IFERROR(BDH(Database!$A348&amp;" HK Equity","PE_RATIO",Database!$H348,Database!$H348),"")</f>
        <v/>
      </c>
      <c r="P348" s="101">
        <f>IF(Database!BE348="","(n/m or not derivable)",Database!BE348)</f>
        <v/>
      </c>
      <c r="Q348" s="24">
        <f>IF(Database!BK348="","",IFERROR(BDH(LEFT(Database!BK348,FIND(".",Database!BK348)-1)&amp;" CH Equity","PE_RATIO",Database!$H348,Database!$H348),""))</f>
        <v/>
      </c>
      <c r="R348" s="24">
        <f>IF(Database!BK348="","",IFERROR(BDH("HSAHP Index","PX_LAST",Database!$H348,Database!$H348),""))</f>
        <v/>
      </c>
      <c r="S348" s="24">
        <f>IFERROR(BDP(Database!$A348&amp;" HK Equity","PX_TO_SALES_RATIO"),"")</f>
        <v/>
      </c>
      <c r="T348" s="18">
        <f>IF(Database!BK348="","",IFERROR(BDP(LEFT(Database!BK348,FIND(".",Database!BK348)-1)&amp;"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Database!AF349</f>
        <v/>
      </c>
      <c r="J349" s="24">
        <f>IFERROR(BDP(Database!$A349&amp;" HK Equity","PE_RATIO"),"")</f>
        <v/>
      </c>
      <c r="K349" s="10">
        <f>IFERROR(BDP(Database!$A349&amp;" HK Equity","A/H_SHARE_CONVERSION"),"")</f>
        <v/>
      </c>
      <c r="L349" s="16">
        <f>IF(Database!BK349="","(none found)",Database!BK349)</f>
        <v/>
      </c>
      <c r="M349" s="18">
        <f>IFERROR(BDH(Database!$A349&amp;" HK Equity","CUR_MKT_CAP",Database!$H349,Database!$H349),"")</f>
        <v/>
      </c>
      <c r="N349" s="97">
        <f>Database!Q349</f>
        <v/>
      </c>
      <c r="O349" s="24">
        <f>IFERROR(BDH(Database!$A349&amp;" HK Equity","PE_RATIO",Database!$H349,Database!$H349),"")</f>
        <v/>
      </c>
      <c r="P349" s="101">
        <f>IF(Database!BE349="","(n/m or not derivable)",Database!BE349)</f>
        <v/>
      </c>
      <c r="Q349" s="24">
        <f>IF(Database!BK349="","",IFERROR(BDH(LEFT(Database!BK349,FIND(".",Database!BK349)-1)&amp;" CH Equity","PE_RATIO",Database!$H349,Database!$H349),""))</f>
        <v/>
      </c>
      <c r="R349" s="24">
        <f>IF(Database!BK349="","",IFERROR(BDH("HSAHP Index","PX_LAST",Database!$H349,Database!$H349),""))</f>
        <v/>
      </c>
      <c r="S349" s="24">
        <f>IFERROR(BDP(Database!$A349&amp;" HK Equity","PX_TO_SALES_RATIO"),"")</f>
        <v/>
      </c>
      <c r="T349" s="18">
        <f>IF(Database!BK349="","",IFERROR(BDP(LEFT(Database!BK349,FIND(".",Database!BK349)-1)&amp;"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Database!AF350</f>
        <v/>
      </c>
      <c r="J350" s="24">
        <f>IFERROR(BDP(Database!$A350&amp;" HK Equity","PE_RATIO"),"")</f>
        <v/>
      </c>
      <c r="K350" s="10">
        <f>IFERROR(BDP(Database!$A350&amp;" HK Equity","A/H_SHARE_CONVERSION"),"")</f>
        <v/>
      </c>
      <c r="L350" s="16">
        <f>IF(Database!BK350="","(none found)",Database!BK350)</f>
        <v/>
      </c>
      <c r="M350" s="18">
        <f>IFERROR(BDH(Database!$A350&amp;" HK Equity","CUR_MKT_CAP",Database!$H350,Database!$H350),"")</f>
        <v/>
      </c>
      <c r="N350" s="97">
        <f>Database!Q350</f>
        <v/>
      </c>
      <c r="O350" s="24">
        <f>IFERROR(BDH(Database!$A350&amp;" HK Equity","PE_RATIO",Database!$H350,Database!$H350),"")</f>
        <v/>
      </c>
      <c r="P350" s="101">
        <f>IF(Database!BE350="","(n/m or not derivable)",Database!BE350)</f>
        <v/>
      </c>
      <c r="Q350" s="24">
        <f>IF(Database!BK350="","",IFERROR(BDH(LEFT(Database!BK350,FIND(".",Database!BK350)-1)&amp;" CH Equity","PE_RATIO",Database!$H350,Database!$H350),""))</f>
        <v/>
      </c>
      <c r="R350" s="24">
        <f>IF(Database!BK350="","",IFERROR(BDH("HSAHP Index","PX_LAST",Database!$H350,Database!$H350),""))</f>
        <v/>
      </c>
      <c r="S350" s="24">
        <f>IFERROR(BDP(Database!$A350&amp;" HK Equity","PX_TO_SALES_RATIO"),"")</f>
        <v/>
      </c>
      <c r="T350" s="18">
        <f>IF(Database!BK350="","",IFERROR(BDP(LEFT(Database!BK350,FIND(".",Database!BK350)-1)&amp;"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Database!AF351</f>
        <v/>
      </c>
      <c r="J351" s="24">
        <f>IFERROR(BDP(Database!$A351&amp;" HK Equity","PE_RATIO"),"")</f>
        <v/>
      </c>
      <c r="K351" s="10">
        <f>IFERROR(BDP(Database!$A351&amp;" HK Equity","A/H_SHARE_CONVERSION"),"")</f>
        <v/>
      </c>
      <c r="L351" s="16">
        <f>IF(Database!BK351="","(none found)",Database!BK351)</f>
        <v/>
      </c>
      <c r="M351" s="18">
        <f>IFERROR(BDH(Database!$A351&amp;" HK Equity","CUR_MKT_CAP",Database!$H351,Database!$H351),"")</f>
        <v/>
      </c>
      <c r="N351" s="97">
        <f>Database!Q351</f>
        <v/>
      </c>
      <c r="O351" s="24">
        <f>IFERROR(BDH(Database!$A351&amp;" HK Equity","PE_RATIO",Database!$H351,Database!$H351),"")</f>
        <v/>
      </c>
      <c r="P351" s="101">
        <f>IF(Database!BE351="","(n/m or not derivable)",Database!BE351)</f>
        <v/>
      </c>
      <c r="Q351" s="24">
        <f>IF(Database!BK351="","",IFERROR(BDH(LEFT(Database!BK351,FIND(".",Database!BK351)-1)&amp;" CH Equity","PE_RATIO",Database!$H351,Database!$H351),""))</f>
        <v/>
      </c>
      <c r="R351" s="24">
        <f>IF(Database!BK351="","",IFERROR(BDH("HSAHP Index","PX_LAST",Database!$H351,Database!$H351),""))</f>
        <v/>
      </c>
      <c r="S351" s="24">
        <f>IFERROR(BDP(Database!$A351&amp;" HK Equity","PX_TO_SALES_RATIO"),"")</f>
        <v/>
      </c>
      <c r="T351" s="18">
        <f>IF(Database!BK351="","",IFERROR(BDP(LEFT(Database!BK351,FIND(".",Database!BK351)-1)&amp;"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Database!AF352</f>
        <v/>
      </c>
      <c r="J352" s="24">
        <f>IFERROR(BDP(Database!$A352&amp;" HK Equity","PE_RATIO"),"")</f>
        <v/>
      </c>
      <c r="K352" s="10">
        <f>IFERROR(BDP(Database!$A352&amp;" HK Equity","A/H_SHARE_CONVERSION"),"")</f>
        <v/>
      </c>
      <c r="L352" s="16">
        <f>IF(Database!BK352="","(none found)",Database!BK352)</f>
        <v/>
      </c>
      <c r="M352" s="18">
        <f>IFERROR(BDH(Database!$A352&amp;" HK Equity","CUR_MKT_CAP",Database!$H352,Database!$H352),"")</f>
        <v/>
      </c>
      <c r="N352" s="97">
        <f>Database!Q352</f>
        <v/>
      </c>
      <c r="O352" s="24">
        <f>IFERROR(BDH(Database!$A352&amp;" HK Equity","PE_RATIO",Database!$H352,Database!$H352),"")</f>
        <v/>
      </c>
      <c r="P352" s="101">
        <f>IF(Database!BE352="","(n/m or not derivable)",Database!BE352)</f>
        <v/>
      </c>
      <c r="Q352" s="24">
        <f>IF(Database!BK352="","",IFERROR(BDH(LEFT(Database!BK352,FIND(".",Database!BK352)-1)&amp;" CH Equity","PE_RATIO",Database!$H352,Database!$H352),""))</f>
        <v/>
      </c>
      <c r="R352" s="24">
        <f>IF(Database!BK352="","",IFERROR(BDH("HSAHP Index","PX_LAST",Database!$H352,Database!$H352),""))</f>
        <v/>
      </c>
      <c r="S352" s="24">
        <f>IFERROR(BDP(Database!$A352&amp;" HK Equity","PX_TO_SALES_RATIO"),"")</f>
        <v/>
      </c>
      <c r="T352" s="18">
        <f>IF(Database!BK352="","",IFERROR(BDP(LEFT(Database!BK352,FIND(".",Database!BK352)-1)&amp;"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Database!AF353</f>
        <v/>
      </c>
      <c r="J353" s="24">
        <f>IFERROR(BDP(Database!$A353&amp;" HK Equity","PE_RATIO"),"")</f>
        <v/>
      </c>
      <c r="K353" s="10">
        <f>IFERROR(BDP(Database!$A353&amp;" HK Equity","A/H_SHARE_CONVERSION"),"")</f>
        <v/>
      </c>
      <c r="L353" s="16">
        <f>IF(Database!BK353="","(none found)",Database!BK353)</f>
        <v/>
      </c>
      <c r="M353" s="18">
        <f>IFERROR(BDH(Database!$A353&amp;" HK Equity","CUR_MKT_CAP",Database!$H353,Database!$H353),"")</f>
        <v/>
      </c>
      <c r="N353" s="97">
        <f>Database!Q353</f>
        <v/>
      </c>
      <c r="O353" s="24">
        <f>IFERROR(BDH(Database!$A353&amp;" HK Equity","PE_RATIO",Database!$H353,Database!$H353),"")</f>
        <v/>
      </c>
      <c r="P353" s="101">
        <f>IF(Database!BE353="","(n/m or not derivable)",Database!BE353)</f>
        <v/>
      </c>
      <c r="Q353" s="24">
        <f>IF(Database!BK353="","",IFERROR(BDH(LEFT(Database!BK353,FIND(".",Database!BK353)-1)&amp;" CH Equity","PE_RATIO",Database!$H353,Database!$H353),""))</f>
        <v/>
      </c>
      <c r="R353" s="24">
        <f>IF(Database!BK353="","",IFERROR(BDH("HSAHP Index","PX_LAST",Database!$H353,Database!$H353),""))</f>
        <v/>
      </c>
      <c r="S353" s="24">
        <f>IFERROR(BDP(Database!$A353&amp;" HK Equity","PX_TO_SALES_RATIO"),"")</f>
        <v/>
      </c>
      <c r="T353" s="18">
        <f>IF(Database!BK353="","",IFERROR(BDP(LEFT(Database!BK353,FIND(".",Database!BK353)-1)&amp;"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Database!AF354</f>
        <v/>
      </c>
      <c r="J354" s="24">
        <f>IFERROR(BDP(Database!$A354&amp;" HK Equity","PE_RATIO"),"")</f>
        <v/>
      </c>
      <c r="K354" s="10">
        <f>IFERROR(BDP(Database!$A354&amp;" HK Equity","A/H_SHARE_CONVERSION"),"")</f>
        <v/>
      </c>
      <c r="L354" s="16">
        <f>IF(Database!BK354="","(none found)",Database!BK354)</f>
        <v/>
      </c>
      <c r="M354" s="18">
        <f>IFERROR(BDH(Database!$A354&amp;" HK Equity","CUR_MKT_CAP",Database!$H354,Database!$H354),"")</f>
        <v/>
      </c>
      <c r="N354" s="97">
        <f>Database!Q354</f>
        <v/>
      </c>
      <c r="O354" s="24">
        <f>IFERROR(BDH(Database!$A354&amp;" HK Equity","PE_RATIO",Database!$H354,Database!$H354),"")</f>
        <v/>
      </c>
      <c r="P354" s="101">
        <f>IF(Database!BE354="","(n/m or not derivable)",Database!BE354)</f>
        <v/>
      </c>
      <c r="Q354" s="24">
        <f>IF(Database!BK354="","",IFERROR(BDH(LEFT(Database!BK354,FIND(".",Database!BK354)-1)&amp;" CH Equity","PE_RATIO",Database!$H354,Database!$H354),""))</f>
        <v/>
      </c>
      <c r="R354" s="24">
        <f>IF(Database!BK354="","",IFERROR(BDH("HSAHP Index","PX_LAST",Database!$H354,Database!$H354),""))</f>
        <v/>
      </c>
      <c r="S354" s="24">
        <f>IFERROR(BDP(Database!$A354&amp;" HK Equity","PX_TO_SALES_RATIO"),"")</f>
        <v/>
      </c>
      <c r="T354" s="18">
        <f>IF(Database!BK354="","",IFERROR(BDP(LEFT(Database!BK354,FIND(".",Database!BK354)-1)&amp;"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Database!AF355</f>
        <v/>
      </c>
      <c r="J355" s="24">
        <f>IFERROR(BDP(Database!$A355&amp;" HK Equity","PE_RATIO"),"")</f>
        <v/>
      </c>
      <c r="K355" s="10">
        <f>IFERROR(BDP(Database!$A355&amp;" HK Equity","A/H_SHARE_CONVERSION"),"")</f>
        <v/>
      </c>
      <c r="L355" s="16">
        <f>IF(Database!BK355="","(none found)",Database!BK355)</f>
        <v/>
      </c>
      <c r="M355" s="18">
        <f>IFERROR(BDH(Database!$A355&amp;" HK Equity","CUR_MKT_CAP",Database!$H355,Database!$H355),"")</f>
        <v/>
      </c>
      <c r="N355" s="97">
        <f>Database!Q355</f>
        <v/>
      </c>
      <c r="O355" s="24">
        <f>IFERROR(BDH(Database!$A355&amp;" HK Equity","PE_RATIO",Database!$H355,Database!$H355),"")</f>
        <v/>
      </c>
      <c r="P355" s="101">
        <f>IF(Database!BE355="","(n/m or not derivable)",Database!BE355)</f>
        <v/>
      </c>
      <c r="Q355" s="24">
        <f>IF(Database!BK355="","",IFERROR(BDH(LEFT(Database!BK355,FIND(".",Database!BK355)-1)&amp;" CH Equity","PE_RATIO",Database!$H355,Database!$H355),""))</f>
        <v/>
      </c>
      <c r="R355" s="24">
        <f>IF(Database!BK355="","",IFERROR(BDH("HSAHP Index","PX_LAST",Database!$H355,Database!$H355),""))</f>
        <v/>
      </c>
      <c r="S355" s="24">
        <f>IFERROR(BDP(Database!$A355&amp;" HK Equity","PX_TO_SALES_RATIO"),"")</f>
        <v/>
      </c>
      <c r="T355" s="18">
        <f>IF(Database!BK355="","",IFERROR(BDP(LEFT(Database!BK355,FIND(".",Database!BK355)-1)&amp;"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Database!AF356</f>
        <v/>
      </c>
      <c r="J356" s="24">
        <f>IFERROR(BDP(Database!$A356&amp;" HK Equity","PE_RATIO"),"")</f>
        <v/>
      </c>
      <c r="K356" s="10">
        <f>IFERROR(BDP(Database!$A356&amp;" HK Equity","A/H_SHARE_CONVERSION"),"")</f>
        <v/>
      </c>
      <c r="L356" s="16">
        <f>IF(Database!BK356="","(none found)",Database!BK356)</f>
        <v/>
      </c>
      <c r="M356" s="18">
        <f>IFERROR(BDH(Database!$A356&amp;" HK Equity","CUR_MKT_CAP",Database!$H356,Database!$H356),"")</f>
        <v/>
      </c>
      <c r="N356" s="97">
        <f>Database!Q356</f>
        <v/>
      </c>
      <c r="O356" s="24">
        <f>IFERROR(BDH(Database!$A356&amp;" HK Equity","PE_RATIO",Database!$H356,Database!$H356),"")</f>
        <v/>
      </c>
      <c r="P356" s="101">
        <f>IF(Database!BE356="","(n/m or not derivable)",Database!BE356)</f>
        <v/>
      </c>
      <c r="Q356" s="24">
        <f>IF(Database!BK356="","",IFERROR(BDH(LEFT(Database!BK356,FIND(".",Database!BK356)-1)&amp;" CH Equity","PE_RATIO",Database!$H356,Database!$H356),""))</f>
        <v/>
      </c>
      <c r="R356" s="24">
        <f>IF(Database!BK356="","",IFERROR(BDH("HSAHP Index","PX_LAST",Database!$H356,Database!$H356),""))</f>
        <v/>
      </c>
      <c r="S356" s="24">
        <f>IFERROR(BDP(Database!$A356&amp;" HK Equity","PX_TO_SALES_RATIO"),"")</f>
        <v/>
      </c>
      <c r="T356" s="18">
        <f>IF(Database!BK356="","",IFERROR(BDP(LEFT(Database!BK356,FIND(".",Database!BK356)-1)&amp;"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Database!AF357</f>
        <v/>
      </c>
      <c r="J357" s="24">
        <f>IFERROR(BDP(Database!$A357&amp;" HK Equity","PE_RATIO"),"")</f>
        <v/>
      </c>
      <c r="K357" s="10">
        <f>IFERROR(BDP(Database!$A357&amp;" HK Equity","A/H_SHARE_CONVERSION"),"")</f>
        <v/>
      </c>
      <c r="L357" s="16">
        <f>IF(Database!BK357="","(none found)",Database!BK357)</f>
        <v/>
      </c>
      <c r="M357" s="18">
        <f>IFERROR(BDH(Database!$A357&amp;" HK Equity","CUR_MKT_CAP",Database!$H357,Database!$H357),"")</f>
        <v/>
      </c>
      <c r="N357" s="97">
        <f>Database!Q357</f>
        <v/>
      </c>
      <c r="O357" s="24">
        <f>IFERROR(BDH(Database!$A357&amp;" HK Equity","PE_RATIO",Database!$H357,Database!$H357),"")</f>
        <v/>
      </c>
      <c r="P357" s="101">
        <f>IF(Database!BE357="","(n/m or not derivable)",Database!BE357)</f>
        <v/>
      </c>
      <c r="Q357" s="24">
        <f>IF(Database!BK357="","",IFERROR(BDH(LEFT(Database!BK357,FIND(".",Database!BK357)-1)&amp;" CH Equity","PE_RATIO",Database!$H357,Database!$H357),""))</f>
        <v/>
      </c>
      <c r="R357" s="24">
        <f>IF(Database!BK357="","",IFERROR(BDH("HSAHP Index","PX_LAST",Database!$H357,Database!$H357),""))</f>
        <v/>
      </c>
      <c r="S357" s="24">
        <f>IFERROR(BDP(Database!$A357&amp;" HK Equity","PX_TO_SALES_RATIO"),"")</f>
        <v/>
      </c>
      <c r="T357" s="18">
        <f>IF(Database!BK357="","",IFERROR(BDP(LEFT(Database!BK357,FIND(".",Database!BK357)-1)&amp;"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Database!AF358</f>
        <v/>
      </c>
      <c r="J358" s="24">
        <f>IFERROR(BDP(Database!$A358&amp;" HK Equity","PE_RATIO"),"")</f>
        <v/>
      </c>
      <c r="K358" s="10">
        <f>IFERROR(BDP(Database!$A358&amp;" HK Equity","A/H_SHARE_CONVERSION"),"")</f>
        <v/>
      </c>
      <c r="L358" s="16">
        <f>IF(Database!BK358="","(none found)",Database!BK358)</f>
        <v/>
      </c>
      <c r="M358" s="18">
        <f>IFERROR(BDH(Database!$A358&amp;" HK Equity","CUR_MKT_CAP",Database!$H358,Database!$H358),"")</f>
        <v/>
      </c>
      <c r="N358" s="97">
        <f>Database!Q358</f>
        <v/>
      </c>
      <c r="O358" s="24">
        <f>IFERROR(BDH(Database!$A358&amp;" HK Equity","PE_RATIO",Database!$H358,Database!$H358),"")</f>
        <v/>
      </c>
      <c r="P358" s="101">
        <f>IF(Database!BE358="","(n/m or not derivable)",Database!BE358)</f>
        <v/>
      </c>
      <c r="Q358" s="24">
        <f>IF(Database!BK358="","",IFERROR(BDH(LEFT(Database!BK358,FIND(".",Database!BK358)-1)&amp;" CH Equity","PE_RATIO",Database!$H358,Database!$H358),""))</f>
        <v/>
      </c>
      <c r="R358" s="24">
        <f>IF(Database!BK358="","",IFERROR(BDH("HSAHP Index","PX_LAST",Database!$H358,Database!$H358),""))</f>
        <v/>
      </c>
      <c r="S358" s="24">
        <f>IFERROR(BDP(Database!$A358&amp;" HK Equity","PX_TO_SALES_RATIO"),"")</f>
        <v/>
      </c>
      <c r="T358" s="18">
        <f>IF(Database!BK358="","",IFERROR(BDP(LEFT(Database!BK358,FIND(".",Database!BK358)-1)&amp;"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Database!AF359</f>
        <v/>
      </c>
      <c r="J359" s="24">
        <f>IFERROR(BDP(Database!$A359&amp;" HK Equity","PE_RATIO"),"")</f>
        <v/>
      </c>
      <c r="K359" s="10">
        <f>IFERROR(BDP(Database!$A359&amp;" HK Equity","A/H_SHARE_CONVERSION"),"")</f>
        <v/>
      </c>
      <c r="L359" s="16">
        <f>IF(Database!BK359="","(none found)",Database!BK359)</f>
        <v/>
      </c>
      <c r="M359" s="18">
        <f>IFERROR(BDH(Database!$A359&amp;" HK Equity","CUR_MKT_CAP",Database!$H359,Database!$H359),"")</f>
        <v/>
      </c>
      <c r="N359" s="97">
        <f>Database!Q359</f>
        <v/>
      </c>
      <c r="O359" s="24">
        <f>IFERROR(BDH(Database!$A359&amp;" HK Equity","PE_RATIO",Database!$H359,Database!$H359),"")</f>
        <v/>
      </c>
      <c r="P359" s="101">
        <f>IF(Database!BE359="","(n/m or not derivable)",Database!BE359)</f>
        <v/>
      </c>
      <c r="Q359" s="24">
        <f>IF(Database!BK359="","",IFERROR(BDH(LEFT(Database!BK359,FIND(".",Database!BK359)-1)&amp;" CH Equity","PE_RATIO",Database!$H359,Database!$H359),""))</f>
        <v/>
      </c>
      <c r="R359" s="24">
        <f>IF(Database!BK359="","",IFERROR(BDH("HSAHP Index","PX_LAST",Database!$H359,Database!$H359),""))</f>
        <v/>
      </c>
      <c r="S359" s="24">
        <f>IFERROR(BDP(Database!$A359&amp;" HK Equity","PX_TO_SALES_RATIO"),"")</f>
        <v/>
      </c>
      <c r="T359" s="18">
        <f>IF(Database!BK359="","",IFERROR(BDP(LEFT(Database!BK359,FIND(".",Database!BK359)-1)&amp;"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Database!AF360</f>
        <v/>
      </c>
      <c r="J360" s="24">
        <f>IFERROR(BDP(Database!$A360&amp;" HK Equity","PE_RATIO"),"")</f>
        <v/>
      </c>
      <c r="K360" s="10">
        <f>IFERROR(BDP(Database!$A360&amp;" HK Equity","A/H_SHARE_CONVERSION"),"")</f>
        <v/>
      </c>
      <c r="L360" s="16">
        <f>IF(Database!BK360="","(none found)",Database!BK360)</f>
        <v/>
      </c>
      <c r="M360" s="18">
        <f>IFERROR(BDH(Database!$A360&amp;" HK Equity","CUR_MKT_CAP",Database!$H360,Database!$H360),"")</f>
        <v/>
      </c>
      <c r="N360" s="97">
        <f>Database!Q360</f>
        <v/>
      </c>
      <c r="O360" s="24">
        <f>IFERROR(BDH(Database!$A360&amp;" HK Equity","PE_RATIO",Database!$H360,Database!$H360),"")</f>
        <v/>
      </c>
      <c r="P360" s="101">
        <f>IF(Database!BE360="","(n/m or not derivable)",Database!BE360)</f>
        <v/>
      </c>
      <c r="Q360" s="24">
        <f>IF(Database!BK360="","",IFERROR(BDH(LEFT(Database!BK360,FIND(".",Database!BK360)-1)&amp;" CH Equity","PE_RATIO",Database!$H360,Database!$H360),""))</f>
        <v/>
      </c>
      <c r="R360" s="24">
        <f>IF(Database!BK360="","",IFERROR(BDH("HSAHP Index","PX_LAST",Database!$H360,Database!$H360),""))</f>
        <v/>
      </c>
      <c r="S360" s="24">
        <f>IFERROR(BDP(Database!$A360&amp;" HK Equity","PX_TO_SALES_RATIO"),"")</f>
        <v/>
      </c>
      <c r="T360" s="18">
        <f>IF(Database!BK360="","",IFERROR(BDP(LEFT(Database!BK360,FIND(".",Database!BK360)-1)&amp;"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Database!AF361</f>
        <v/>
      </c>
      <c r="J361" s="24">
        <f>IFERROR(BDP(Database!$A361&amp;" HK Equity","PE_RATIO"),"")</f>
        <v/>
      </c>
      <c r="K361" s="10">
        <f>IFERROR(BDP(Database!$A361&amp;" HK Equity","A/H_SHARE_CONVERSION"),"")</f>
        <v/>
      </c>
      <c r="L361" s="16">
        <f>IF(Database!BK361="","(none found)",Database!BK361)</f>
        <v/>
      </c>
      <c r="M361" s="18">
        <f>IFERROR(BDH(Database!$A361&amp;" HK Equity","CUR_MKT_CAP",Database!$H361,Database!$H361),"")</f>
        <v/>
      </c>
      <c r="N361" s="97">
        <f>Database!Q361</f>
        <v/>
      </c>
      <c r="O361" s="24">
        <f>IFERROR(BDH(Database!$A361&amp;" HK Equity","PE_RATIO",Database!$H361,Database!$H361),"")</f>
        <v/>
      </c>
      <c r="P361" s="101">
        <f>IF(Database!BE361="","(n/m or not derivable)",Database!BE361)</f>
        <v/>
      </c>
      <c r="Q361" s="24">
        <f>IF(Database!BK361="","",IFERROR(BDH(LEFT(Database!BK361,FIND(".",Database!BK361)-1)&amp;" CH Equity","PE_RATIO",Database!$H361,Database!$H361),""))</f>
        <v/>
      </c>
      <c r="R361" s="24">
        <f>IF(Database!BK361="","",IFERROR(BDH("HSAHP Index","PX_LAST",Database!$H361,Database!$H361),""))</f>
        <v/>
      </c>
      <c r="S361" s="24">
        <f>IFERROR(BDP(Database!$A361&amp;" HK Equity","PX_TO_SALES_RATIO"),"")</f>
        <v/>
      </c>
      <c r="T361" s="18">
        <f>IF(Database!BK361="","",IFERROR(BDP(LEFT(Database!BK361,FIND(".",Database!BK361)-1)&amp;"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Database!AF362</f>
        <v/>
      </c>
      <c r="J362" s="24">
        <f>IFERROR(BDP(Database!$A362&amp;" HK Equity","PE_RATIO"),"")</f>
        <v/>
      </c>
      <c r="K362" s="10">
        <f>IFERROR(BDP(Database!$A362&amp;" HK Equity","A/H_SHARE_CONVERSION"),"")</f>
        <v/>
      </c>
      <c r="L362" s="16">
        <f>IF(Database!BK362="","(none found)",Database!BK362)</f>
        <v/>
      </c>
      <c r="M362" s="18">
        <f>IFERROR(BDH(Database!$A362&amp;" HK Equity","CUR_MKT_CAP",Database!$H362,Database!$H362),"")</f>
        <v/>
      </c>
      <c r="N362" s="97">
        <f>Database!Q362</f>
        <v/>
      </c>
      <c r="O362" s="24">
        <f>IFERROR(BDH(Database!$A362&amp;" HK Equity","PE_RATIO",Database!$H362,Database!$H362),"")</f>
        <v/>
      </c>
      <c r="P362" s="101">
        <f>IF(Database!BE362="","(n/m or not derivable)",Database!BE362)</f>
        <v/>
      </c>
      <c r="Q362" s="24">
        <f>IF(Database!BK362="","",IFERROR(BDH(LEFT(Database!BK362,FIND(".",Database!BK362)-1)&amp;" CH Equity","PE_RATIO",Database!$H362,Database!$H362),""))</f>
        <v/>
      </c>
      <c r="R362" s="24">
        <f>IF(Database!BK362="","",IFERROR(BDH("HSAHP Index","PX_LAST",Database!$H362,Database!$H362),""))</f>
        <v/>
      </c>
      <c r="S362" s="24">
        <f>IFERROR(BDP(Database!$A362&amp;" HK Equity","PX_TO_SALES_RATIO"),"")</f>
        <v/>
      </c>
      <c r="T362" s="18">
        <f>IF(Database!BK362="","",IFERROR(BDP(LEFT(Database!BK362,FIND(".",Database!BK362)-1)&amp;"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Database!AF363</f>
        <v/>
      </c>
      <c r="J363" s="24">
        <f>IFERROR(BDP(Database!$A363&amp;" HK Equity","PE_RATIO"),"")</f>
        <v/>
      </c>
      <c r="K363" s="10">
        <f>IFERROR(BDP(Database!$A363&amp;" HK Equity","A/H_SHARE_CONVERSION"),"")</f>
        <v/>
      </c>
      <c r="L363" s="16">
        <f>IF(Database!BK363="","(none found)",Database!BK363)</f>
        <v/>
      </c>
      <c r="M363" s="18">
        <f>IFERROR(BDH(Database!$A363&amp;" HK Equity","CUR_MKT_CAP",Database!$H363,Database!$H363),"")</f>
        <v/>
      </c>
      <c r="N363" s="97">
        <f>Database!Q363</f>
        <v/>
      </c>
      <c r="O363" s="24">
        <f>IFERROR(BDH(Database!$A363&amp;" HK Equity","PE_RATIO",Database!$H363,Database!$H363),"")</f>
        <v/>
      </c>
      <c r="P363" s="101">
        <f>IF(Database!BE363="","(n/m or not derivable)",Database!BE363)</f>
        <v/>
      </c>
      <c r="Q363" s="24">
        <f>IF(Database!BK363="","",IFERROR(BDH(LEFT(Database!BK363,FIND(".",Database!BK363)-1)&amp;" CH Equity","PE_RATIO",Database!$H363,Database!$H363),""))</f>
        <v/>
      </c>
      <c r="R363" s="24">
        <f>IF(Database!BK363="","",IFERROR(BDH("HSAHP Index","PX_LAST",Database!$H363,Database!$H363),""))</f>
        <v/>
      </c>
      <c r="S363" s="24">
        <f>IFERROR(BDP(Database!$A363&amp;" HK Equity","PX_TO_SALES_RATIO"),"")</f>
        <v/>
      </c>
      <c r="T363" s="18">
        <f>IF(Database!BK363="","",IFERROR(BDP(LEFT(Database!BK363,FIND(".",Database!BK363)-1)&amp;"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Database!AF364</f>
        <v/>
      </c>
      <c r="J364" s="24">
        <f>IFERROR(BDP(Database!$A364&amp;" HK Equity","PE_RATIO"),"")</f>
        <v/>
      </c>
      <c r="K364" s="10">
        <f>IFERROR(BDP(Database!$A364&amp;" HK Equity","A/H_SHARE_CONVERSION"),"")</f>
        <v/>
      </c>
      <c r="L364" s="16">
        <f>IF(Database!BK364="","(none found)",Database!BK364)</f>
        <v/>
      </c>
      <c r="M364" s="18">
        <f>IFERROR(BDH(Database!$A364&amp;" HK Equity","CUR_MKT_CAP",Database!$H364,Database!$H364),"")</f>
        <v/>
      </c>
      <c r="N364" s="97">
        <f>Database!Q364</f>
        <v/>
      </c>
      <c r="O364" s="24">
        <f>IFERROR(BDH(Database!$A364&amp;" HK Equity","PE_RATIO",Database!$H364,Database!$H364),"")</f>
        <v/>
      </c>
      <c r="P364" s="101">
        <f>IF(Database!BE364="","(n/m or not derivable)",Database!BE364)</f>
        <v/>
      </c>
      <c r="Q364" s="24">
        <f>IF(Database!BK364="","",IFERROR(BDH(LEFT(Database!BK364,FIND(".",Database!BK364)-1)&amp;" CH Equity","PE_RATIO",Database!$H364,Database!$H364),""))</f>
        <v/>
      </c>
      <c r="R364" s="24">
        <f>IF(Database!BK364="","",IFERROR(BDH("HSAHP Index","PX_LAST",Database!$H364,Database!$H364),""))</f>
        <v/>
      </c>
      <c r="S364" s="24">
        <f>IFERROR(BDP(Database!$A364&amp;" HK Equity","PX_TO_SALES_RATIO"),"")</f>
        <v/>
      </c>
      <c r="T364" s="18">
        <f>IF(Database!BK364="","",IFERROR(BDP(LEFT(Database!BK364,FIND(".",Database!BK364)-1)&amp;"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Database!AF365</f>
        <v/>
      </c>
      <c r="J365" s="24">
        <f>IFERROR(BDP(Database!$A365&amp;" HK Equity","PE_RATIO"),"")</f>
        <v/>
      </c>
      <c r="K365" s="10">
        <f>IFERROR(BDP(Database!$A365&amp;" HK Equity","A/H_SHARE_CONVERSION"),"")</f>
        <v/>
      </c>
      <c r="L365" s="16">
        <f>IF(Database!BK365="","(none found)",Database!BK365)</f>
        <v/>
      </c>
      <c r="M365" s="18">
        <f>IFERROR(BDH(Database!$A365&amp;" HK Equity","CUR_MKT_CAP",Database!$H365,Database!$H365),"")</f>
        <v/>
      </c>
      <c r="N365" s="97">
        <f>Database!Q365</f>
        <v/>
      </c>
      <c r="O365" s="24">
        <f>IFERROR(BDH(Database!$A365&amp;" HK Equity","PE_RATIO",Database!$H365,Database!$H365),"")</f>
        <v/>
      </c>
      <c r="P365" s="101">
        <f>IF(Database!BE365="","(n/m or not derivable)",Database!BE365)</f>
        <v/>
      </c>
      <c r="Q365" s="24">
        <f>IF(Database!BK365="","",IFERROR(BDH(LEFT(Database!BK365,FIND(".",Database!BK365)-1)&amp;" CH Equity","PE_RATIO",Database!$H365,Database!$H365),""))</f>
        <v/>
      </c>
      <c r="R365" s="24">
        <f>IF(Database!BK365="","",IFERROR(BDH("HSAHP Index","PX_LAST",Database!$H365,Database!$H365),""))</f>
        <v/>
      </c>
      <c r="S365" s="24">
        <f>IFERROR(BDP(Database!$A365&amp;" HK Equity","PX_TO_SALES_RATIO"),"")</f>
        <v/>
      </c>
      <c r="T365" s="18">
        <f>IF(Database!BK365="","",IFERROR(BDP(LEFT(Database!BK365,FIND(".",Database!BK365)-1)&amp;"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Database!AF366</f>
        <v/>
      </c>
      <c r="J366" s="24">
        <f>IFERROR(BDP(Database!$A366&amp;" HK Equity","PE_RATIO"),"")</f>
        <v/>
      </c>
      <c r="K366" s="10">
        <f>IFERROR(BDP(Database!$A366&amp;" HK Equity","A/H_SHARE_CONVERSION"),"")</f>
        <v/>
      </c>
      <c r="L366" s="16">
        <f>IF(Database!BK366="","(none found)",Database!BK366)</f>
        <v/>
      </c>
      <c r="M366" s="18">
        <f>IFERROR(BDH(Database!$A366&amp;" HK Equity","CUR_MKT_CAP",Database!$H366,Database!$H366),"")</f>
        <v/>
      </c>
      <c r="N366" s="97">
        <f>Database!Q366</f>
        <v/>
      </c>
      <c r="O366" s="24">
        <f>IFERROR(BDH(Database!$A366&amp;" HK Equity","PE_RATIO",Database!$H366,Database!$H366),"")</f>
        <v/>
      </c>
      <c r="P366" s="101">
        <f>IF(Database!BE366="","(n/m or not derivable)",Database!BE366)</f>
        <v/>
      </c>
      <c r="Q366" s="24">
        <f>IF(Database!BK366="","",IFERROR(BDH(LEFT(Database!BK366,FIND(".",Database!BK366)-1)&amp;" CH Equity","PE_RATIO",Database!$H366,Database!$H366),""))</f>
        <v/>
      </c>
      <c r="R366" s="24">
        <f>IF(Database!BK366="","",IFERROR(BDH("HSAHP Index","PX_LAST",Database!$H366,Database!$H366),""))</f>
        <v/>
      </c>
      <c r="S366" s="24">
        <f>IFERROR(BDP(Database!$A366&amp;" HK Equity","PX_TO_SALES_RATIO"),"")</f>
        <v/>
      </c>
      <c r="T366" s="18">
        <f>IF(Database!BK366="","",IFERROR(BDP(LEFT(Database!BK366,FIND(".",Database!BK366)-1)&amp;"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Database!AF367</f>
        <v/>
      </c>
      <c r="J367" s="24">
        <f>IFERROR(BDP(Database!$A367&amp;" HK Equity","PE_RATIO"),"")</f>
        <v/>
      </c>
      <c r="K367" s="10">
        <f>IFERROR(BDP(Database!$A367&amp;" HK Equity","A/H_SHARE_CONVERSION"),"")</f>
        <v/>
      </c>
      <c r="L367" s="16">
        <f>IF(Database!BK367="","(none found)",Database!BK367)</f>
        <v/>
      </c>
      <c r="M367" s="18">
        <f>IFERROR(BDH(Database!$A367&amp;" HK Equity","CUR_MKT_CAP",Database!$H367,Database!$H367),"")</f>
        <v/>
      </c>
      <c r="N367" s="97">
        <f>Database!Q367</f>
        <v/>
      </c>
      <c r="O367" s="24">
        <f>IFERROR(BDH(Database!$A367&amp;" HK Equity","PE_RATIO",Database!$H367,Database!$H367),"")</f>
        <v/>
      </c>
      <c r="P367" s="101">
        <f>IF(Database!BE367="","(n/m or not derivable)",Database!BE367)</f>
        <v/>
      </c>
      <c r="Q367" s="24">
        <f>IF(Database!BK367="","",IFERROR(BDH(LEFT(Database!BK367,FIND(".",Database!BK367)-1)&amp;" CH Equity","PE_RATIO",Database!$H367,Database!$H367),""))</f>
        <v/>
      </c>
      <c r="R367" s="24">
        <f>IF(Database!BK367="","",IFERROR(BDH("HSAHP Index","PX_LAST",Database!$H367,Database!$H367),""))</f>
        <v/>
      </c>
      <c r="S367" s="24">
        <f>IFERROR(BDP(Database!$A367&amp;" HK Equity","PX_TO_SALES_RATIO"),"")</f>
        <v/>
      </c>
      <c r="T367" s="18">
        <f>IF(Database!BK367="","",IFERROR(BDP(LEFT(Database!BK367,FIND(".",Database!BK367)-1)&amp;"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Database!AF368</f>
        <v/>
      </c>
      <c r="J368" s="24">
        <f>IFERROR(BDP(Database!$A368&amp;" HK Equity","PE_RATIO"),"")</f>
        <v/>
      </c>
      <c r="K368" s="10">
        <f>IFERROR(BDP(Database!$A368&amp;" HK Equity","A/H_SHARE_CONVERSION"),"")</f>
        <v/>
      </c>
      <c r="L368" s="16">
        <f>IF(Database!BK368="","(none found)",Database!BK368)</f>
        <v/>
      </c>
      <c r="M368" s="18">
        <f>IFERROR(BDH(Database!$A368&amp;" HK Equity","CUR_MKT_CAP",Database!$H368,Database!$H368),"")</f>
        <v/>
      </c>
      <c r="N368" s="97">
        <f>Database!Q368</f>
        <v/>
      </c>
      <c r="O368" s="24">
        <f>IFERROR(BDH(Database!$A368&amp;" HK Equity","PE_RATIO",Database!$H368,Database!$H368),"")</f>
        <v/>
      </c>
      <c r="P368" s="101">
        <f>IF(Database!BE368="","(n/m or not derivable)",Database!BE368)</f>
        <v/>
      </c>
      <c r="Q368" s="24">
        <f>IF(Database!BK368="","",IFERROR(BDH(LEFT(Database!BK368,FIND(".",Database!BK368)-1)&amp;" CH Equity","PE_RATIO",Database!$H368,Database!$H368),""))</f>
        <v/>
      </c>
      <c r="R368" s="24">
        <f>IF(Database!BK368="","",IFERROR(BDH("HSAHP Index","PX_LAST",Database!$H368,Database!$H368),""))</f>
        <v/>
      </c>
      <c r="S368" s="24">
        <f>IFERROR(BDP(Database!$A368&amp;" HK Equity","PX_TO_SALES_RATIO"),"")</f>
        <v/>
      </c>
      <c r="T368" s="18">
        <f>IF(Database!BK368="","",IFERROR(BDP(LEFT(Database!BK368,FIND(".",Database!BK368)-1)&amp;"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Database!AF369</f>
        <v/>
      </c>
      <c r="J369" s="24">
        <f>IFERROR(BDP(Database!$A369&amp;" HK Equity","PE_RATIO"),"")</f>
        <v/>
      </c>
      <c r="K369" s="10">
        <f>IFERROR(BDP(Database!$A369&amp;" HK Equity","A/H_SHARE_CONVERSION"),"")</f>
        <v/>
      </c>
      <c r="L369" s="16">
        <f>IF(Database!BK369="","(none found)",Database!BK369)</f>
        <v/>
      </c>
      <c r="M369" s="18">
        <f>IFERROR(BDH(Database!$A369&amp;" HK Equity","CUR_MKT_CAP",Database!$H369,Database!$H369),"")</f>
        <v/>
      </c>
      <c r="N369" s="97">
        <f>Database!Q369</f>
        <v/>
      </c>
      <c r="O369" s="24">
        <f>IFERROR(BDH(Database!$A369&amp;" HK Equity","PE_RATIO",Database!$H369,Database!$H369),"")</f>
        <v/>
      </c>
      <c r="P369" s="101">
        <f>IF(Database!BE369="","(n/m or not derivable)",Database!BE369)</f>
        <v/>
      </c>
      <c r="Q369" s="24">
        <f>IF(Database!BK369="","",IFERROR(BDH(LEFT(Database!BK369,FIND(".",Database!BK369)-1)&amp;" CH Equity","PE_RATIO",Database!$H369,Database!$H369),""))</f>
        <v/>
      </c>
      <c r="R369" s="24">
        <f>IF(Database!BK369="","",IFERROR(BDH("HSAHP Index","PX_LAST",Database!$H369,Database!$H369),""))</f>
        <v/>
      </c>
      <c r="S369" s="24">
        <f>IFERROR(BDP(Database!$A369&amp;" HK Equity","PX_TO_SALES_RATIO"),"")</f>
        <v/>
      </c>
      <c r="T369" s="18">
        <f>IF(Database!BK369="","",IFERROR(BDP(LEFT(Database!BK369,FIND(".",Database!BK369)-1)&amp;"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Database!AF370</f>
        <v/>
      </c>
      <c r="J370" s="24">
        <f>IFERROR(BDP(Database!$A370&amp;" HK Equity","PE_RATIO"),"")</f>
        <v/>
      </c>
      <c r="K370" s="10">
        <f>IFERROR(BDP(Database!$A370&amp;" HK Equity","A/H_SHARE_CONVERSION"),"")</f>
        <v/>
      </c>
      <c r="L370" s="16">
        <f>IF(Database!BK370="","(none found)",Database!BK370)</f>
        <v/>
      </c>
      <c r="M370" s="18">
        <f>IFERROR(BDH(Database!$A370&amp;" HK Equity","CUR_MKT_CAP",Database!$H370,Database!$H370),"")</f>
        <v/>
      </c>
      <c r="N370" s="97">
        <f>Database!Q370</f>
        <v/>
      </c>
      <c r="O370" s="24">
        <f>IFERROR(BDH(Database!$A370&amp;" HK Equity","PE_RATIO",Database!$H370,Database!$H370),"")</f>
        <v/>
      </c>
      <c r="P370" s="101">
        <f>IF(Database!BE370="","(n/m or not derivable)",Database!BE370)</f>
        <v/>
      </c>
      <c r="Q370" s="24">
        <f>IF(Database!BK370="","",IFERROR(BDH(LEFT(Database!BK370,FIND(".",Database!BK370)-1)&amp;" CH Equity","PE_RATIO",Database!$H370,Database!$H370),""))</f>
        <v/>
      </c>
      <c r="R370" s="24">
        <f>IF(Database!BK370="","",IFERROR(BDH("HSAHP Index","PX_LAST",Database!$H370,Database!$H370),""))</f>
        <v/>
      </c>
      <c r="S370" s="24">
        <f>IFERROR(BDP(Database!$A370&amp;" HK Equity","PX_TO_SALES_RATIO"),"")</f>
        <v/>
      </c>
      <c r="T370" s="18">
        <f>IF(Database!BK370="","",IFERROR(BDP(LEFT(Database!BK370,FIND(".",Database!BK370)-1)&amp;"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Database!AF371</f>
        <v/>
      </c>
      <c r="J371" s="24">
        <f>IFERROR(BDP(Database!$A371&amp;" HK Equity","PE_RATIO"),"")</f>
        <v/>
      </c>
      <c r="K371" s="10">
        <f>IFERROR(BDP(Database!$A371&amp;" HK Equity","A/H_SHARE_CONVERSION"),"")</f>
        <v/>
      </c>
      <c r="L371" s="16">
        <f>IF(Database!BK371="","(none found)",Database!BK371)</f>
        <v/>
      </c>
      <c r="M371" s="18">
        <f>IFERROR(BDH(Database!$A371&amp;" HK Equity","CUR_MKT_CAP",Database!$H371,Database!$H371),"")</f>
        <v/>
      </c>
      <c r="N371" s="97">
        <f>Database!Q371</f>
        <v/>
      </c>
      <c r="O371" s="24">
        <f>IFERROR(BDH(Database!$A371&amp;" HK Equity","PE_RATIO",Database!$H371,Database!$H371),"")</f>
        <v/>
      </c>
      <c r="P371" s="101">
        <f>IF(Database!BE371="","(n/m or not derivable)",Database!BE371)</f>
        <v/>
      </c>
      <c r="Q371" s="24">
        <f>IF(Database!BK371="","",IFERROR(BDH(LEFT(Database!BK371,FIND(".",Database!BK371)-1)&amp;" CH Equity","PE_RATIO",Database!$H371,Database!$H371),""))</f>
        <v/>
      </c>
      <c r="R371" s="24">
        <f>IF(Database!BK371="","",IFERROR(BDH("HSAHP Index","PX_LAST",Database!$H371,Database!$H371),""))</f>
        <v/>
      </c>
      <c r="S371" s="24">
        <f>IFERROR(BDP(Database!$A371&amp;" HK Equity","PX_TO_SALES_RATIO"),"")</f>
        <v/>
      </c>
      <c r="T371" s="18">
        <f>IF(Database!BK371="","",IFERROR(BDP(LEFT(Database!BK371,FIND(".",Database!BK371)-1)&amp;"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Database!AF372</f>
        <v/>
      </c>
      <c r="J372" s="24">
        <f>IFERROR(BDP(Database!$A372&amp;" HK Equity","PE_RATIO"),"")</f>
        <v/>
      </c>
      <c r="K372" s="10">
        <f>IFERROR(BDP(Database!$A372&amp;" HK Equity","A/H_SHARE_CONVERSION"),"")</f>
        <v/>
      </c>
      <c r="L372" s="16">
        <f>IF(Database!BK372="","(none found)",Database!BK372)</f>
        <v/>
      </c>
      <c r="M372" s="18">
        <f>IFERROR(BDH(Database!$A372&amp;" HK Equity","CUR_MKT_CAP",Database!$H372,Database!$H372),"")</f>
        <v/>
      </c>
      <c r="N372" s="97">
        <f>Database!Q372</f>
        <v/>
      </c>
      <c r="O372" s="24">
        <f>IFERROR(BDH(Database!$A372&amp;" HK Equity","PE_RATIO",Database!$H372,Database!$H372),"")</f>
        <v/>
      </c>
      <c r="P372" s="101">
        <f>IF(Database!BE372="","(n/m or not derivable)",Database!BE372)</f>
        <v/>
      </c>
      <c r="Q372" s="24">
        <f>IF(Database!BK372="","",IFERROR(BDH(LEFT(Database!BK372,FIND(".",Database!BK372)-1)&amp;" CH Equity","PE_RATIO",Database!$H372,Database!$H372),""))</f>
        <v/>
      </c>
      <c r="R372" s="24">
        <f>IF(Database!BK372="","",IFERROR(BDH("HSAHP Index","PX_LAST",Database!$H372,Database!$H372),""))</f>
        <v/>
      </c>
      <c r="S372" s="24">
        <f>IFERROR(BDP(Database!$A372&amp;" HK Equity","PX_TO_SALES_RATIO"),"")</f>
        <v/>
      </c>
      <c r="T372" s="18">
        <f>IF(Database!BK372="","",IFERROR(BDP(LEFT(Database!BK372,FIND(".",Database!BK372)-1)&amp;"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Database!AF373</f>
        <v/>
      </c>
      <c r="J373" s="24">
        <f>IFERROR(BDP(Database!$A373&amp;" HK Equity","PE_RATIO"),"")</f>
        <v/>
      </c>
      <c r="K373" s="10">
        <f>IFERROR(BDP(Database!$A373&amp;" HK Equity","A/H_SHARE_CONVERSION"),"")</f>
        <v/>
      </c>
      <c r="L373" s="16">
        <f>IF(Database!BK373="","(none found)",Database!BK373)</f>
        <v/>
      </c>
      <c r="M373" s="18">
        <f>IFERROR(BDH(Database!$A373&amp;" HK Equity","CUR_MKT_CAP",Database!$H373,Database!$H373),"")</f>
        <v/>
      </c>
      <c r="N373" s="97">
        <f>Database!Q373</f>
        <v/>
      </c>
      <c r="O373" s="24">
        <f>IFERROR(BDH(Database!$A373&amp;" HK Equity","PE_RATIO",Database!$H373,Database!$H373),"")</f>
        <v/>
      </c>
      <c r="P373" s="101">
        <f>IF(Database!BE373="","(n/m or not derivable)",Database!BE373)</f>
        <v/>
      </c>
      <c r="Q373" s="24">
        <f>IF(Database!BK373="","",IFERROR(BDH(LEFT(Database!BK373,FIND(".",Database!BK373)-1)&amp;" CH Equity","PE_RATIO",Database!$H373,Database!$H373),""))</f>
        <v/>
      </c>
      <c r="R373" s="24">
        <f>IF(Database!BK373="","",IFERROR(BDH("HSAHP Index","PX_LAST",Database!$H373,Database!$H373),""))</f>
        <v/>
      </c>
      <c r="S373" s="24">
        <f>IFERROR(BDP(Database!$A373&amp;" HK Equity","PX_TO_SALES_RATIO"),"")</f>
        <v/>
      </c>
      <c r="T373" s="18">
        <f>IF(Database!BK373="","",IFERROR(BDP(LEFT(Database!BK373,FIND(".",Database!BK373)-1)&amp;"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Database!AF374</f>
        <v/>
      </c>
      <c r="J374" s="24">
        <f>IFERROR(BDP(Database!$A374&amp;" HK Equity","PE_RATIO"),"")</f>
        <v/>
      </c>
      <c r="K374" s="10">
        <f>IFERROR(BDP(Database!$A374&amp;" HK Equity","A/H_SHARE_CONVERSION"),"")</f>
        <v/>
      </c>
      <c r="L374" s="16">
        <f>IF(Database!BK374="","(none found)",Database!BK374)</f>
        <v/>
      </c>
      <c r="M374" s="18">
        <f>IFERROR(BDH(Database!$A374&amp;" HK Equity","CUR_MKT_CAP",Database!$H374,Database!$H374),"")</f>
        <v/>
      </c>
      <c r="N374" s="97">
        <f>Database!Q374</f>
        <v/>
      </c>
      <c r="O374" s="24">
        <f>IFERROR(BDH(Database!$A374&amp;" HK Equity","PE_RATIO",Database!$H374,Database!$H374),"")</f>
        <v/>
      </c>
      <c r="P374" s="101">
        <f>IF(Database!BE374="","(n/m or not derivable)",Database!BE374)</f>
        <v/>
      </c>
      <c r="Q374" s="24">
        <f>IF(Database!BK374="","",IFERROR(BDH(LEFT(Database!BK374,FIND(".",Database!BK374)-1)&amp;" CH Equity","PE_RATIO",Database!$H374,Database!$H374),""))</f>
        <v/>
      </c>
      <c r="R374" s="24">
        <f>IF(Database!BK374="","",IFERROR(BDH("HSAHP Index","PX_LAST",Database!$H374,Database!$H374),""))</f>
        <v/>
      </c>
      <c r="S374" s="24">
        <f>IFERROR(BDP(Database!$A374&amp;" HK Equity","PX_TO_SALES_RATIO"),"")</f>
        <v/>
      </c>
      <c r="T374" s="18">
        <f>IF(Database!BK374="","",IFERROR(BDP(LEFT(Database!BK374,FIND(".",Database!BK374)-1)&amp;"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Database!AF375</f>
        <v/>
      </c>
      <c r="J375" s="24">
        <f>IFERROR(BDP(Database!$A375&amp;" HK Equity","PE_RATIO"),"")</f>
        <v/>
      </c>
      <c r="K375" s="10">
        <f>IFERROR(BDP(Database!$A375&amp;" HK Equity","A/H_SHARE_CONVERSION"),"")</f>
        <v/>
      </c>
      <c r="L375" s="16">
        <f>IF(Database!BK375="","(none found)",Database!BK375)</f>
        <v/>
      </c>
      <c r="M375" s="18">
        <f>IFERROR(BDH(Database!$A375&amp;" HK Equity","CUR_MKT_CAP",Database!$H375,Database!$H375),"")</f>
        <v/>
      </c>
      <c r="N375" s="97">
        <f>Database!Q375</f>
        <v/>
      </c>
      <c r="O375" s="24">
        <f>IFERROR(BDH(Database!$A375&amp;" HK Equity","PE_RATIO",Database!$H375,Database!$H375),"")</f>
        <v/>
      </c>
      <c r="P375" s="101">
        <f>IF(Database!BE375="","(n/m or not derivable)",Database!BE375)</f>
        <v/>
      </c>
      <c r="Q375" s="24">
        <f>IF(Database!BK375="","",IFERROR(BDH(LEFT(Database!BK375,FIND(".",Database!BK375)-1)&amp;" CH Equity","PE_RATIO",Database!$H375,Database!$H375),""))</f>
        <v/>
      </c>
      <c r="R375" s="24">
        <f>IF(Database!BK375="","",IFERROR(BDH("HSAHP Index","PX_LAST",Database!$H375,Database!$H375),""))</f>
        <v/>
      </c>
      <c r="S375" s="24">
        <f>IFERROR(BDP(Database!$A375&amp;" HK Equity","PX_TO_SALES_RATIO"),"")</f>
        <v/>
      </c>
      <c r="T375" s="18">
        <f>IF(Database!BK375="","",IFERROR(BDP(LEFT(Database!BK375,FIND(".",Database!BK375)-1)&amp;"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Database!AF376</f>
        <v/>
      </c>
      <c r="J376" s="24">
        <f>IFERROR(BDP(Database!$A376&amp;" HK Equity","PE_RATIO"),"")</f>
        <v/>
      </c>
      <c r="K376" s="10">
        <f>IFERROR(BDP(Database!$A376&amp;" HK Equity","A/H_SHARE_CONVERSION"),"")</f>
        <v/>
      </c>
      <c r="L376" s="16">
        <f>IF(Database!BK376="","(none found)",Database!BK376)</f>
        <v/>
      </c>
      <c r="M376" s="18">
        <f>IFERROR(BDH(Database!$A376&amp;" HK Equity","CUR_MKT_CAP",Database!$H376,Database!$H376),"")</f>
        <v/>
      </c>
      <c r="N376" s="97">
        <f>Database!Q376</f>
        <v/>
      </c>
      <c r="O376" s="24">
        <f>IFERROR(BDH(Database!$A376&amp;" HK Equity","PE_RATIO",Database!$H376,Database!$H376),"")</f>
        <v/>
      </c>
      <c r="P376" s="101">
        <f>IF(Database!BE376="","(n/m or not derivable)",Database!BE376)</f>
        <v/>
      </c>
      <c r="Q376" s="24">
        <f>IF(Database!BK376="","",IFERROR(BDH(LEFT(Database!BK376,FIND(".",Database!BK376)-1)&amp;" CH Equity","PE_RATIO",Database!$H376,Database!$H376),""))</f>
        <v/>
      </c>
      <c r="R376" s="24">
        <f>IF(Database!BK376="","",IFERROR(BDH("HSAHP Index","PX_LAST",Database!$H376,Database!$H376),""))</f>
        <v/>
      </c>
      <c r="S376" s="24">
        <f>IFERROR(BDP(Database!$A376&amp;" HK Equity","PX_TO_SALES_RATIO"),"")</f>
        <v/>
      </c>
      <c r="T376" s="18">
        <f>IF(Database!BK376="","",IFERROR(BDP(LEFT(Database!BK376,FIND(".",Database!BK376)-1)&amp;"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Database!AF377</f>
        <v/>
      </c>
      <c r="J377" s="24">
        <f>IFERROR(BDP(Database!$A377&amp;" HK Equity","PE_RATIO"),"")</f>
        <v/>
      </c>
      <c r="K377" s="10">
        <f>IFERROR(BDP(Database!$A377&amp;" HK Equity","A/H_SHARE_CONVERSION"),"")</f>
        <v/>
      </c>
      <c r="L377" s="16">
        <f>IF(Database!BK377="","(none found)",Database!BK377)</f>
        <v/>
      </c>
      <c r="M377" s="18">
        <f>IFERROR(BDH(Database!$A377&amp;" HK Equity","CUR_MKT_CAP",Database!$H377,Database!$H377),"")</f>
        <v/>
      </c>
      <c r="N377" s="97">
        <f>Database!Q377</f>
        <v/>
      </c>
      <c r="O377" s="24">
        <f>IFERROR(BDH(Database!$A377&amp;" HK Equity","PE_RATIO",Database!$H377,Database!$H377),"")</f>
        <v/>
      </c>
      <c r="P377" s="101">
        <f>IF(Database!BE377="","(n/m or not derivable)",Database!BE377)</f>
        <v/>
      </c>
      <c r="Q377" s="24">
        <f>IF(Database!BK377="","",IFERROR(BDH(LEFT(Database!BK377,FIND(".",Database!BK377)-1)&amp;" CH Equity","PE_RATIO",Database!$H377,Database!$H377),""))</f>
        <v/>
      </c>
      <c r="R377" s="24">
        <f>IF(Database!BK377="","",IFERROR(BDH("HSAHP Index","PX_LAST",Database!$H377,Database!$H377),""))</f>
        <v/>
      </c>
      <c r="S377" s="24">
        <f>IFERROR(BDP(Database!$A377&amp;" HK Equity","PX_TO_SALES_RATIO"),"")</f>
        <v/>
      </c>
      <c r="T377" s="18">
        <f>IF(Database!BK377="","",IFERROR(BDP(LEFT(Database!BK377,FIND(".",Database!BK377)-1)&amp;"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Database!AF378</f>
        <v/>
      </c>
      <c r="J378" s="24">
        <f>IFERROR(BDP(Database!$A378&amp;" HK Equity","PE_RATIO"),"")</f>
        <v/>
      </c>
      <c r="K378" s="10">
        <f>IFERROR(BDP(Database!$A378&amp;" HK Equity","A/H_SHARE_CONVERSION"),"")</f>
        <v/>
      </c>
      <c r="L378" s="16">
        <f>IF(Database!BK378="","(none found)",Database!BK378)</f>
        <v/>
      </c>
      <c r="M378" s="18">
        <f>IFERROR(BDH(Database!$A378&amp;" HK Equity","CUR_MKT_CAP",Database!$H378,Database!$H378),"")</f>
        <v/>
      </c>
      <c r="N378" s="97">
        <f>Database!Q378</f>
        <v/>
      </c>
      <c r="O378" s="24">
        <f>IFERROR(BDH(Database!$A378&amp;" HK Equity","PE_RATIO",Database!$H378,Database!$H378),"")</f>
        <v/>
      </c>
      <c r="P378" s="101">
        <f>IF(Database!BE378="","(n/m or not derivable)",Database!BE378)</f>
        <v/>
      </c>
      <c r="Q378" s="24">
        <f>IF(Database!BK378="","",IFERROR(BDH(LEFT(Database!BK378,FIND(".",Database!BK378)-1)&amp;" CH Equity","PE_RATIO",Database!$H378,Database!$H378),""))</f>
        <v/>
      </c>
      <c r="R378" s="24">
        <f>IF(Database!BK378="","",IFERROR(BDH("HSAHP Index","PX_LAST",Database!$H378,Database!$H378),""))</f>
        <v/>
      </c>
      <c r="S378" s="24">
        <f>IFERROR(BDP(Database!$A378&amp;" HK Equity","PX_TO_SALES_RATIO"),"")</f>
        <v/>
      </c>
      <c r="T378" s="18">
        <f>IF(Database!BK378="","",IFERROR(BDP(LEFT(Database!BK378,FIND(".",Database!BK378)-1)&amp;"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Database!AF379</f>
        <v/>
      </c>
      <c r="J379" s="24">
        <f>IFERROR(BDP(Database!$A379&amp;" HK Equity","PE_RATIO"),"")</f>
        <v/>
      </c>
      <c r="K379" s="10">
        <f>IFERROR(BDP(Database!$A379&amp;" HK Equity","A/H_SHARE_CONVERSION"),"")</f>
        <v/>
      </c>
      <c r="L379" s="16">
        <f>IF(Database!BK379="","(none found)",Database!BK379)</f>
        <v/>
      </c>
      <c r="M379" s="18">
        <f>IFERROR(BDH(Database!$A379&amp;" HK Equity","CUR_MKT_CAP",Database!$H379,Database!$H379),"")</f>
        <v/>
      </c>
      <c r="N379" s="97">
        <f>Database!Q379</f>
        <v/>
      </c>
      <c r="O379" s="24">
        <f>IFERROR(BDH(Database!$A379&amp;" HK Equity","PE_RATIO",Database!$H379,Database!$H379),"")</f>
        <v/>
      </c>
      <c r="P379" s="101">
        <f>IF(Database!BE379="","(n/m or not derivable)",Database!BE379)</f>
        <v/>
      </c>
      <c r="Q379" s="24">
        <f>IF(Database!BK379="","",IFERROR(BDH(LEFT(Database!BK379,FIND(".",Database!BK379)-1)&amp;" CH Equity","PE_RATIO",Database!$H379,Database!$H379),""))</f>
        <v/>
      </c>
      <c r="R379" s="24">
        <f>IF(Database!BK379="","",IFERROR(BDH("HSAHP Index","PX_LAST",Database!$H379,Database!$H379),""))</f>
        <v/>
      </c>
      <c r="S379" s="24">
        <f>IFERROR(BDP(Database!$A379&amp;" HK Equity","PX_TO_SALES_RATIO"),"")</f>
        <v/>
      </c>
      <c r="T379" s="18">
        <f>IF(Database!BK379="","",IFERROR(BDP(LEFT(Database!BK379,FIND(".",Database!BK379)-1)&amp;"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Database!AF380</f>
        <v/>
      </c>
      <c r="J380" s="24">
        <f>IFERROR(BDP(Database!$A380&amp;" HK Equity","PE_RATIO"),"")</f>
        <v/>
      </c>
      <c r="K380" s="10">
        <f>IFERROR(BDP(Database!$A380&amp;" HK Equity","A/H_SHARE_CONVERSION"),"")</f>
        <v/>
      </c>
      <c r="L380" s="16">
        <f>IF(Database!BK380="","(none found)",Database!BK380)</f>
        <v/>
      </c>
      <c r="M380" s="18">
        <f>IFERROR(BDH(Database!$A380&amp;" HK Equity","CUR_MKT_CAP",Database!$H380,Database!$H380),"")</f>
        <v/>
      </c>
      <c r="N380" s="97">
        <f>Database!Q380</f>
        <v/>
      </c>
      <c r="O380" s="24">
        <f>IFERROR(BDH(Database!$A380&amp;" HK Equity","PE_RATIO",Database!$H380,Database!$H380),"")</f>
        <v/>
      </c>
      <c r="P380" s="101">
        <f>IF(Database!BE380="","(n/m or not derivable)",Database!BE380)</f>
        <v/>
      </c>
      <c r="Q380" s="24">
        <f>IF(Database!BK380="","",IFERROR(BDH(LEFT(Database!BK380,FIND(".",Database!BK380)-1)&amp;" CH Equity","PE_RATIO",Database!$H380,Database!$H380),""))</f>
        <v/>
      </c>
      <c r="R380" s="24">
        <f>IF(Database!BK380="","",IFERROR(BDH("HSAHP Index","PX_LAST",Database!$H380,Database!$H380),""))</f>
        <v/>
      </c>
      <c r="S380" s="24">
        <f>IFERROR(BDP(Database!$A380&amp;" HK Equity","PX_TO_SALES_RATIO"),"")</f>
        <v/>
      </c>
      <c r="T380" s="18">
        <f>IF(Database!BK380="","",IFERROR(BDP(LEFT(Database!BK380,FIND(".",Database!BK380)-1)&amp;"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Database!AF381</f>
        <v/>
      </c>
      <c r="J381" s="24">
        <f>IFERROR(BDP(Database!$A381&amp;" HK Equity","PE_RATIO"),"")</f>
        <v/>
      </c>
      <c r="K381" s="10">
        <f>IFERROR(BDP(Database!$A381&amp;" HK Equity","A/H_SHARE_CONVERSION"),"")</f>
        <v/>
      </c>
      <c r="L381" s="16">
        <f>IF(Database!BK381="","(none found)",Database!BK381)</f>
        <v/>
      </c>
      <c r="M381" s="18">
        <f>IFERROR(BDH(Database!$A381&amp;" HK Equity","CUR_MKT_CAP",Database!$H381,Database!$H381),"")</f>
        <v/>
      </c>
      <c r="N381" s="97">
        <f>Database!Q381</f>
        <v/>
      </c>
      <c r="O381" s="24">
        <f>IFERROR(BDH(Database!$A381&amp;" HK Equity","PE_RATIO",Database!$H381,Database!$H381),"")</f>
        <v/>
      </c>
      <c r="P381" s="101">
        <f>IF(Database!BE381="","(n/m or not derivable)",Database!BE381)</f>
        <v/>
      </c>
      <c r="Q381" s="24">
        <f>IF(Database!BK381="","",IFERROR(BDH(LEFT(Database!BK381,FIND(".",Database!BK381)-1)&amp;" CH Equity","PE_RATIO",Database!$H381,Database!$H381),""))</f>
        <v/>
      </c>
      <c r="R381" s="24">
        <f>IF(Database!BK381="","",IFERROR(BDH("HSAHP Index","PX_LAST",Database!$H381,Database!$H381),""))</f>
        <v/>
      </c>
      <c r="S381" s="24">
        <f>IFERROR(BDP(Database!$A381&amp;" HK Equity","PX_TO_SALES_RATIO"),"")</f>
        <v/>
      </c>
      <c r="T381" s="18">
        <f>IF(Database!BK381="","",IFERROR(BDP(LEFT(Database!BK381,FIND(".",Database!BK381)-1)&amp;"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Database!AF382</f>
        <v/>
      </c>
      <c r="J382" s="24">
        <f>IFERROR(BDP(Database!$A382&amp;" HK Equity","PE_RATIO"),"")</f>
        <v/>
      </c>
      <c r="K382" s="10">
        <f>IFERROR(BDP(Database!$A382&amp;" HK Equity","A/H_SHARE_CONVERSION"),"")</f>
        <v/>
      </c>
      <c r="L382" s="16">
        <f>IF(Database!BK382="","(none found)",Database!BK382)</f>
        <v/>
      </c>
      <c r="M382" s="18">
        <f>IFERROR(BDH(Database!$A382&amp;" HK Equity","CUR_MKT_CAP",Database!$H382,Database!$H382),"")</f>
        <v/>
      </c>
      <c r="N382" s="97">
        <f>Database!Q382</f>
        <v/>
      </c>
      <c r="O382" s="24">
        <f>IFERROR(BDH(Database!$A382&amp;" HK Equity","PE_RATIO",Database!$H382,Database!$H382),"")</f>
        <v/>
      </c>
      <c r="P382" s="101">
        <f>IF(Database!BE382="","(n/m or not derivable)",Database!BE382)</f>
        <v/>
      </c>
      <c r="Q382" s="24">
        <f>IF(Database!BK382="","",IFERROR(BDH(LEFT(Database!BK382,FIND(".",Database!BK382)-1)&amp;" CH Equity","PE_RATIO",Database!$H382,Database!$H382),""))</f>
        <v/>
      </c>
      <c r="R382" s="24">
        <f>IF(Database!BK382="","",IFERROR(BDH("HSAHP Index","PX_LAST",Database!$H382,Database!$H382),""))</f>
        <v/>
      </c>
      <c r="S382" s="24">
        <f>IFERROR(BDP(Database!$A382&amp;" HK Equity","PX_TO_SALES_RATIO"),"")</f>
        <v/>
      </c>
      <c r="T382" s="18">
        <f>IF(Database!BK382="","",IFERROR(BDP(LEFT(Database!BK382,FIND(".",Database!BK382)-1)&amp;"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Database!AF383</f>
        <v/>
      </c>
      <c r="J383" s="24">
        <f>IFERROR(BDP(Database!$A383&amp;" HK Equity","PE_RATIO"),"")</f>
        <v/>
      </c>
      <c r="K383" s="10">
        <f>IFERROR(BDP(Database!$A383&amp;" HK Equity","A/H_SHARE_CONVERSION"),"")</f>
        <v/>
      </c>
      <c r="L383" s="16">
        <f>IF(Database!BK383="","(none found)",Database!BK383)</f>
        <v/>
      </c>
      <c r="M383" s="18">
        <f>IFERROR(BDH(Database!$A383&amp;" HK Equity","CUR_MKT_CAP",Database!$H383,Database!$H383),"")</f>
        <v/>
      </c>
      <c r="N383" s="97">
        <f>Database!Q383</f>
        <v/>
      </c>
      <c r="O383" s="24">
        <f>IFERROR(BDH(Database!$A383&amp;" HK Equity","PE_RATIO",Database!$H383,Database!$H383),"")</f>
        <v/>
      </c>
      <c r="P383" s="101">
        <f>IF(Database!BE383="","(n/m or not derivable)",Database!BE383)</f>
        <v/>
      </c>
      <c r="Q383" s="24">
        <f>IF(Database!BK383="","",IFERROR(BDH(LEFT(Database!BK383,FIND(".",Database!BK383)-1)&amp;" CH Equity","PE_RATIO",Database!$H383,Database!$H383),""))</f>
        <v/>
      </c>
      <c r="R383" s="24">
        <f>IF(Database!BK383="","",IFERROR(BDH("HSAHP Index","PX_LAST",Database!$H383,Database!$H383),""))</f>
        <v/>
      </c>
      <c r="S383" s="24">
        <f>IFERROR(BDP(Database!$A383&amp;" HK Equity","PX_TO_SALES_RATIO"),"")</f>
        <v/>
      </c>
      <c r="T383" s="18">
        <f>IF(Database!BK383="","",IFERROR(BDP(LEFT(Database!BK383,FIND(".",Database!BK383)-1)&amp;"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Database!AF384</f>
        <v/>
      </c>
      <c r="J384" s="24">
        <f>IFERROR(BDP(Database!$A384&amp;" HK Equity","PE_RATIO"),"")</f>
        <v/>
      </c>
      <c r="K384" s="10">
        <f>IFERROR(BDP(Database!$A384&amp;" HK Equity","A/H_SHARE_CONVERSION"),"")</f>
        <v/>
      </c>
      <c r="L384" s="16">
        <f>IF(Database!BK384="","(none found)",Database!BK384)</f>
        <v/>
      </c>
      <c r="M384" s="18">
        <f>IFERROR(BDH(Database!$A384&amp;" HK Equity","CUR_MKT_CAP",Database!$H384,Database!$H384),"")</f>
        <v/>
      </c>
      <c r="N384" s="97">
        <f>Database!Q384</f>
        <v/>
      </c>
      <c r="O384" s="24">
        <f>IFERROR(BDH(Database!$A384&amp;" HK Equity","PE_RATIO",Database!$H384,Database!$H384),"")</f>
        <v/>
      </c>
      <c r="P384" s="101">
        <f>IF(Database!BE384="","(n/m or not derivable)",Database!BE384)</f>
        <v/>
      </c>
      <c r="Q384" s="24">
        <f>IF(Database!BK384="","",IFERROR(BDH(LEFT(Database!BK384,FIND(".",Database!BK384)-1)&amp;" CH Equity","PE_RATIO",Database!$H384,Database!$H384),""))</f>
        <v/>
      </c>
      <c r="R384" s="24">
        <f>IF(Database!BK384="","",IFERROR(BDH("HSAHP Index","PX_LAST",Database!$H384,Database!$H384),""))</f>
        <v/>
      </c>
      <c r="S384" s="24">
        <f>IFERROR(BDP(Database!$A384&amp;" HK Equity","PX_TO_SALES_RATIO"),"")</f>
        <v/>
      </c>
      <c r="T384" s="18">
        <f>IF(Database!BK384="","",IFERROR(BDP(LEFT(Database!BK384,FIND(".",Database!BK384)-1)&amp;"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Database!AF385</f>
        <v/>
      </c>
      <c r="J385" s="24">
        <f>IFERROR(BDP(Database!$A385&amp;" HK Equity","PE_RATIO"),"")</f>
        <v/>
      </c>
      <c r="K385" s="10">
        <f>IFERROR(BDP(Database!$A385&amp;" HK Equity","A/H_SHARE_CONVERSION"),"")</f>
        <v/>
      </c>
      <c r="L385" s="16">
        <f>IF(Database!BK385="","(none found)",Database!BK385)</f>
        <v/>
      </c>
      <c r="M385" s="18">
        <f>IFERROR(BDH(Database!$A385&amp;" HK Equity","CUR_MKT_CAP",Database!$H385,Database!$H385),"")</f>
        <v/>
      </c>
      <c r="N385" s="97">
        <f>Database!Q385</f>
        <v/>
      </c>
      <c r="O385" s="24">
        <f>IFERROR(BDH(Database!$A385&amp;" HK Equity","PE_RATIO",Database!$H385,Database!$H385),"")</f>
        <v/>
      </c>
      <c r="P385" s="101">
        <f>IF(Database!BE385="","(n/m or not derivable)",Database!BE385)</f>
        <v/>
      </c>
      <c r="Q385" s="24">
        <f>IF(Database!BK385="","",IFERROR(BDH(LEFT(Database!BK385,FIND(".",Database!BK385)-1)&amp;" CH Equity","PE_RATIO",Database!$H385,Database!$H385),""))</f>
        <v/>
      </c>
      <c r="R385" s="24">
        <f>IF(Database!BK385="","",IFERROR(BDH("HSAHP Index","PX_LAST",Database!$H385,Database!$H385),""))</f>
        <v/>
      </c>
      <c r="S385" s="24">
        <f>IFERROR(BDP(Database!$A385&amp;" HK Equity","PX_TO_SALES_RATIO"),"")</f>
        <v/>
      </c>
      <c r="T385" s="18">
        <f>IF(Database!BK385="","",IFERROR(BDP(LEFT(Database!BK385,FIND(".",Database!BK385)-1)&amp;"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Database!AF386</f>
        <v/>
      </c>
      <c r="J386" s="24">
        <f>IFERROR(BDP(Database!$A386&amp;" HK Equity","PE_RATIO"),"")</f>
        <v/>
      </c>
      <c r="K386" s="10">
        <f>IFERROR(BDP(Database!$A386&amp;" HK Equity","A/H_SHARE_CONVERSION"),"")</f>
        <v/>
      </c>
      <c r="L386" s="16">
        <f>IF(Database!BK386="","(none found)",Database!BK386)</f>
        <v/>
      </c>
      <c r="M386" s="18">
        <f>IFERROR(BDH(Database!$A386&amp;" HK Equity","CUR_MKT_CAP",Database!$H386,Database!$H386),"")</f>
        <v/>
      </c>
      <c r="N386" s="97">
        <f>Database!Q386</f>
        <v/>
      </c>
      <c r="O386" s="24">
        <f>IFERROR(BDH(Database!$A386&amp;" HK Equity","PE_RATIO",Database!$H386,Database!$H386),"")</f>
        <v/>
      </c>
      <c r="P386" s="101">
        <f>IF(Database!BE386="","(n/m or not derivable)",Database!BE386)</f>
        <v/>
      </c>
      <c r="Q386" s="24">
        <f>IF(Database!BK386="","",IFERROR(BDH(LEFT(Database!BK386,FIND(".",Database!BK386)-1)&amp;" CH Equity","PE_RATIO",Database!$H386,Database!$H386),""))</f>
        <v/>
      </c>
      <c r="R386" s="24">
        <f>IF(Database!BK386="","",IFERROR(BDH("HSAHP Index","PX_LAST",Database!$H386,Database!$H386),""))</f>
        <v/>
      </c>
      <c r="S386" s="24">
        <f>IFERROR(BDP(Database!$A386&amp;" HK Equity","PX_TO_SALES_RATIO"),"")</f>
        <v/>
      </c>
      <c r="T386" s="18">
        <f>IF(Database!BK386="","",IFERROR(BDP(LEFT(Database!BK386,FIND(".",Database!BK386)-1)&amp;"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Database!AF387</f>
        <v/>
      </c>
      <c r="J387" s="24">
        <f>IFERROR(BDP(Database!$A387&amp;" HK Equity","PE_RATIO"),"")</f>
        <v/>
      </c>
      <c r="K387" s="10">
        <f>IFERROR(BDP(Database!$A387&amp;" HK Equity","A/H_SHARE_CONVERSION"),"")</f>
        <v/>
      </c>
      <c r="L387" s="16">
        <f>IF(Database!BK387="","(none found)",Database!BK387)</f>
        <v/>
      </c>
      <c r="M387" s="18">
        <f>IFERROR(BDH(Database!$A387&amp;" HK Equity","CUR_MKT_CAP",Database!$H387,Database!$H387),"")</f>
        <v/>
      </c>
      <c r="N387" s="97">
        <f>Database!Q387</f>
        <v/>
      </c>
      <c r="O387" s="24">
        <f>IFERROR(BDH(Database!$A387&amp;" HK Equity","PE_RATIO",Database!$H387,Database!$H387),"")</f>
        <v/>
      </c>
      <c r="P387" s="101">
        <f>IF(Database!BE387="","(n/m or not derivable)",Database!BE387)</f>
        <v/>
      </c>
      <c r="Q387" s="24">
        <f>IF(Database!BK387="","",IFERROR(BDH(LEFT(Database!BK387,FIND(".",Database!BK387)-1)&amp;" CH Equity","PE_RATIO",Database!$H387,Database!$H387),""))</f>
        <v/>
      </c>
      <c r="R387" s="24">
        <f>IF(Database!BK387="","",IFERROR(BDH("HSAHP Index","PX_LAST",Database!$H387,Database!$H387),""))</f>
        <v/>
      </c>
      <c r="S387" s="24">
        <f>IFERROR(BDP(Database!$A387&amp;" HK Equity","PX_TO_SALES_RATIO"),"")</f>
        <v/>
      </c>
      <c r="T387" s="18">
        <f>IF(Database!BK387="","",IFERROR(BDP(LEFT(Database!BK387,FIND(".",Database!BK387)-1)&amp;"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Database!AF388</f>
        <v/>
      </c>
      <c r="J388" s="24">
        <f>IFERROR(BDP(Database!$A388&amp;" HK Equity","PE_RATIO"),"")</f>
        <v/>
      </c>
      <c r="K388" s="10">
        <f>IFERROR(BDP(Database!$A388&amp;" HK Equity","A/H_SHARE_CONVERSION"),"")</f>
        <v/>
      </c>
      <c r="L388" s="16">
        <f>IF(Database!BK388="","(none found)",Database!BK388)</f>
        <v/>
      </c>
      <c r="M388" s="18">
        <f>IFERROR(BDH(Database!$A388&amp;" HK Equity","CUR_MKT_CAP",Database!$H388,Database!$H388),"")</f>
        <v/>
      </c>
      <c r="N388" s="97">
        <f>Database!Q388</f>
        <v/>
      </c>
      <c r="O388" s="24">
        <f>IFERROR(BDH(Database!$A388&amp;" HK Equity","PE_RATIO",Database!$H388,Database!$H388),"")</f>
        <v/>
      </c>
      <c r="P388" s="101">
        <f>IF(Database!BE388="","(n/m or not derivable)",Database!BE388)</f>
        <v/>
      </c>
      <c r="Q388" s="24">
        <f>IF(Database!BK388="","",IFERROR(BDH(LEFT(Database!BK388,FIND(".",Database!BK388)-1)&amp;" CH Equity","PE_RATIO",Database!$H388,Database!$H388),""))</f>
        <v/>
      </c>
      <c r="R388" s="24">
        <f>IF(Database!BK388="","",IFERROR(BDH("HSAHP Index","PX_LAST",Database!$H388,Database!$H388),""))</f>
        <v/>
      </c>
      <c r="S388" s="24">
        <f>IFERROR(BDP(Database!$A388&amp;" HK Equity","PX_TO_SALES_RATIO"),"")</f>
        <v/>
      </c>
      <c r="T388" s="18">
        <f>IF(Database!BK388="","",IFERROR(BDP(LEFT(Database!BK388,FIND(".",Database!BK388)-1)&amp;"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Database!AF389</f>
        <v/>
      </c>
      <c r="J389" s="24">
        <f>IFERROR(BDP(Database!$A389&amp;" HK Equity","PE_RATIO"),"")</f>
        <v/>
      </c>
      <c r="K389" s="10">
        <f>IFERROR(BDP(Database!$A389&amp;" HK Equity","A/H_SHARE_CONVERSION"),"")</f>
        <v/>
      </c>
      <c r="L389" s="16">
        <f>IF(Database!BK389="","(none found)",Database!BK389)</f>
        <v/>
      </c>
      <c r="M389" s="18">
        <f>IFERROR(BDH(Database!$A389&amp;" HK Equity","CUR_MKT_CAP",Database!$H389,Database!$H389),"")</f>
        <v/>
      </c>
      <c r="N389" s="97">
        <f>Database!Q389</f>
        <v/>
      </c>
      <c r="O389" s="24">
        <f>IFERROR(BDH(Database!$A389&amp;" HK Equity","PE_RATIO",Database!$H389,Database!$H389),"")</f>
        <v/>
      </c>
      <c r="P389" s="101">
        <f>IF(Database!BE389="","(n/m or not derivable)",Database!BE389)</f>
        <v/>
      </c>
      <c r="Q389" s="24">
        <f>IF(Database!BK389="","",IFERROR(BDH(LEFT(Database!BK389,FIND(".",Database!BK389)-1)&amp;" CH Equity","PE_RATIO",Database!$H389,Database!$H389),""))</f>
        <v/>
      </c>
      <c r="R389" s="24">
        <f>IF(Database!BK389="","",IFERROR(BDH("HSAHP Index","PX_LAST",Database!$H389,Database!$H389),""))</f>
        <v/>
      </c>
      <c r="S389" s="24">
        <f>IFERROR(BDP(Database!$A389&amp;" HK Equity","PX_TO_SALES_RATIO"),"")</f>
        <v/>
      </c>
      <c r="T389" s="18">
        <f>IF(Database!BK389="","",IFERROR(BDP(LEFT(Database!BK389,FIND(".",Database!BK389)-1)&amp;"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Database!AF390</f>
        <v/>
      </c>
      <c r="J390" s="24">
        <f>IFERROR(BDP(Database!$A390&amp;" HK Equity","PE_RATIO"),"")</f>
        <v/>
      </c>
      <c r="K390" s="10">
        <f>IFERROR(BDP(Database!$A390&amp;" HK Equity","A/H_SHARE_CONVERSION"),"")</f>
        <v/>
      </c>
      <c r="L390" s="16">
        <f>IF(Database!BK390="","(none found)",Database!BK390)</f>
        <v/>
      </c>
      <c r="M390" s="18">
        <f>IFERROR(BDH(Database!$A390&amp;" HK Equity","CUR_MKT_CAP",Database!$H390,Database!$H390),"")</f>
        <v/>
      </c>
      <c r="N390" s="97">
        <f>Database!Q390</f>
        <v/>
      </c>
      <c r="O390" s="24">
        <f>IFERROR(BDH(Database!$A390&amp;" HK Equity","PE_RATIO",Database!$H390,Database!$H390),"")</f>
        <v/>
      </c>
      <c r="P390" s="101">
        <f>IF(Database!BE390="","(n/m or not derivable)",Database!BE390)</f>
        <v/>
      </c>
      <c r="Q390" s="24">
        <f>IF(Database!BK390="","",IFERROR(BDH(LEFT(Database!BK390,FIND(".",Database!BK390)-1)&amp;" CH Equity","PE_RATIO",Database!$H390,Database!$H390),""))</f>
        <v/>
      </c>
      <c r="R390" s="24">
        <f>IF(Database!BK390="","",IFERROR(BDH("HSAHP Index","PX_LAST",Database!$H390,Database!$H390),""))</f>
        <v/>
      </c>
      <c r="S390" s="24">
        <f>IFERROR(BDP(Database!$A390&amp;" HK Equity","PX_TO_SALES_RATIO"),"")</f>
        <v/>
      </c>
      <c r="T390" s="18">
        <f>IF(Database!BK390="","",IFERROR(BDP(LEFT(Database!BK390,FIND(".",Database!BK390)-1)&amp;"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Database!AF391</f>
        <v/>
      </c>
      <c r="J391" s="24">
        <f>IFERROR(BDP(Database!$A391&amp;" HK Equity","PE_RATIO"),"")</f>
        <v/>
      </c>
      <c r="K391" s="10">
        <f>IFERROR(BDP(Database!$A391&amp;" HK Equity","A/H_SHARE_CONVERSION"),"")</f>
        <v/>
      </c>
      <c r="L391" s="16">
        <f>IF(Database!BK391="","(none found)",Database!BK391)</f>
        <v/>
      </c>
      <c r="M391" s="18">
        <f>IFERROR(BDH(Database!$A391&amp;" HK Equity","CUR_MKT_CAP",Database!$H391,Database!$H391),"")</f>
        <v/>
      </c>
      <c r="N391" s="97">
        <f>Database!Q391</f>
        <v/>
      </c>
      <c r="O391" s="24">
        <f>IFERROR(BDH(Database!$A391&amp;" HK Equity","PE_RATIO",Database!$H391,Database!$H391),"")</f>
        <v/>
      </c>
      <c r="P391" s="101">
        <f>IF(Database!BE391="","(n/m or not derivable)",Database!BE391)</f>
        <v/>
      </c>
      <c r="Q391" s="24">
        <f>IF(Database!BK391="","",IFERROR(BDH(LEFT(Database!BK391,FIND(".",Database!BK391)-1)&amp;" CH Equity","PE_RATIO",Database!$H391,Database!$H391),""))</f>
        <v/>
      </c>
      <c r="R391" s="24">
        <f>IF(Database!BK391="","",IFERROR(BDH("HSAHP Index","PX_LAST",Database!$H391,Database!$H391),""))</f>
        <v/>
      </c>
      <c r="S391" s="24">
        <f>IFERROR(BDP(Database!$A391&amp;" HK Equity","PX_TO_SALES_RATIO"),"")</f>
        <v/>
      </c>
      <c r="T391" s="18">
        <f>IF(Database!BK391="","",IFERROR(BDP(LEFT(Database!BK391,FIND(".",Database!BK391)-1)&amp;"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Database!AF392</f>
        <v/>
      </c>
      <c r="J392" s="24">
        <f>IFERROR(BDP(Database!$A392&amp;" HK Equity","PE_RATIO"),"")</f>
        <v/>
      </c>
      <c r="K392" s="10">
        <f>IFERROR(BDP(Database!$A392&amp;" HK Equity","A/H_SHARE_CONVERSION"),"")</f>
        <v/>
      </c>
      <c r="L392" s="16">
        <f>IF(Database!BK392="","(none found)",Database!BK392)</f>
        <v/>
      </c>
      <c r="M392" s="18">
        <f>IFERROR(BDH(Database!$A392&amp;" HK Equity","CUR_MKT_CAP",Database!$H392,Database!$H392),"")</f>
        <v/>
      </c>
      <c r="N392" s="97">
        <f>Database!Q392</f>
        <v/>
      </c>
      <c r="O392" s="24">
        <f>IFERROR(BDH(Database!$A392&amp;" HK Equity","PE_RATIO",Database!$H392,Database!$H392),"")</f>
        <v/>
      </c>
      <c r="P392" s="101">
        <f>IF(Database!BE392="","(n/m or not derivable)",Database!BE392)</f>
        <v/>
      </c>
      <c r="Q392" s="24">
        <f>IF(Database!BK392="","",IFERROR(BDH(LEFT(Database!BK392,FIND(".",Database!BK392)-1)&amp;" CH Equity","PE_RATIO",Database!$H392,Database!$H392),""))</f>
        <v/>
      </c>
      <c r="R392" s="24">
        <f>IF(Database!BK392="","",IFERROR(BDH("HSAHP Index","PX_LAST",Database!$H392,Database!$H392),""))</f>
        <v/>
      </c>
      <c r="S392" s="24">
        <f>IFERROR(BDP(Database!$A392&amp;" HK Equity","PX_TO_SALES_RATIO"),"")</f>
        <v/>
      </c>
      <c r="T392" s="18">
        <f>IF(Database!BK392="","",IFERROR(BDP(LEFT(Database!BK392,FIND(".",Database!BK392)-1)&amp;"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Database!AF393</f>
        <v/>
      </c>
      <c r="J393" s="24">
        <f>IFERROR(BDP(Database!$A393&amp;" HK Equity","PE_RATIO"),"")</f>
        <v/>
      </c>
      <c r="K393" s="10">
        <f>IFERROR(BDP(Database!$A393&amp;" HK Equity","A/H_SHARE_CONVERSION"),"")</f>
        <v/>
      </c>
      <c r="L393" s="16">
        <f>IF(Database!BK393="","(none found)",Database!BK393)</f>
        <v/>
      </c>
      <c r="M393" s="18">
        <f>IFERROR(BDH(Database!$A393&amp;" HK Equity","CUR_MKT_CAP",Database!$H393,Database!$H393),"")</f>
        <v/>
      </c>
      <c r="N393" s="97">
        <f>Database!Q393</f>
        <v/>
      </c>
      <c r="O393" s="24">
        <f>IFERROR(BDH(Database!$A393&amp;" HK Equity","PE_RATIO",Database!$H393,Database!$H393),"")</f>
        <v/>
      </c>
      <c r="P393" s="101">
        <f>IF(Database!BE393="","(n/m or not derivable)",Database!BE393)</f>
        <v/>
      </c>
      <c r="Q393" s="24">
        <f>IF(Database!BK393="","",IFERROR(BDH(LEFT(Database!BK393,FIND(".",Database!BK393)-1)&amp;" CH Equity","PE_RATIO",Database!$H393,Database!$H393),""))</f>
        <v/>
      </c>
      <c r="R393" s="24">
        <f>IF(Database!BK393="","",IFERROR(BDH("HSAHP Index","PX_LAST",Database!$H393,Database!$H393),""))</f>
        <v/>
      </c>
      <c r="S393" s="24">
        <f>IFERROR(BDP(Database!$A393&amp;" HK Equity","PX_TO_SALES_RATIO"),"")</f>
        <v/>
      </c>
      <c r="T393" s="18">
        <f>IF(Database!BK393="","",IFERROR(BDP(LEFT(Database!BK393,FIND(".",Database!BK393)-1)&amp;"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Database!AF394</f>
        <v/>
      </c>
      <c r="J394" s="24">
        <f>IFERROR(BDP(Database!$A394&amp;" HK Equity","PE_RATIO"),"")</f>
        <v/>
      </c>
      <c r="K394" s="10">
        <f>IFERROR(BDP(Database!$A394&amp;" HK Equity","A/H_SHARE_CONVERSION"),"")</f>
        <v/>
      </c>
      <c r="L394" s="16">
        <f>IF(Database!BK394="","(none found)",Database!BK394)</f>
        <v/>
      </c>
      <c r="M394" s="18">
        <f>IFERROR(BDH(Database!$A394&amp;" HK Equity","CUR_MKT_CAP",Database!$H394,Database!$H394),"")</f>
        <v/>
      </c>
      <c r="N394" s="97">
        <f>Database!Q394</f>
        <v/>
      </c>
      <c r="O394" s="24">
        <f>IFERROR(BDH(Database!$A394&amp;" HK Equity","PE_RATIO",Database!$H394,Database!$H394),"")</f>
        <v/>
      </c>
      <c r="P394" s="101">
        <f>IF(Database!BE394="","(n/m or not derivable)",Database!BE394)</f>
        <v/>
      </c>
      <c r="Q394" s="24">
        <f>IF(Database!BK394="","",IFERROR(BDH(LEFT(Database!BK394,FIND(".",Database!BK394)-1)&amp;" CH Equity","PE_RATIO",Database!$H394,Database!$H394),""))</f>
        <v/>
      </c>
      <c r="R394" s="24">
        <f>IF(Database!BK394="","",IFERROR(BDH("HSAHP Index","PX_LAST",Database!$H394,Database!$H394),""))</f>
        <v/>
      </c>
      <c r="S394" s="24">
        <f>IFERROR(BDP(Database!$A394&amp;" HK Equity","PX_TO_SALES_RATIO"),"")</f>
        <v/>
      </c>
      <c r="T394" s="18">
        <f>IF(Database!BK394="","",IFERROR(BDP(LEFT(Database!BK394,FIND(".",Database!BK394)-1)&amp;"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Database!AF395</f>
        <v/>
      </c>
      <c r="J395" s="24">
        <f>IFERROR(BDP(Database!$A395&amp;" HK Equity","PE_RATIO"),"")</f>
        <v/>
      </c>
      <c r="K395" s="10">
        <f>IFERROR(BDP(Database!$A395&amp;" HK Equity","A/H_SHARE_CONVERSION"),"")</f>
        <v/>
      </c>
      <c r="L395" s="16">
        <f>IF(Database!BK395="","(none found)",Database!BK395)</f>
        <v/>
      </c>
      <c r="M395" s="18">
        <f>IFERROR(BDH(Database!$A395&amp;" HK Equity","CUR_MKT_CAP",Database!$H395,Database!$H395),"")</f>
        <v/>
      </c>
      <c r="N395" s="97">
        <f>Database!Q395</f>
        <v/>
      </c>
      <c r="O395" s="24">
        <f>IFERROR(BDH(Database!$A395&amp;" HK Equity","PE_RATIO",Database!$H395,Database!$H395),"")</f>
        <v/>
      </c>
      <c r="P395" s="101">
        <f>IF(Database!BE395="","(n/m or not derivable)",Database!BE395)</f>
        <v/>
      </c>
      <c r="Q395" s="24">
        <f>IF(Database!BK395="","",IFERROR(BDH(LEFT(Database!BK395,FIND(".",Database!BK395)-1)&amp;" CH Equity","PE_RATIO",Database!$H395,Database!$H395),""))</f>
        <v/>
      </c>
      <c r="R395" s="24">
        <f>IF(Database!BK395="","",IFERROR(BDH("HSAHP Index","PX_LAST",Database!$H395,Database!$H395),""))</f>
        <v/>
      </c>
      <c r="S395" s="24">
        <f>IFERROR(BDP(Database!$A395&amp;" HK Equity","PX_TO_SALES_RATIO"),"")</f>
        <v/>
      </c>
      <c r="T395" s="18">
        <f>IF(Database!BK395="","",IFERROR(BDP(LEFT(Database!BK395,FIND(".",Database!BK395)-1)&amp;"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Database!AF396</f>
        <v/>
      </c>
      <c r="J396" s="24">
        <f>IFERROR(BDP(Database!$A396&amp;" HK Equity","PE_RATIO"),"")</f>
        <v/>
      </c>
      <c r="K396" s="10">
        <f>IFERROR(BDP(Database!$A396&amp;" HK Equity","A/H_SHARE_CONVERSION"),"")</f>
        <v/>
      </c>
      <c r="L396" s="16">
        <f>IF(Database!BK396="","(none found)",Database!BK396)</f>
        <v/>
      </c>
      <c r="M396" s="18">
        <f>IFERROR(BDH(Database!$A396&amp;" HK Equity","CUR_MKT_CAP",Database!$H396,Database!$H396),"")</f>
        <v/>
      </c>
      <c r="N396" s="97">
        <f>Database!Q396</f>
        <v/>
      </c>
      <c r="O396" s="24">
        <f>IFERROR(BDH(Database!$A396&amp;" HK Equity","PE_RATIO",Database!$H396,Database!$H396),"")</f>
        <v/>
      </c>
      <c r="P396" s="101">
        <f>IF(Database!BE396="","(n/m or not derivable)",Database!BE396)</f>
        <v/>
      </c>
      <c r="Q396" s="24">
        <f>IF(Database!BK396="","",IFERROR(BDH(LEFT(Database!BK396,FIND(".",Database!BK396)-1)&amp;" CH Equity","PE_RATIO",Database!$H396,Database!$H396),""))</f>
        <v/>
      </c>
      <c r="R396" s="24">
        <f>IF(Database!BK396="","",IFERROR(BDH("HSAHP Index","PX_LAST",Database!$H396,Database!$H396),""))</f>
        <v/>
      </c>
      <c r="S396" s="24">
        <f>IFERROR(BDP(Database!$A396&amp;" HK Equity","PX_TO_SALES_RATIO"),"")</f>
        <v/>
      </c>
      <c r="T396" s="18">
        <f>IF(Database!BK396="","",IFERROR(BDP(LEFT(Database!BK396,FIND(".",Database!BK396)-1)&amp;"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Database!AF397</f>
        <v/>
      </c>
      <c r="J397" s="24">
        <f>IFERROR(BDP(Database!$A397&amp;" HK Equity","PE_RATIO"),"")</f>
        <v/>
      </c>
      <c r="K397" s="10">
        <f>IFERROR(BDP(Database!$A397&amp;" HK Equity","A/H_SHARE_CONVERSION"),"")</f>
        <v/>
      </c>
      <c r="L397" s="16">
        <f>IF(Database!BK397="","(none found)",Database!BK397)</f>
        <v/>
      </c>
      <c r="M397" s="18">
        <f>IFERROR(BDH(Database!$A397&amp;" HK Equity","CUR_MKT_CAP",Database!$H397,Database!$H397),"")</f>
        <v/>
      </c>
      <c r="N397" s="97">
        <f>Database!Q397</f>
        <v/>
      </c>
      <c r="O397" s="24">
        <f>IFERROR(BDH(Database!$A397&amp;" HK Equity","PE_RATIO",Database!$H397,Database!$H397),"")</f>
        <v/>
      </c>
      <c r="P397" s="101">
        <f>IF(Database!BE397="","(n/m or not derivable)",Database!BE397)</f>
        <v/>
      </c>
      <c r="Q397" s="24">
        <f>IF(Database!BK397="","",IFERROR(BDH(LEFT(Database!BK397,FIND(".",Database!BK397)-1)&amp;" CH Equity","PE_RATIO",Database!$H397,Database!$H397),""))</f>
        <v/>
      </c>
      <c r="R397" s="24">
        <f>IF(Database!BK397="","",IFERROR(BDH("HSAHP Index","PX_LAST",Database!$H397,Database!$H397),""))</f>
        <v/>
      </c>
      <c r="S397" s="24">
        <f>IFERROR(BDP(Database!$A397&amp;" HK Equity","PX_TO_SALES_RATIO"),"")</f>
        <v/>
      </c>
      <c r="T397" s="18">
        <f>IF(Database!BK397="","",IFERROR(BDP(LEFT(Database!BK397,FIND(".",Database!BK397)-1)&amp;"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Database!AF398</f>
        <v/>
      </c>
      <c r="J398" s="24">
        <f>IFERROR(BDP(Database!$A398&amp;" HK Equity","PE_RATIO"),"")</f>
        <v/>
      </c>
      <c r="K398" s="10">
        <f>IFERROR(BDP(Database!$A398&amp;" HK Equity","A/H_SHARE_CONVERSION"),"")</f>
        <v/>
      </c>
      <c r="L398" s="16">
        <f>IF(Database!BK398="","(none found)",Database!BK398)</f>
        <v/>
      </c>
      <c r="M398" s="18">
        <f>IFERROR(BDH(Database!$A398&amp;" HK Equity","CUR_MKT_CAP",Database!$H398,Database!$H398),"")</f>
        <v/>
      </c>
      <c r="N398" s="97">
        <f>Database!Q398</f>
        <v/>
      </c>
      <c r="O398" s="24">
        <f>IFERROR(BDH(Database!$A398&amp;" HK Equity","PE_RATIO",Database!$H398,Database!$H398),"")</f>
        <v/>
      </c>
      <c r="P398" s="101">
        <f>IF(Database!BE398="","(n/m or not derivable)",Database!BE398)</f>
        <v/>
      </c>
      <c r="Q398" s="24">
        <f>IF(Database!BK398="","",IFERROR(BDH(LEFT(Database!BK398,FIND(".",Database!BK398)-1)&amp;" CH Equity","PE_RATIO",Database!$H398,Database!$H398),""))</f>
        <v/>
      </c>
      <c r="R398" s="24">
        <f>IF(Database!BK398="","",IFERROR(BDH("HSAHP Index","PX_LAST",Database!$H398,Database!$H398),""))</f>
        <v/>
      </c>
      <c r="S398" s="24">
        <f>IFERROR(BDP(Database!$A398&amp;" HK Equity","PX_TO_SALES_RATIO"),"")</f>
        <v/>
      </c>
      <c r="T398" s="18">
        <f>IF(Database!BK398="","",IFERROR(BDP(LEFT(Database!BK398,FIND(".",Database!BK398)-1)&amp;"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Database!AF399</f>
        <v/>
      </c>
      <c r="J399" s="24">
        <f>IFERROR(BDP(Database!$A399&amp;" HK Equity","PE_RATIO"),"")</f>
        <v/>
      </c>
      <c r="K399" s="10">
        <f>IFERROR(BDP(Database!$A399&amp;" HK Equity","A/H_SHARE_CONVERSION"),"")</f>
        <v/>
      </c>
      <c r="L399" s="16">
        <f>IF(Database!BK399="","(none found)",Database!BK399)</f>
        <v/>
      </c>
      <c r="M399" s="18">
        <f>IFERROR(BDH(Database!$A399&amp;" HK Equity","CUR_MKT_CAP",Database!$H399,Database!$H399),"")</f>
        <v/>
      </c>
      <c r="N399" s="97">
        <f>Database!Q399</f>
        <v/>
      </c>
      <c r="O399" s="24">
        <f>IFERROR(BDH(Database!$A399&amp;" HK Equity","PE_RATIO",Database!$H399,Database!$H399),"")</f>
        <v/>
      </c>
      <c r="P399" s="101">
        <f>IF(Database!BE399="","(n/m or not derivable)",Database!BE399)</f>
        <v/>
      </c>
      <c r="Q399" s="24">
        <f>IF(Database!BK399="","",IFERROR(BDH(LEFT(Database!BK399,FIND(".",Database!BK399)-1)&amp;" CH Equity","PE_RATIO",Database!$H399,Database!$H399),""))</f>
        <v/>
      </c>
      <c r="R399" s="24">
        <f>IF(Database!BK399="","",IFERROR(BDH("HSAHP Index","PX_LAST",Database!$H399,Database!$H399),""))</f>
        <v/>
      </c>
      <c r="S399" s="24">
        <f>IFERROR(BDP(Database!$A399&amp;" HK Equity","PX_TO_SALES_RATIO"),"")</f>
        <v/>
      </c>
      <c r="T399" s="18">
        <f>IF(Database!BK399="","",IFERROR(BDP(LEFT(Database!BK399,FIND(".",Database!BK399)-1)&amp;"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Database!AF400</f>
        <v/>
      </c>
      <c r="J400" s="24">
        <f>IFERROR(BDP(Database!$A400&amp;" HK Equity","PE_RATIO"),"")</f>
        <v/>
      </c>
      <c r="K400" s="10">
        <f>IFERROR(BDP(Database!$A400&amp;" HK Equity","A/H_SHARE_CONVERSION"),"")</f>
        <v/>
      </c>
      <c r="L400" s="16">
        <f>IF(Database!BK400="","(none found)",Database!BK400)</f>
        <v/>
      </c>
      <c r="M400" s="18">
        <f>IFERROR(BDH(Database!$A400&amp;" HK Equity","CUR_MKT_CAP",Database!$H400,Database!$H400),"")</f>
        <v/>
      </c>
      <c r="N400" s="97">
        <f>Database!Q400</f>
        <v/>
      </c>
      <c r="O400" s="24">
        <f>IFERROR(BDH(Database!$A400&amp;" HK Equity","PE_RATIO",Database!$H400,Database!$H400),"")</f>
        <v/>
      </c>
      <c r="P400" s="101">
        <f>IF(Database!BE400="","(n/m or not derivable)",Database!BE400)</f>
        <v/>
      </c>
      <c r="Q400" s="24">
        <f>IF(Database!BK400="","",IFERROR(BDH(LEFT(Database!BK400,FIND(".",Database!BK400)-1)&amp;" CH Equity","PE_RATIO",Database!$H400,Database!$H400),""))</f>
        <v/>
      </c>
      <c r="R400" s="24">
        <f>IF(Database!BK400="","",IFERROR(BDH("HSAHP Index","PX_LAST",Database!$H400,Database!$H400),""))</f>
        <v/>
      </c>
      <c r="S400" s="24">
        <f>IFERROR(BDP(Database!$A400&amp;" HK Equity","PX_TO_SALES_RATIO"),"")</f>
        <v/>
      </c>
      <c r="T400" s="18">
        <f>IF(Database!BK400="","",IFERROR(BDP(LEFT(Database!BK400,FIND(".",Database!BK400)-1)&amp;"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Database!AF401</f>
        <v/>
      </c>
      <c r="J401" s="24">
        <f>IFERROR(BDP(Database!$A401&amp;" HK Equity","PE_RATIO"),"")</f>
        <v/>
      </c>
      <c r="K401" s="10">
        <f>IFERROR(BDP(Database!$A401&amp;" HK Equity","A/H_SHARE_CONVERSION"),"")</f>
        <v/>
      </c>
      <c r="L401" s="16">
        <f>IF(Database!BK401="","(none found)",Database!BK401)</f>
        <v/>
      </c>
      <c r="M401" s="18">
        <f>IFERROR(BDH(Database!$A401&amp;" HK Equity","CUR_MKT_CAP",Database!$H401,Database!$H401),"")</f>
        <v/>
      </c>
      <c r="N401" s="97">
        <f>Database!Q401</f>
        <v/>
      </c>
      <c r="O401" s="24">
        <f>IFERROR(BDH(Database!$A401&amp;" HK Equity","PE_RATIO",Database!$H401,Database!$H401),"")</f>
        <v/>
      </c>
      <c r="P401" s="101">
        <f>IF(Database!BE401="","(n/m or not derivable)",Database!BE401)</f>
        <v/>
      </c>
      <c r="Q401" s="24">
        <f>IF(Database!BK401="","",IFERROR(BDH(LEFT(Database!BK401,FIND(".",Database!BK401)-1)&amp;" CH Equity","PE_RATIO",Database!$H401,Database!$H401),""))</f>
        <v/>
      </c>
      <c r="R401" s="24">
        <f>IF(Database!BK401="","",IFERROR(BDH("HSAHP Index","PX_LAST",Database!$H401,Database!$H401),""))</f>
        <v/>
      </c>
      <c r="S401" s="24">
        <f>IFERROR(BDP(Database!$A401&amp;" HK Equity","PX_TO_SALES_RATIO"),"")</f>
        <v/>
      </c>
      <c r="T401" s="18">
        <f>IF(Database!BK401="","",IFERROR(BDP(LEFT(Database!BK401,FIND(".",Database!BK401)-1)&amp;"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Database!AF402</f>
        <v/>
      </c>
      <c r="J402" s="24">
        <f>IFERROR(BDP(Database!$A402&amp;" HK Equity","PE_RATIO"),"")</f>
        <v/>
      </c>
      <c r="K402" s="10">
        <f>IFERROR(BDP(Database!$A402&amp;" HK Equity","A/H_SHARE_CONVERSION"),"")</f>
        <v/>
      </c>
      <c r="L402" s="16">
        <f>IF(Database!BK402="","(none found)",Database!BK402)</f>
        <v/>
      </c>
      <c r="M402" s="18">
        <f>IFERROR(BDH(Database!$A402&amp;" HK Equity","CUR_MKT_CAP",Database!$H402,Database!$H402),"")</f>
        <v/>
      </c>
      <c r="N402" s="97">
        <f>Database!Q402</f>
        <v/>
      </c>
      <c r="O402" s="24">
        <f>IFERROR(BDH(Database!$A402&amp;" HK Equity","PE_RATIO",Database!$H402,Database!$H402),"")</f>
        <v/>
      </c>
      <c r="P402" s="101">
        <f>IF(Database!BE402="","(n/m or not derivable)",Database!BE402)</f>
        <v/>
      </c>
      <c r="Q402" s="24">
        <f>IF(Database!BK402="","",IFERROR(BDH(LEFT(Database!BK402,FIND(".",Database!BK402)-1)&amp;" CH Equity","PE_RATIO",Database!$H402,Database!$H402),""))</f>
        <v/>
      </c>
      <c r="R402" s="24">
        <f>IF(Database!BK402="","",IFERROR(BDH("HSAHP Index","PX_LAST",Database!$H402,Database!$H402),""))</f>
        <v/>
      </c>
      <c r="S402" s="24">
        <f>IFERROR(BDP(Database!$A402&amp;" HK Equity","PX_TO_SALES_RATIO"),"")</f>
        <v/>
      </c>
      <c r="T402" s="18">
        <f>IF(Database!BK402="","",IFERROR(BDP(LEFT(Database!BK402,FIND(".",Database!BK402)-1)&amp;"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Database!AF403</f>
        <v/>
      </c>
      <c r="J403" s="24">
        <f>IFERROR(BDP(Database!$A403&amp;" HK Equity","PE_RATIO"),"")</f>
        <v/>
      </c>
      <c r="K403" s="10">
        <f>IFERROR(BDP(Database!$A403&amp;" HK Equity","A/H_SHARE_CONVERSION"),"")</f>
        <v/>
      </c>
      <c r="L403" s="16">
        <f>IF(Database!BK403="","(none found)",Database!BK403)</f>
        <v/>
      </c>
      <c r="M403" s="18">
        <f>IFERROR(BDH(Database!$A403&amp;" HK Equity","CUR_MKT_CAP",Database!$H403,Database!$H403),"")</f>
        <v/>
      </c>
      <c r="N403" s="97">
        <f>Database!Q403</f>
        <v/>
      </c>
      <c r="O403" s="24">
        <f>IFERROR(BDH(Database!$A403&amp;" HK Equity","PE_RATIO",Database!$H403,Database!$H403),"")</f>
        <v/>
      </c>
      <c r="P403" s="101">
        <f>IF(Database!BE403="","(n/m or not derivable)",Database!BE403)</f>
        <v/>
      </c>
      <c r="Q403" s="24">
        <f>IF(Database!BK403="","",IFERROR(BDH(LEFT(Database!BK403,FIND(".",Database!BK403)-1)&amp;" CH Equity","PE_RATIO",Database!$H403,Database!$H403),""))</f>
        <v/>
      </c>
      <c r="R403" s="24">
        <f>IF(Database!BK403="","",IFERROR(BDH("HSAHP Index","PX_LAST",Database!$H403,Database!$H403),""))</f>
        <v/>
      </c>
      <c r="S403" s="24">
        <f>IFERROR(BDP(Database!$A403&amp;" HK Equity","PX_TO_SALES_RATIO"),"")</f>
        <v/>
      </c>
      <c r="T403" s="18">
        <f>IF(Database!BK403="","",IFERROR(BDP(LEFT(Database!BK403,FIND(".",Database!BK403)-1)&amp;"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Database!AF404</f>
        <v/>
      </c>
      <c r="J404" s="24">
        <f>IFERROR(BDP(Database!$A404&amp;" HK Equity","PE_RATIO"),"")</f>
        <v/>
      </c>
      <c r="K404" s="10">
        <f>IFERROR(BDP(Database!$A404&amp;" HK Equity","A/H_SHARE_CONVERSION"),"")</f>
        <v/>
      </c>
      <c r="L404" s="16">
        <f>IF(Database!BK404="","(none found)",Database!BK404)</f>
        <v/>
      </c>
      <c r="M404" s="18">
        <f>IFERROR(BDH(Database!$A404&amp;" HK Equity","CUR_MKT_CAP",Database!$H404,Database!$H404),"")</f>
        <v/>
      </c>
      <c r="N404" s="97">
        <f>Database!Q404</f>
        <v/>
      </c>
      <c r="O404" s="24">
        <f>IFERROR(BDH(Database!$A404&amp;" HK Equity","PE_RATIO",Database!$H404,Database!$H404),"")</f>
        <v/>
      </c>
      <c r="P404" s="101">
        <f>IF(Database!BE404="","(n/m or not derivable)",Database!BE404)</f>
        <v/>
      </c>
      <c r="Q404" s="24">
        <f>IF(Database!BK404="","",IFERROR(BDH(LEFT(Database!BK404,FIND(".",Database!BK404)-1)&amp;" CH Equity","PE_RATIO",Database!$H404,Database!$H404),""))</f>
        <v/>
      </c>
      <c r="R404" s="24">
        <f>IF(Database!BK404="","",IFERROR(BDH("HSAHP Index","PX_LAST",Database!$H404,Database!$H404),""))</f>
        <v/>
      </c>
      <c r="S404" s="24">
        <f>IFERROR(BDP(Database!$A404&amp;" HK Equity","PX_TO_SALES_RATIO"),"")</f>
        <v/>
      </c>
      <c r="T404" s="18">
        <f>IF(Database!BK404="","",IFERROR(BDP(LEFT(Database!BK404,FIND(".",Database!BK404)-1)&amp;"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Database!AF405</f>
        <v/>
      </c>
      <c r="J405" s="24">
        <f>IFERROR(BDP(Database!$A405&amp;" HK Equity","PE_RATIO"),"")</f>
        <v/>
      </c>
      <c r="K405" s="10">
        <f>IFERROR(BDP(Database!$A405&amp;" HK Equity","A/H_SHARE_CONVERSION"),"")</f>
        <v/>
      </c>
      <c r="L405" s="16">
        <f>IF(Database!BK405="","(none found)",Database!BK405)</f>
        <v/>
      </c>
      <c r="M405" s="18">
        <f>IFERROR(BDH(Database!$A405&amp;" HK Equity","CUR_MKT_CAP",Database!$H405,Database!$H405),"")</f>
        <v/>
      </c>
      <c r="N405" s="97">
        <f>Database!Q405</f>
        <v/>
      </c>
      <c r="O405" s="24">
        <f>IFERROR(BDH(Database!$A405&amp;" HK Equity","PE_RATIO",Database!$H405,Database!$H405),"")</f>
        <v/>
      </c>
      <c r="P405" s="101">
        <f>IF(Database!BE405="","(n/m or not derivable)",Database!BE405)</f>
        <v/>
      </c>
      <c r="Q405" s="24">
        <f>IF(Database!BK405="","",IFERROR(BDH(LEFT(Database!BK405,FIND(".",Database!BK405)-1)&amp;" CH Equity","PE_RATIO",Database!$H405,Database!$H405),""))</f>
        <v/>
      </c>
      <c r="R405" s="24">
        <f>IF(Database!BK405="","",IFERROR(BDH("HSAHP Index","PX_LAST",Database!$H405,Database!$H405),""))</f>
        <v/>
      </c>
      <c r="S405" s="24">
        <f>IFERROR(BDP(Database!$A405&amp;" HK Equity","PX_TO_SALES_RATIO"),"")</f>
        <v/>
      </c>
      <c r="T405" s="18">
        <f>IF(Database!BK405="","",IFERROR(BDP(LEFT(Database!BK405,FIND(".",Database!BK405)-1)&amp;"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Database!AF406</f>
        <v/>
      </c>
      <c r="J406" s="24">
        <f>IFERROR(BDP(Database!$A406&amp;" HK Equity","PE_RATIO"),"")</f>
        <v/>
      </c>
      <c r="K406" s="10">
        <f>IFERROR(BDP(Database!$A406&amp;" HK Equity","A/H_SHARE_CONVERSION"),"")</f>
        <v/>
      </c>
      <c r="L406" s="16">
        <f>IF(Database!BK406="","(none found)",Database!BK406)</f>
        <v/>
      </c>
      <c r="M406" s="18">
        <f>IFERROR(BDH(Database!$A406&amp;" HK Equity","CUR_MKT_CAP",Database!$H406,Database!$H406),"")</f>
        <v/>
      </c>
      <c r="N406" s="97">
        <f>Database!Q406</f>
        <v/>
      </c>
      <c r="O406" s="24">
        <f>IFERROR(BDH(Database!$A406&amp;" HK Equity","PE_RATIO",Database!$H406,Database!$H406),"")</f>
        <v/>
      </c>
      <c r="P406" s="101">
        <f>IF(Database!BE406="","(n/m or not derivable)",Database!BE406)</f>
        <v/>
      </c>
      <c r="Q406" s="24">
        <f>IF(Database!BK406="","",IFERROR(BDH(LEFT(Database!BK406,FIND(".",Database!BK406)-1)&amp;" CH Equity","PE_RATIO",Database!$H406,Database!$H406),""))</f>
        <v/>
      </c>
      <c r="R406" s="24">
        <f>IF(Database!BK406="","",IFERROR(BDH("HSAHP Index","PX_LAST",Database!$H406,Database!$H406),""))</f>
        <v/>
      </c>
      <c r="S406" s="24">
        <f>IFERROR(BDP(Database!$A406&amp;" HK Equity","PX_TO_SALES_RATIO"),"")</f>
        <v/>
      </c>
      <c r="T406" s="18">
        <f>IF(Database!BK406="","",IFERROR(BDP(LEFT(Database!BK406,FIND(".",Database!BK406)-1)&amp;"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Database!AF407</f>
        <v/>
      </c>
      <c r="J407" s="24">
        <f>IFERROR(BDP(Database!$A407&amp;" HK Equity","PE_RATIO"),"")</f>
        <v/>
      </c>
      <c r="K407" s="10">
        <f>IFERROR(BDP(Database!$A407&amp;" HK Equity","A/H_SHARE_CONVERSION"),"")</f>
        <v/>
      </c>
      <c r="L407" s="16">
        <f>IF(Database!BK407="","(none found)",Database!BK407)</f>
        <v/>
      </c>
      <c r="M407" s="18">
        <f>IFERROR(BDH(Database!$A407&amp;" HK Equity","CUR_MKT_CAP",Database!$H407,Database!$H407),"")</f>
        <v/>
      </c>
      <c r="N407" s="97">
        <f>Database!Q407</f>
        <v/>
      </c>
      <c r="O407" s="24">
        <f>IFERROR(BDH(Database!$A407&amp;" HK Equity","PE_RATIO",Database!$H407,Database!$H407),"")</f>
        <v/>
      </c>
      <c r="P407" s="101">
        <f>IF(Database!BE407="","(n/m or not derivable)",Database!BE407)</f>
        <v/>
      </c>
      <c r="Q407" s="24">
        <f>IF(Database!BK407="","",IFERROR(BDH(LEFT(Database!BK407,FIND(".",Database!BK407)-1)&amp;" CH Equity","PE_RATIO",Database!$H407,Database!$H407),""))</f>
        <v/>
      </c>
      <c r="R407" s="24">
        <f>IF(Database!BK407="","",IFERROR(BDH("HSAHP Index","PX_LAST",Database!$H407,Database!$H407),""))</f>
        <v/>
      </c>
      <c r="S407" s="24">
        <f>IFERROR(BDP(Database!$A407&amp;" HK Equity","PX_TO_SALES_RATIO"),"")</f>
        <v/>
      </c>
      <c r="T407" s="18">
        <f>IF(Database!BK407="","",IFERROR(BDP(LEFT(Database!BK407,FIND(".",Database!BK407)-1)&amp;"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Database!AF408</f>
        <v/>
      </c>
      <c r="J408" s="24">
        <f>IFERROR(BDP(Database!$A408&amp;" HK Equity","PE_RATIO"),"")</f>
        <v/>
      </c>
      <c r="K408" s="10">
        <f>IFERROR(BDP(Database!$A408&amp;" HK Equity","A/H_SHARE_CONVERSION"),"")</f>
        <v/>
      </c>
      <c r="L408" s="16">
        <f>IF(Database!BK408="","(none found)",Database!BK408)</f>
        <v/>
      </c>
      <c r="M408" s="18">
        <f>IFERROR(BDH(Database!$A408&amp;" HK Equity","CUR_MKT_CAP",Database!$H408,Database!$H408),"")</f>
        <v/>
      </c>
      <c r="N408" s="97">
        <f>Database!Q408</f>
        <v/>
      </c>
      <c r="O408" s="24">
        <f>IFERROR(BDH(Database!$A408&amp;" HK Equity","PE_RATIO",Database!$H408,Database!$H408),"")</f>
        <v/>
      </c>
      <c r="P408" s="101">
        <f>IF(Database!BE408="","(n/m or not derivable)",Database!BE408)</f>
        <v/>
      </c>
      <c r="Q408" s="24">
        <f>IF(Database!BK408="","",IFERROR(BDH(LEFT(Database!BK408,FIND(".",Database!BK408)-1)&amp;" CH Equity","PE_RATIO",Database!$H408,Database!$H408),""))</f>
        <v/>
      </c>
      <c r="R408" s="24">
        <f>IF(Database!BK408="","",IFERROR(BDH("HSAHP Index","PX_LAST",Database!$H408,Database!$H408),""))</f>
        <v/>
      </c>
      <c r="S408" s="24">
        <f>IFERROR(BDP(Database!$A408&amp;" HK Equity","PX_TO_SALES_RATIO"),"")</f>
        <v/>
      </c>
      <c r="T408" s="18">
        <f>IF(Database!BK408="","",IFERROR(BDP(LEFT(Database!BK408,FIND(".",Database!BK408)-1)&amp;"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Database!AF409</f>
        <v/>
      </c>
      <c r="J409" s="24">
        <f>IFERROR(BDP(Database!$A409&amp;" HK Equity","PE_RATIO"),"")</f>
        <v/>
      </c>
      <c r="K409" s="10">
        <f>IFERROR(BDP(Database!$A409&amp;" HK Equity","A/H_SHARE_CONVERSION"),"")</f>
        <v/>
      </c>
      <c r="L409" s="16">
        <f>IF(Database!BK409="","(none found)",Database!BK409)</f>
        <v/>
      </c>
      <c r="M409" s="18">
        <f>IFERROR(BDH(Database!$A409&amp;" HK Equity","CUR_MKT_CAP",Database!$H409,Database!$H409),"")</f>
        <v/>
      </c>
      <c r="N409" s="97">
        <f>Database!Q409</f>
        <v/>
      </c>
      <c r="O409" s="24">
        <f>IFERROR(BDH(Database!$A409&amp;" HK Equity","PE_RATIO",Database!$H409,Database!$H409),"")</f>
        <v/>
      </c>
      <c r="P409" s="101">
        <f>IF(Database!BE409="","(n/m or not derivable)",Database!BE409)</f>
        <v/>
      </c>
      <c r="Q409" s="24">
        <f>IF(Database!BK409="","",IFERROR(BDH(LEFT(Database!BK409,FIND(".",Database!BK409)-1)&amp;" CH Equity","PE_RATIO",Database!$H409,Database!$H409),""))</f>
        <v/>
      </c>
      <c r="R409" s="24">
        <f>IF(Database!BK409="","",IFERROR(BDH("HSAHP Index","PX_LAST",Database!$H409,Database!$H409),""))</f>
        <v/>
      </c>
      <c r="S409" s="24">
        <f>IFERROR(BDP(Database!$A409&amp;" HK Equity","PX_TO_SALES_RATIO"),"")</f>
        <v/>
      </c>
      <c r="T409" s="18">
        <f>IF(Database!BK409="","",IFERROR(BDP(LEFT(Database!BK409,FIND(".",Database!BK409)-1)&amp;"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Database!AF410</f>
        <v/>
      </c>
      <c r="J410" s="24">
        <f>IFERROR(BDP(Database!$A410&amp;" HK Equity","PE_RATIO"),"")</f>
        <v/>
      </c>
      <c r="K410" s="10">
        <f>IFERROR(BDP(Database!$A410&amp;" HK Equity","A/H_SHARE_CONVERSION"),"")</f>
        <v/>
      </c>
      <c r="L410" s="16">
        <f>IF(Database!BK410="","(none found)",Database!BK410)</f>
        <v/>
      </c>
      <c r="M410" s="18">
        <f>IFERROR(BDH(Database!$A410&amp;" HK Equity","CUR_MKT_CAP",Database!$H410,Database!$H410),"")</f>
        <v/>
      </c>
      <c r="N410" s="97">
        <f>Database!Q410</f>
        <v/>
      </c>
      <c r="O410" s="24">
        <f>IFERROR(BDH(Database!$A410&amp;" HK Equity","PE_RATIO",Database!$H410,Database!$H410),"")</f>
        <v/>
      </c>
      <c r="P410" s="101">
        <f>IF(Database!BE410="","(n/m or not derivable)",Database!BE410)</f>
        <v/>
      </c>
      <c r="Q410" s="24">
        <f>IF(Database!BK410="","",IFERROR(BDH(LEFT(Database!BK410,FIND(".",Database!BK410)-1)&amp;" CH Equity","PE_RATIO",Database!$H410,Database!$H410),""))</f>
        <v/>
      </c>
      <c r="R410" s="24">
        <f>IF(Database!BK410="","",IFERROR(BDH("HSAHP Index","PX_LAST",Database!$H410,Database!$H410),""))</f>
        <v/>
      </c>
      <c r="S410" s="24">
        <f>IFERROR(BDP(Database!$A410&amp;" HK Equity","PX_TO_SALES_RATIO"),"")</f>
        <v/>
      </c>
      <c r="T410" s="18">
        <f>IF(Database!BK410="","",IFERROR(BDP(LEFT(Database!BK410,FIND(".",Database!BK410)-1)&amp;"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Database!AF411</f>
        <v/>
      </c>
      <c r="J411" s="24">
        <f>IFERROR(BDP(Database!$A411&amp;" HK Equity","PE_RATIO"),"")</f>
        <v/>
      </c>
      <c r="K411" s="10">
        <f>IFERROR(BDP(Database!$A411&amp;" HK Equity","A/H_SHARE_CONVERSION"),"")</f>
        <v/>
      </c>
      <c r="L411" s="16">
        <f>IF(Database!BK411="","(none found)",Database!BK411)</f>
        <v/>
      </c>
      <c r="M411" s="18">
        <f>IFERROR(BDH(Database!$A411&amp;" HK Equity","CUR_MKT_CAP",Database!$H411,Database!$H411),"")</f>
        <v/>
      </c>
      <c r="N411" s="97">
        <f>Database!Q411</f>
        <v/>
      </c>
      <c r="O411" s="24">
        <f>IFERROR(BDH(Database!$A411&amp;" HK Equity","PE_RATIO",Database!$H411,Database!$H411),"")</f>
        <v/>
      </c>
      <c r="P411" s="101">
        <f>IF(Database!BE411="","(n/m or not derivable)",Database!BE411)</f>
        <v/>
      </c>
      <c r="Q411" s="24">
        <f>IF(Database!BK411="","",IFERROR(BDH(LEFT(Database!BK411,FIND(".",Database!BK411)-1)&amp;" CH Equity","PE_RATIO",Database!$H411,Database!$H411),""))</f>
        <v/>
      </c>
      <c r="R411" s="24">
        <f>IF(Database!BK411="","",IFERROR(BDH("HSAHP Index","PX_LAST",Database!$H411,Database!$H411),""))</f>
        <v/>
      </c>
      <c r="S411" s="24">
        <f>IFERROR(BDP(Database!$A411&amp;" HK Equity","PX_TO_SALES_RATIO"),"")</f>
        <v/>
      </c>
      <c r="T411" s="18">
        <f>IF(Database!BK411="","",IFERROR(BDP(LEFT(Database!BK411,FIND(".",Database!BK411)-1)&amp;"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Database!AF412</f>
        <v/>
      </c>
      <c r="J412" s="24">
        <f>IFERROR(BDP(Database!$A412&amp;" HK Equity","PE_RATIO"),"")</f>
        <v/>
      </c>
      <c r="K412" s="10">
        <f>IFERROR(BDP(Database!$A412&amp;" HK Equity","A/H_SHARE_CONVERSION"),"")</f>
        <v/>
      </c>
      <c r="L412" s="16">
        <f>IF(Database!BK412="","(none found)",Database!BK412)</f>
        <v/>
      </c>
      <c r="M412" s="18">
        <f>IFERROR(BDH(Database!$A412&amp;" HK Equity","CUR_MKT_CAP",Database!$H412,Database!$H412),"")</f>
        <v/>
      </c>
      <c r="N412" s="97">
        <f>Database!Q412</f>
        <v/>
      </c>
      <c r="O412" s="24">
        <f>IFERROR(BDH(Database!$A412&amp;" HK Equity","PE_RATIO",Database!$H412,Database!$H412),"")</f>
        <v/>
      </c>
      <c r="P412" s="101">
        <f>IF(Database!BE412="","(n/m or not derivable)",Database!BE412)</f>
        <v/>
      </c>
      <c r="Q412" s="24">
        <f>IF(Database!BK412="","",IFERROR(BDH(LEFT(Database!BK412,FIND(".",Database!BK412)-1)&amp;" CH Equity","PE_RATIO",Database!$H412,Database!$H412),""))</f>
        <v/>
      </c>
      <c r="R412" s="24">
        <f>IF(Database!BK412="","",IFERROR(BDH("HSAHP Index","PX_LAST",Database!$H412,Database!$H412),""))</f>
        <v/>
      </c>
      <c r="S412" s="24">
        <f>IFERROR(BDP(Database!$A412&amp;" HK Equity","PX_TO_SALES_RATIO"),"")</f>
        <v/>
      </c>
      <c r="T412" s="18">
        <f>IF(Database!BK412="","",IFERROR(BDP(LEFT(Database!BK412,FIND(".",Database!BK412)-1)&amp;"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Database!AF413</f>
        <v/>
      </c>
      <c r="J413" s="24">
        <f>IFERROR(BDP(Database!$A413&amp;" HK Equity","PE_RATIO"),"")</f>
        <v/>
      </c>
      <c r="K413" s="10">
        <f>IFERROR(BDP(Database!$A413&amp;" HK Equity","A/H_SHARE_CONVERSION"),"")</f>
        <v/>
      </c>
      <c r="L413" s="16">
        <f>IF(Database!BK413="","(none found)",Database!BK413)</f>
        <v/>
      </c>
      <c r="M413" s="18">
        <f>IFERROR(BDH(Database!$A413&amp;" HK Equity","CUR_MKT_CAP",Database!$H413,Database!$H413),"")</f>
        <v/>
      </c>
      <c r="N413" s="97">
        <f>Database!Q413</f>
        <v/>
      </c>
      <c r="O413" s="24">
        <f>IFERROR(BDH(Database!$A413&amp;" HK Equity","PE_RATIO",Database!$H413,Database!$H413),"")</f>
        <v/>
      </c>
      <c r="P413" s="101">
        <f>IF(Database!BE413="","(n/m or not derivable)",Database!BE413)</f>
        <v/>
      </c>
      <c r="Q413" s="24">
        <f>IF(Database!BK413="","",IFERROR(BDH(LEFT(Database!BK413,FIND(".",Database!BK413)-1)&amp;" CH Equity","PE_RATIO",Database!$H413,Database!$H413),""))</f>
        <v/>
      </c>
      <c r="R413" s="24">
        <f>IF(Database!BK413="","",IFERROR(BDH("HSAHP Index","PX_LAST",Database!$H413,Database!$H413),""))</f>
        <v/>
      </c>
      <c r="S413" s="24">
        <f>IFERROR(BDP(Database!$A413&amp;" HK Equity","PX_TO_SALES_RATIO"),"")</f>
        <v/>
      </c>
      <c r="T413" s="18">
        <f>IF(Database!BK413="","",IFERROR(BDP(LEFT(Database!BK413,FIND(".",Database!BK413)-1)&amp;"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Database!AF414</f>
        <v/>
      </c>
      <c r="J414" s="24">
        <f>IFERROR(BDP(Database!$A414&amp;" HK Equity","PE_RATIO"),"")</f>
        <v/>
      </c>
      <c r="K414" s="10">
        <f>IFERROR(BDP(Database!$A414&amp;" HK Equity","A/H_SHARE_CONVERSION"),"")</f>
        <v/>
      </c>
      <c r="L414" s="16">
        <f>IF(Database!BK414="","(none found)",Database!BK414)</f>
        <v/>
      </c>
      <c r="M414" s="18">
        <f>IFERROR(BDH(Database!$A414&amp;" HK Equity","CUR_MKT_CAP",Database!$H414,Database!$H414),"")</f>
        <v/>
      </c>
      <c r="N414" s="97">
        <f>Database!Q414</f>
        <v/>
      </c>
      <c r="O414" s="24">
        <f>IFERROR(BDH(Database!$A414&amp;" HK Equity","PE_RATIO",Database!$H414,Database!$H414),"")</f>
        <v/>
      </c>
      <c r="P414" s="101">
        <f>IF(Database!BE414="","(n/m or not derivable)",Database!BE414)</f>
        <v/>
      </c>
      <c r="Q414" s="24">
        <f>IF(Database!BK414="","",IFERROR(BDH(LEFT(Database!BK414,FIND(".",Database!BK414)-1)&amp;" CH Equity","PE_RATIO",Database!$H414,Database!$H414),""))</f>
        <v/>
      </c>
      <c r="R414" s="24">
        <f>IF(Database!BK414="","",IFERROR(BDH("HSAHP Index","PX_LAST",Database!$H414,Database!$H414),""))</f>
        <v/>
      </c>
      <c r="S414" s="24">
        <f>IFERROR(BDP(Database!$A414&amp;" HK Equity","PX_TO_SALES_RATIO"),"")</f>
        <v/>
      </c>
      <c r="T414" s="18">
        <f>IF(Database!BK414="","",IFERROR(BDP(LEFT(Database!BK414,FIND(".",Database!BK414)-1)&amp;"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Database!AF415</f>
        <v/>
      </c>
      <c r="J415" s="24">
        <f>IFERROR(BDP(Database!$A415&amp;" HK Equity","PE_RATIO"),"")</f>
        <v/>
      </c>
      <c r="K415" s="10">
        <f>IFERROR(BDP(Database!$A415&amp;" HK Equity","A/H_SHARE_CONVERSION"),"")</f>
        <v/>
      </c>
      <c r="L415" s="16">
        <f>IF(Database!BK415="","(none found)",Database!BK415)</f>
        <v/>
      </c>
      <c r="M415" s="18">
        <f>IFERROR(BDH(Database!$A415&amp;" HK Equity","CUR_MKT_CAP",Database!$H415,Database!$H415),"")</f>
        <v/>
      </c>
      <c r="N415" s="97">
        <f>Database!Q415</f>
        <v/>
      </c>
      <c r="O415" s="24">
        <f>IFERROR(BDH(Database!$A415&amp;" HK Equity","PE_RATIO",Database!$H415,Database!$H415),"")</f>
        <v/>
      </c>
      <c r="P415" s="101">
        <f>IF(Database!BE415="","(n/m or not derivable)",Database!BE415)</f>
        <v/>
      </c>
      <c r="Q415" s="24">
        <f>IF(Database!BK415="","",IFERROR(BDH(LEFT(Database!BK415,FIND(".",Database!BK415)-1)&amp;" CH Equity","PE_RATIO",Database!$H415,Database!$H415),""))</f>
        <v/>
      </c>
      <c r="R415" s="24">
        <f>IF(Database!BK415="","",IFERROR(BDH("HSAHP Index","PX_LAST",Database!$H415,Database!$H415),""))</f>
        <v/>
      </c>
      <c r="S415" s="24">
        <f>IFERROR(BDP(Database!$A415&amp;" HK Equity","PX_TO_SALES_RATIO"),"")</f>
        <v/>
      </c>
      <c r="T415" s="18">
        <f>IF(Database!BK415="","",IFERROR(BDP(LEFT(Database!BK415,FIND(".",Database!BK415)-1)&amp;"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Database!AF416</f>
        <v/>
      </c>
      <c r="J416" s="24">
        <f>IFERROR(BDP(Database!$A416&amp;" HK Equity","PE_RATIO"),"")</f>
        <v/>
      </c>
      <c r="K416" s="10">
        <f>IFERROR(BDP(Database!$A416&amp;" HK Equity","A/H_SHARE_CONVERSION"),"")</f>
        <v/>
      </c>
      <c r="L416" s="16">
        <f>IF(Database!BK416="","(none found)",Database!BK416)</f>
        <v/>
      </c>
      <c r="M416" s="18">
        <f>IFERROR(BDH(Database!$A416&amp;" HK Equity","CUR_MKT_CAP",Database!$H416,Database!$H416),"")</f>
        <v/>
      </c>
      <c r="N416" s="97">
        <f>Database!Q416</f>
        <v/>
      </c>
      <c r="O416" s="24">
        <f>IFERROR(BDH(Database!$A416&amp;" HK Equity","PE_RATIO",Database!$H416,Database!$H416),"")</f>
        <v/>
      </c>
      <c r="P416" s="101">
        <f>IF(Database!BE416="","(n/m or not derivable)",Database!BE416)</f>
        <v/>
      </c>
      <c r="Q416" s="24">
        <f>IF(Database!BK416="","",IFERROR(BDH(LEFT(Database!BK416,FIND(".",Database!BK416)-1)&amp;" CH Equity","PE_RATIO",Database!$H416,Database!$H416),""))</f>
        <v/>
      </c>
      <c r="R416" s="24">
        <f>IF(Database!BK416="","",IFERROR(BDH("HSAHP Index","PX_LAST",Database!$H416,Database!$H416),""))</f>
        <v/>
      </c>
      <c r="S416" s="24">
        <f>IFERROR(BDP(Database!$A416&amp;" HK Equity","PX_TO_SALES_RATIO"),"")</f>
        <v/>
      </c>
      <c r="T416" s="18">
        <f>IF(Database!BK416="","",IFERROR(BDP(LEFT(Database!BK416,FIND(".",Database!BK416)-1)&amp;"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Database!AF417</f>
        <v/>
      </c>
      <c r="J417" s="24">
        <f>IFERROR(BDP(Database!$A417&amp;" HK Equity","PE_RATIO"),"")</f>
        <v/>
      </c>
      <c r="K417" s="10">
        <f>IFERROR(BDP(Database!$A417&amp;" HK Equity","A/H_SHARE_CONVERSION"),"")</f>
        <v/>
      </c>
      <c r="L417" s="16">
        <f>IF(Database!BK417="","(none found)",Database!BK417)</f>
        <v/>
      </c>
      <c r="M417" s="18">
        <f>IFERROR(BDH(Database!$A417&amp;" HK Equity","CUR_MKT_CAP",Database!$H417,Database!$H417),"")</f>
        <v/>
      </c>
      <c r="N417" s="97">
        <f>Database!Q417</f>
        <v/>
      </c>
      <c r="O417" s="24">
        <f>IFERROR(BDH(Database!$A417&amp;" HK Equity","PE_RATIO",Database!$H417,Database!$H417),"")</f>
        <v/>
      </c>
      <c r="P417" s="101">
        <f>IF(Database!BE417="","(n/m or not derivable)",Database!BE417)</f>
        <v/>
      </c>
      <c r="Q417" s="24">
        <f>IF(Database!BK417="","",IFERROR(BDH(LEFT(Database!BK417,FIND(".",Database!BK417)-1)&amp;" CH Equity","PE_RATIO",Database!$H417,Database!$H417),""))</f>
        <v/>
      </c>
      <c r="R417" s="24">
        <f>IF(Database!BK417="","",IFERROR(BDH("HSAHP Index","PX_LAST",Database!$H417,Database!$H417),""))</f>
        <v/>
      </c>
      <c r="S417" s="24">
        <f>IFERROR(BDP(Database!$A417&amp;" HK Equity","PX_TO_SALES_RATIO"),"")</f>
        <v/>
      </c>
      <c r="T417" s="18">
        <f>IF(Database!BK417="","",IFERROR(BDP(LEFT(Database!BK417,FIND(".",Database!BK417)-1)&amp;"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Database!AF418</f>
        <v/>
      </c>
      <c r="J418" s="24">
        <f>IFERROR(BDP(Database!$A418&amp;" HK Equity","PE_RATIO"),"")</f>
        <v/>
      </c>
      <c r="K418" s="10">
        <f>IFERROR(BDP(Database!$A418&amp;" HK Equity","A/H_SHARE_CONVERSION"),"")</f>
        <v/>
      </c>
      <c r="L418" s="16">
        <f>IF(Database!BK418="","(none found)",Database!BK418)</f>
        <v/>
      </c>
      <c r="M418" s="18">
        <f>IFERROR(BDH(Database!$A418&amp;" HK Equity","CUR_MKT_CAP",Database!$H418,Database!$H418),"")</f>
        <v/>
      </c>
      <c r="N418" s="97">
        <f>Database!Q418</f>
        <v/>
      </c>
      <c r="O418" s="24">
        <f>IFERROR(BDH(Database!$A418&amp;" HK Equity","PE_RATIO",Database!$H418,Database!$H418),"")</f>
        <v/>
      </c>
      <c r="P418" s="101">
        <f>IF(Database!BE418="","(n/m or not derivable)",Database!BE418)</f>
        <v/>
      </c>
      <c r="Q418" s="24">
        <f>IF(Database!BK418="","",IFERROR(BDH(LEFT(Database!BK418,FIND(".",Database!BK418)-1)&amp;" CH Equity","PE_RATIO",Database!$H418,Database!$H418),""))</f>
        <v/>
      </c>
      <c r="R418" s="24">
        <f>IF(Database!BK418="","",IFERROR(BDH("HSAHP Index","PX_LAST",Database!$H418,Database!$H418),""))</f>
        <v/>
      </c>
      <c r="S418" s="24">
        <f>IFERROR(BDP(Database!$A418&amp;" HK Equity","PX_TO_SALES_RATIO"),"")</f>
        <v/>
      </c>
      <c r="T418" s="18">
        <f>IF(Database!BK418="","",IFERROR(BDP(LEFT(Database!BK418,FIND(".",Database!BK418)-1)&amp;"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Database!AF419</f>
        <v/>
      </c>
      <c r="J419" s="24">
        <f>IFERROR(BDP(Database!$A419&amp;" HK Equity","PE_RATIO"),"")</f>
        <v/>
      </c>
      <c r="K419" s="10">
        <f>IFERROR(BDP(Database!$A419&amp;" HK Equity","A/H_SHARE_CONVERSION"),"")</f>
        <v/>
      </c>
      <c r="L419" s="16">
        <f>IF(Database!BK419="","(none found)",Database!BK419)</f>
        <v/>
      </c>
      <c r="M419" s="18">
        <f>IFERROR(BDH(Database!$A419&amp;" HK Equity","CUR_MKT_CAP",Database!$H419,Database!$H419),"")</f>
        <v/>
      </c>
      <c r="N419" s="97">
        <f>Database!Q419</f>
        <v/>
      </c>
      <c r="O419" s="24">
        <f>IFERROR(BDH(Database!$A419&amp;" HK Equity","PE_RATIO",Database!$H419,Database!$H419),"")</f>
        <v/>
      </c>
      <c r="P419" s="101">
        <f>IF(Database!BE419="","(n/m or not derivable)",Database!BE419)</f>
        <v/>
      </c>
      <c r="Q419" s="24">
        <f>IF(Database!BK419="","",IFERROR(BDH(LEFT(Database!BK419,FIND(".",Database!BK419)-1)&amp;" CH Equity","PE_RATIO",Database!$H419,Database!$H419),""))</f>
        <v/>
      </c>
      <c r="R419" s="24">
        <f>IF(Database!BK419="","",IFERROR(BDH("HSAHP Index","PX_LAST",Database!$H419,Database!$H419),""))</f>
        <v/>
      </c>
      <c r="S419" s="24">
        <f>IFERROR(BDP(Database!$A419&amp;" HK Equity","PX_TO_SALES_RATIO"),"")</f>
        <v/>
      </c>
      <c r="T419" s="18">
        <f>IF(Database!BK419="","",IFERROR(BDP(LEFT(Database!BK419,FIND(".",Database!BK419)-1)&amp;"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Database!AF420</f>
        <v/>
      </c>
      <c r="J420" s="24">
        <f>IFERROR(BDP(Database!$A420&amp;" HK Equity","PE_RATIO"),"")</f>
        <v/>
      </c>
      <c r="K420" s="10">
        <f>IFERROR(BDP(Database!$A420&amp;" HK Equity","A/H_SHARE_CONVERSION"),"")</f>
        <v/>
      </c>
      <c r="L420" s="16">
        <f>IF(Database!BK420="","(none found)",Database!BK420)</f>
        <v/>
      </c>
      <c r="M420" s="18">
        <f>IFERROR(BDH(Database!$A420&amp;" HK Equity","CUR_MKT_CAP",Database!$H420,Database!$H420),"")</f>
        <v/>
      </c>
      <c r="N420" s="97">
        <f>Database!Q420</f>
        <v/>
      </c>
      <c r="O420" s="24">
        <f>IFERROR(BDH(Database!$A420&amp;" HK Equity","PE_RATIO",Database!$H420,Database!$H420),"")</f>
        <v/>
      </c>
      <c r="P420" s="101">
        <f>IF(Database!BE420="","(n/m or not derivable)",Database!BE420)</f>
        <v/>
      </c>
      <c r="Q420" s="24">
        <f>IF(Database!BK420="","",IFERROR(BDH(LEFT(Database!BK420,FIND(".",Database!BK420)-1)&amp;" CH Equity","PE_RATIO",Database!$H420,Database!$H420),""))</f>
        <v/>
      </c>
      <c r="R420" s="24">
        <f>IF(Database!BK420="","",IFERROR(BDH("HSAHP Index","PX_LAST",Database!$H420,Database!$H420),""))</f>
        <v/>
      </c>
      <c r="S420" s="24">
        <f>IFERROR(BDP(Database!$A420&amp;" HK Equity","PX_TO_SALES_RATIO"),"")</f>
        <v/>
      </c>
      <c r="T420" s="18">
        <f>IF(Database!BK420="","",IFERROR(BDP(LEFT(Database!BK420,FIND(".",Database!BK420)-1)&amp;"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Database!AF421</f>
        <v/>
      </c>
      <c r="J421" s="24">
        <f>IFERROR(BDP(Database!$A421&amp;" HK Equity","PE_RATIO"),"")</f>
        <v/>
      </c>
      <c r="K421" s="10">
        <f>IFERROR(BDP(Database!$A421&amp;" HK Equity","A/H_SHARE_CONVERSION"),"")</f>
        <v/>
      </c>
      <c r="L421" s="16">
        <f>IF(Database!BK421="","(none found)",Database!BK421)</f>
        <v/>
      </c>
      <c r="M421" s="18">
        <f>IFERROR(BDH(Database!$A421&amp;" HK Equity","CUR_MKT_CAP",Database!$H421,Database!$H421),"")</f>
        <v/>
      </c>
      <c r="N421" s="97">
        <f>Database!Q421</f>
        <v/>
      </c>
      <c r="O421" s="24">
        <f>IFERROR(BDH(Database!$A421&amp;" HK Equity","PE_RATIO",Database!$H421,Database!$H421),"")</f>
        <v/>
      </c>
      <c r="P421" s="101">
        <f>IF(Database!BE421="","(n/m or not derivable)",Database!BE421)</f>
        <v/>
      </c>
      <c r="Q421" s="24">
        <f>IF(Database!BK421="","",IFERROR(BDH(LEFT(Database!BK421,FIND(".",Database!BK421)-1)&amp;" CH Equity","PE_RATIO",Database!$H421,Database!$H421),""))</f>
        <v/>
      </c>
      <c r="R421" s="24">
        <f>IF(Database!BK421="","",IFERROR(BDH("HSAHP Index","PX_LAST",Database!$H421,Database!$H421),""))</f>
        <v/>
      </c>
      <c r="S421" s="24">
        <f>IFERROR(BDP(Database!$A421&amp;" HK Equity","PX_TO_SALES_RATIO"),"")</f>
        <v/>
      </c>
      <c r="T421" s="18">
        <f>IF(Database!BK421="","",IFERROR(BDP(LEFT(Database!BK421,FIND(".",Database!BK421)-1)&amp;"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Database!AF422</f>
        <v/>
      </c>
      <c r="J422" s="24">
        <f>IFERROR(BDP(Database!$A422&amp;" HK Equity","PE_RATIO"),"")</f>
        <v/>
      </c>
      <c r="K422" s="10">
        <f>IFERROR(BDP(Database!$A422&amp;" HK Equity","A/H_SHARE_CONVERSION"),"")</f>
        <v/>
      </c>
      <c r="L422" s="16">
        <f>IF(Database!BK422="","(none found)",Database!BK422)</f>
        <v/>
      </c>
      <c r="M422" s="18">
        <f>IFERROR(BDH(Database!$A422&amp;" HK Equity","CUR_MKT_CAP",Database!$H422,Database!$H422),"")</f>
        <v/>
      </c>
      <c r="N422" s="97">
        <f>Database!Q422</f>
        <v/>
      </c>
      <c r="O422" s="24">
        <f>IFERROR(BDH(Database!$A422&amp;" HK Equity","PE_RATIO",Database!$H422,Database!$H422),"")</f>
        <v/>
      </c>
      <c r="P422" s="101">
        <f>IF(Database!BE422="","(n/m or not derivable)",Database!BE422)</f>
        <v/>
      </c>
      <c r="Q422" s="24">
        <f>IF(Database!BK422="","",IFERROR(BDH(LEFT(Database!BK422,FIND(".",Database!BK422)-1)&amp;" CH Equity","PE_RATIO",Database!$H422,Database!$H422),""))</f>
        <v/>
      </c>
      <c r="R422" s="24">
        <f>IF(Database!BK422="","",IFERROR(BDH("HSAHP Index","PX_LAST",Database!$H422,Database!$H422),""))</f>
        <v/>
      </c>
      <c r="S422" s="24">
        <f>IFERROR(BDP(Database!$A422&amp;" HK Equity","PX_TO_SALES_RATIO"),"")</f>
        <v/>
      </c>
      <c r="T422" s="18">
        <f>IF(Database!BK422="","",IFERROR(BDP(LEFT(Database!BK422,FIND(".",Database!BK422)-1)&amp;"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Database!AF423</f>
        <v/>
      </c>
      <c r="J423" s="24">
        <f>IFERROR(BDP(Database!$A423&amp;" HK Equity","PE_RATIO"),"")</f>
        <v/>
      </c>
      <c r="K423" s="10">
        <f>IFERROR(BDP(Database!$A423&amp;" HK Equity","A/H_SHARE_CONVERSION"),"")</f>
        <v/>
      </c>
      <c r="L423" s="16">
        <f>IF(Database!BK423="","(none found)",Database!BK423)</f>
        <v/>
      </c>
      <c r="M423" s="18">
        <f>IFERROR(BDH(Database!$A423&amp;" HK Equity","CUR_MKT_CAP",Database!$H423,Database!$H423),"")</f>
        <v/>
      </c>
      <c r="N423" s="97">
        <f>Database!Q423</f>
        <v/>
      </c>
      <c r="O423" s="24">
        <f>IFERROR(BDH(Database!$A423&amp;" HK Equity","PE_RATIO",Database!$H423,Database!$H423),"")</f>
        <v/>
      </c>
      <c r="P423" s="101">
        <f>IF(Database!BE423="","(n/m or not derivable)",Database!BE423)</f>
        <v/>
      </c>
      <c r="Q423" s="24">
        <f>IF(Database!BK423="","",IFERROR(BDH(LEFT(Database!BK423,FIND(".",Database!BK423)-1)&amp;" CH Equity","PE_RATIO",Database!$H423,Database!$H423),""))</f>
        <v/>
      </c>
      <c r="R423" s="24">
        <f>IF(Database!BK423="","",IFERROR(BDH("HSAHP Index","PX_LAST",Database!$H423,Database!$H423),""))</f>
        <v/>
      </c>
      <c r="S423" s="24">
        <f>IFERROR(BDP(Database!$A423&amp;" HK Equity","PX_TO_SALES_RATIO"),"")</f>
        <v/>
      </c>
      <c r="T423" s="18">
        <f>IF(Database!BK423="","",IFERROR(BDP(LEFT(Database!BK423,FIND(".",Database!BK423)-1)&amp;"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Database!AF424</f>
        <v/>
      </c>
      <c r="J424" s="24">
        <f>IFERROR(BDP(Database!$A424&amp;" HK Equity","PE_RATIO"),"")</f>
        <v/>
      </c>
      <c r="K424" s="10">
        <f>IFERROR(BDP(Database!$A424&amp;" HK Equity","A/H_SHARE_CONVERSION"),"")</f>
        <v/>
      </c>
      <c r="L424" s="16">
        <f>IF(Database!BK424="","(none found)",Database!BK424)</f>
        <v/>
      </c>
      <c r="M424" s="18">
        <f>IFERROR(BDH(Database!$A424&amp;" HK Equity","CUR_MKT_CAP",Database!$H424,Database!$H424),"")</f>
        <v/>
      </c>
      <c r="N424" s="97">
        <f>Database!Q424</f>
        <v/>
      </c>
      <c r="O424" s="24">
        <f>IFERROR(BDH(Database!$A424&amp;" HK Equity","PE_RATIO",Database!$H424,Database!$H424),"")</f>
        <v/>
      </c>
      <c r="P424" s="101">
        <f>IF(Database!BE424="","(n/m or not derivable)",Database!BE424)</f>
        <v/>
      </c>
      <c r="Q424" s="24">
        <f>IF(Database!BK424="","",IFERROR(BDH(LEFT(Database!BK424,FIND(".",Database!BK424)-1)&amp;" CH Equity","PE_RATIO",Database!$H424,Database!$H424),""))</f>
        <v/>
      </c>
      <c r="R424" s="24">
        <f>IF(Database!BK424="","",IFERROR(BDH("HSAHP Index","PX_LAST",Database!$H424,Database!$H424),""))</f>
        <v/>
      </c>
      <c r="S424" s="24">
        <f>IFERROR(BDP(Database!$A424&amp;" HK Equity","PX_TO_SALES_RATIO"),"")</f>
        <v/>
      </c>
      <c r="T424" s="18">
        <f>IF(Database!BK424="","",IFERROR(BDP(LEFT(Database!BK424,FIND(".",Database!BK424)-1)&amp;"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Database!AF425</f>
        <v/>
      </c>
      <c r="J425" s="24">
        <f>IFERROR(BDP(Database!$A425&amp;" HK Equity","PE_RATIO"),"")</f>
        <v/>
      </c>
      <c r="K425" s="10">
        <f>IFERROR(BDP(Database!$A425&amp;" HK Equity","A/H_SHARE_CONVERSION"),"")</f>
        <v/>
      </c>
      <c r="L425" s="16">
        <f>IF(Database!BK425="","(none found)",Database!BK425)</f>
        <v/>
      </c>
      <c r="M425" s="18">
        <f>IFERROR(BDH(Database!$A425&amp;" HK Equity","CUR_MKT_CAP",Database!$H425,Database!$H425),"")</f>
        <v/>
      </c>
      <c r="N425" s="97">
        <f>Database!Q425</f>
        <v/>
      </c>
      <c r="O425" s="24">
        <f>IFERROR(BDH(Database!$A425&amp;" HK Equity","PE_RATIO",Database!$H425,Database!$H425),"")</f>
        <v/>
      </c>
      <c r="P425" s="101">
        <f>IF(Database!BE425="","(n/m or not derivable)",Database!BE425)</f>
        <v/>
      </c>
      <c r="Q425" s="24">
        <f>IF(Database!BK425="","",IFERROR(BDH(LEFT(Database!BK425,FIND(".",Database!BK425)-1)&amp;" CH Equity","PE_RATIO",Database!$H425,Database!$H425),""))</f>
        <v/>
      </c>
      <c r="R425" s="24">
        <f>IF(Database!BK425="","",IFERROR(BDH("HSAHP Index","PX_LAST",Database!$H425,Database!$H425),""))</f>
        <v/>
      </c>
      <c r="S425" s="24">
        <f>IFERROR(BDP(Database!$A425&amp;" HK Equity","PX_TO_SALES_RATIO"),"")</f>
        <v/>
      </c>
      <c r="T425" s="18">
        <f>IF(Database!BK425="","",IFERROR(BDP(LEFT(Database!BK425,FIND(".",Database!BK425)-1)&amp;"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Database!AF426</f>
        <v/>
      </c>
      <c r="J426" s="24">
        <f>IFERROR(BDP(Database!$A426&amp;" HK Equity","PE_RATIO"),"")</f>
        <v/>
      </c>
      <c r="K426" s="10">
        <f>IFERROR(BDP(Database!$A426&amp;" HK Equity","A/H_SHARE_CONVERSION"),"")</f>
        <v/>
      </c>
      <c r="L426" s="16">
        <f>IF(Database!BK426="","(none found)",Database!BK426)</f>
        <v/>
      </c>
      <c r="M426" s="18">
        <f>IFERROR(BDH(Database!$A426&amp;" HK Equity","CUR_MKT_CAP",Database!$H426,Database!$H426),"")</f>
        <v/>
      </c>
      <c r="N426" s="97">
        <f>Database!Q426</f>
        <v/>
      </c>
      <c r="O426" s="24">
        <f>IFERROR(BDH(Database!$A426&amp;" HK Equity","PE_RATIO",Database!$H426,Database!$H426),"")</f>
        <v/>
      </c>
      <c r="P426" s="101">
        <f>IF(Database!BE426="","(n/m or not derivable)",Database!BE426)</f>
        <v/>
      </c>
      <c r="Q426" s="24">
        <f>IF(Database!BK426="","",IFERROR(BDH(LEFT(Database!BK426,FIND(".",Database!BK426)-1)&amp;" CH Equity","PE_RATIO",Database!$H426,Database!$H426),""))</f>
        <v/>
      </c>
      <c r="R426" s="24">
        <f>IF(Database!BK426="","",IFERROR(BDH("HSAHP Index","PX_LAST",Database!$H426,Database!$H426),""))</f>
        <v/>
      </c>
      <c r="S426" s="24">
        <f>IFERROR(BDP(Database!$A426&amp;" HK Equity","PX_TO_SALES_RATIO"),"")</f>
        <v/>
      </c>
      <c r="T426" s="18">
        <f>IF(Database!BK426="","",IFERROR(BDP(LEFT(Database!BK426,FIND(".",Database!BK426)-1)&amp;"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Database!AF427</f>
        <v/>
      </c>
      <c r="J427" s="24">
        <f>IFERROR(BDP(Database!$A427&amp;" HK Equity","PE_RATIO"),"")</f>
        <v/>
      </c>
      <c r="K427" s="10">
        <f>IFERROR(BDP(Database!$A427&amp;" HK Equity","A/H_SHARE_CONVERSION"),"")</f>
        <v/>
      </c>
      <c r="L427" s="16">
        <f>IF(Database!BK427="","(none found)",Database!BK427)</f>
        <v/>
      </c>
      <c r="M427" s="18">
        <f>IFERROR(BDH(Database!$A427&amp;" HK Equity","CUR_MKT_CAP",Database!$H427,Database!$H427),"")</f>
        <v/>
      </c>
      <c r="N427" s="97">
        <f>Database!Q427</f>
        <v/>
      </c>
      <c r="O427" s="24">
        <f>IFERROR(BDH(Database!$A427&amp;" HK Equity","PE_RATIO",Database!$H427,Database!$H427),"")</f>
        <v/>
      </c>
      <c r="P427" s="101">
        <f>IF(Database!BE427="","(n/m or not derivable)",Database!BE427)</f>
        <v/>
      </c>
      <c r="Q427" s="24">
        <f>IF(Database!BK427="","",IFERROR(BDH(LEFT(Database!BK427,FIND(".",Database!BK427)-1)&amp;" CH Equity","PE_RATIO",Database!$H427,Database!$H427),""))</f>
        <v/>
      </c>
      <c r="R427" s="24">
        <f>IF(Database!BK427="","",IFERROR(BDH("HSAHP Index","PX_LAST",Database!$H427,Database!$H427),""))</f>
        <v/>
      </c>
      <c r="S427" s="24">
        <f>IFERROR(BDP(Database!$A427&amp;" HK Equity","PX_TO_SALES_RATIO"),"")</f>
        <v/>
      </c>
      <c r="T427" s="18">
        <f>IF(Database!BK427="","",IFERROR(BDP(LEFT(Database!BK427,FIND(".",Database!BK427)-1)&amp;"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Database!AF428</f>
        <v/>
      </c>
      <c r="J428" s="24">
        <f>IFERROR(BDP(Database!$A428&amp;" HK Equity","PE_RATIO"),"")</f>
        <v/>
      </c>
      <c r="K428" s="10">
        <f>IFERROR(BDP(Database!$A428&amp;" HK Equity","A/H_SHARE_CONVERSION"),"")</f>
        <v/>
      </c>
      <c r="L428" s="16">
        <f>IF(Database!BK428="","(none found)",Database!BK428)</f>
        <v/>
      </c>
      <c r="M428" s="18">
        <f>IFERROR(BDH(Database!$A428&amp;" HK Equity","CUR_MKT_CAP",Database!$H428,Database!$H428),"")</f>
        <v/>
      </c>
      <c r="N428" s="97">
        <f>Database!Q428</f>
        <v/>
      </c>
      <c r="O428" s="24">
        <f>IFERROR(BDH(Database!$A428&amp;" HK Equity","PE_RATIO",Database!$H428,Database!$H428),"")</f>
        <v/>
      </c>
      <c r="P428" s="101">
        <f>IF(Database!BE428="","(n/m or not derivable)",Database!BE428)</f>
        <v/>
      </c>
      <c r="Q428" s="24">
        <f>IF(Database!BK428="","",IFERROR(BDH(LEFT(Database!BK428,FIND(".",Database!BK428)-1)&amp;" CH Equity","PE_RATIO",Database!$H428,Database!$H428),""))</f>
        <v/>
      </c>
      <c r="R428" s="24">
        <f>IF(Database!BK428="","",IFERROR(BDH("HSAHP Index","PX_LAST",Database!$H428,Database!$H428),""))</f>
        <v/>
      </c>
      <c r="S428" s="24">
        <f>IFERROR(BDP(Database!$A428&amp;" HK Equity","PX_TO_SALES_RATIO"),"")</f>
        <v/>
      </c>
      <c r="T428" s="18">
        <f>IF(Database!BK428="","",IFERROR(BDP(LEFT(Database!BK428,FIND(".",Database!BK428)-1)&amp;"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Database!AF429</f>
        <v/>
      </c>
      <c r="J429" s="24">
        <f>IFERROR(BDP(Database!$A429&amp;" HK Equity","PE_RATIO"),"")</f>
        <v/>
      </c>
      <c r="K429" s="10">
        <f>IFERROR(BDP(Database!$A429&amp;" HK Equity","A/H_SHARE_CONVERSION"),"")</f>
        <v/>
      </c>
      <c r="L429" s="16">
        <f>IF(Database!BK429="","(none found)",Database!BK429)</f>
        <v/>
      </c>
      <c r="M429" s="18">
        <f>IFERROR(BDH(Database!$A429&amp;" HK Equity","CUR_MKT_CAP",Database!$H429,Database!$H429),"")</f>
        <v/>
      </c>
      <c r="N429" s="97">
        <f>Database!Q429</f>
        <v/>
      </c>
      <c r="O429" s="24">
        <f>IFERROR(BDH(Database!$A429&amp;" HK Equity","PE_RATIO",Database!$H429,Database!$H429),"")</f>
        <v/>
      </c>
      <c r="P429" s="101">
        <f>IF(Database!BE429="","(n/m or not derivable)",Database!BE429)</f>
        <v/>
      </c>
      <c r="Q429" s="24">
        <f>IF(Database!BK429="","",IFERROR(BDH(LEFT(Database!BK429,FIND(".",Database!BK429)-1)&amp;" CH Equity","PE_RATIO",Database!$H429,Database!$H429),""))</f>
        <v/>
      </c>
      <c r="R429" s="24">
        <f>IF(Database!BK429="","",IFERROR(BDH("HSAHP Index","PX_LAST",Database!$H429,Database!$H429),""))</f>
        <v/>
      </c>
      <c r="S429" s="24">
        <f>IFERROR(BDP(Database!$A429&amp;" HK Equity","PX_TO_SALES_RATIO"),"")</f>
        <v/>
      </c>
      <c r="T429" s="18">
        <f>IF(Database!BK429="","",IFERROR(BDP(LEFT(Database!BK429,FIND(".",Database!BK429)-1)&amp;"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Database!AF430</f>
        <v/>
      </c>
      <c r="J430" s="24">
        <f>IFERROR(BDP(Database!$A430&amp;" HK Equity","PE_RATIO"),"")</f>
        <v/>
      </c>
      <c r="K430" s="10">
        <f>IFERROR(BDP(Database!$A430&amp;" HK Equity","A/H_SHARE_CONVERSION"),"")</f>
        <v/>
      </c>
      <c r="L430" s="16">
        <f>IF(Database!BK430="","(none found)",Database!BK430)</f>
        <v/>
      </c>
      <c r="M430" s="18">
        <f>IFERROR(BDH(Database!$A430&amp;" HK Equity","CUR_MKT_CAP",Database!$H430,Database!$H430),"")</f>
        <v/>
      </c>
      <c r="N430" s="97">
        <f>Database!Q430</f>
        <v/>
      </c>
      <c r="O430" s="24">
        <f>IFERROR(BDH(Database!$A430&amp;" HK Equity","PE_RATIO",Database!$H430,Database!$H430),"")</f>
        <v/>
      </c>
      <c r="P430" s="101">
        <f>IF(Database!BE430="","(n/m or not derivable)",Database!BE430)</f>
        <v/>
      </c>
      <c r="Q430" s="24">
        <f>IF(Database!BK430="","",IFERROR(BDH(LEFT(Database!BK430,FIND(".",Database!BK430)-1)&amp;" CH Equity","PE_RATIO",Database!$H430,Database!$H430),""))</f>
        <v/>
      </c>
      <c r="R430" s="24">
        <f>IF(Database!BK430="","",IFERROR(BDH("HSAHP Index","PX_LAST",Database!$H430,Database!$H430),""))</f>
        <v/>
      </c>
      <c r="S430" s="24">
        <f>IFERROR(BDP(Database!$A430&amp;" HK Equity","PX_TO_SALES_RATIO"),"")</f>
        <v/>
      </c>
      <c r="T430" s="18">
        <f>IF(Database!BK430="","",IFERROR(BDP(LEFT(Database!BK430,FIND(".",Database!BK430)-1)&amp;"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Database!AF431</f>
        <v/>
      </c>
      <c r="J431" s="24">
        <f>IFERROR(BDP(Database!$A431&amp;" HK Equity","PE_RATIO"),"")</f>
        <v/>
      </c>
      <c r="K431" s="10">
        <f>IFERROR(BDP(Database!$A431&amp;" HK Equity","A/H_SHARE_CONVERSION"),"")</f>
        <v/>
      </c>
      <c r="L431" s="16">
        <f>IF(Database!BK431="","(none found)",Database!BK431)</f>
        <v/>
      </c>
      <c r="M431" s="18">
        <f>IFERROR(BDH(Database!$A431&amp;" HK Equity","CUR_MKT_CAP",Database!$H431,Database!$H431),"")</f>
        <v/>
      </c>
      <c r="N431" s="97">
        <f>Database!Q431</f>
        <v/>
      </c>
      <c r="O431" s="24">
        <f>IFERROR(BDH(Database!$A431&amp;" HK Equity","PE_RATIO",Database!$H431,Database!$H431),"")</f>
        <v/>
      </c>
      <c r="P431" s="101">
        <f>IF(Database!BE431="","(n/m or not derivable)",Database!BE431)</f>
        <v/>
      </c>
      <c r="Q431" s="24">
        <f>IF(Database!BK431="","",IFERROR(BDH(LEFT(Database!BK431,FIND(".",Database!BK431)-1)&amp;" CH Equity","PE_RATIO",Database!$H431,Database!$H431),""))</f>
        <v/>
      </c>
      <c r="R431" s="24">
        <f>IF(Database!BK431="","",IFERROR(BDH("HSAHP Index","PX_LAST",Database!$H431,Database!$H431),""))</f>
        <v/>
      </c>
      <c r="S431" s="24">
        <f>IFERROR(BDP(Database!$A431&amp;" HK Equity","PX_TO_SALES_RATIO"),"")</f>
        <v/>
      </c>
      <c r="T431" s="18">
        <f>IF(Database!BK431="","",IFERROR(BDP(LEFT(Database!BK431,FIND(".",Database!BK431)-1)&amp;"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Database!AF432</f>
        <v/>
      </c>
      <c r="J432" s="24">
        <f>IFERROR(BDP(Database!$A432&amp;" HK Equity","PE_RATIO"),"")</f>
        <v/>
      </c>
      <c r="K432" s="10">
        <f>IFERROR(BDP(Database!$A432&amp;" HK Equity","A/H_SHARE_CONVERSION"),"")</f>
        <v/>
      </c>
      <c r="L432" s="16">
        <f>IF(Database!BK432="","(none found)",Database!BK432)</f>
        <v/>
      </c>
      <c r="M432" s="18">
        <f>IFERROR(BDH(Database!$A432&amp;" HK Equity","CUR_MKT_CAP",Database!$H432,Database!$H432),"")</f>
        <v/>
      </c>
      <c r="N432" s="97">
        <f>Database!Q432</f>
        <v/>
      </c>
      <c r="O432" s="24">
        <f>IFERROR(BDH(Database!$A432&amp;" HK Equity","PE_RATIO",Database!$H432,Database!$H432),"")</f>
        <v/>
      </c>
      <c r="P432" s="101">
        <f>IF(Database!BE432="","(n/m or not derivable)",Database!BE432)</f>
        <v/>
      </c>
      <c r="Q432" s="24">
        <f>IF(Database!BK432="","",IFERROR(BDH(LEFT(Database!BK432,FIND(".",Database!BK432)-1)&amp;" CH Equity","PE_RATIO",Database!$H432,Database!$H432),""))</f>
        <v/>
      </c>
      <c r="R432" s="24">
        <f>IF(Database!BK432="","",IFERROR(BDH("HSAHP Index","PX_LAST",Database!$H432,Database!$H432),""))</f>
        <v/>
      </c>
      <c r="S432" s="24">
        <f>IFERROR(BDP(Database!$A432&amp;" HK Equity","PX_TO_SALES_RATIO"),"")</f>
        <v/>
      </c>
      <c r="T432" s="18">
        <f>IF(Database!BK432="","",IFERROR(BDP(LEFT(Database!BK432,FIND(".",Database!BK432)-1)&amp;"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Database!AF433</f>
        <v/>
      </c>
      <c r="J433" s="24">
        <f>IFERROR(BDP(Database!$A433&amp;" HK Equity","PE_RATIO"),"")</f>
        <v/>
      </c>
      <c r="K433" s="10">
        <f>IFERROR(BDP(Database!$A433&amp;" HK Equity","A/H_SHARE_CONVERSION"),"")</f>
        <v/>
      </c>
      <c r="L433" s="16">
        <f>IF(Database!BK433="","(none found)",Database!BK433)</f>
        <v/>
      </c>
      <c r="M433" s="18">
        <f>IFERROR(BDH(Database!$A433&amp;" HK Equity","CUR_MKT_CAP",Database!$H433,Database!$H433),"")</f>
        <v/>
      </c>
      <c r="N433" s="97">
        <f>Database!Q433</f>
        <v/>
      </c>
      <c r="O433" s="24">
        <f>IFERROR(BDH(Database!$A433&amp;" HK Equity","PE_RATIO",Database!$H433,Database!$H433),"")</f>
        <v/>
      </c>
      <c r="P433" s="101">
        <f>IF(Database!BE433="","(n/m or not derivable)",Database!BE433)</f>
        <v/>
      </c>
      <c r="Q433" s="24">
        <f>IF(Database!BK433="","",IFERROR(BDH(LEFT(Database!BK433,FIND(".",Database!BK433)-1)&amp;" CH Equity","PE_RATIO",Database!$H433,Database!$H433),""))</f>
        <v/>
      </c>
      <c r="R433" s="24">
        <f>IF(Database!BK433="","",IFERROR(BDH("HSAHP Index","PX_LAST",Database!$H433,Database!$H433),""))</f>
        <v/>
      </c>
      <c r="S433" s="24">
        <f>IFERROR(BDP(Database!$A433&amp;" HK Equity","PX_TO_SALES_RATIO"),"")</f>
        <v/>
      </c>
      <c r="T433" s="18">
        <f>IF(Database!BK433="","",IFERROR(BDP(LEFT(Database!BK433,FIND(".",Database!BK433)-1)&amp;"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Database!AF434</f>
        <v/>
      </c>
      <c r="J434" s="24">
        <f>IFERROR(BDP(Database!$A434&amp;" HK Equity","PE_RATIO"),"")</f>
        <v/>
      </c>
      <c r="K434" s="10">
        <f>IFERROR(BDP(Database!$A434&amp;" HK Equity","A/H_SHARE_CONVERSION"),"")</f>
        <v/>
      </c>
      <c r="L434" s="16">
        <f>IF(Database!BK434="","(none found)",Database!BK434)</f>
        <v/>
      </c>
      <c r="M434" s="18">
        <f>IFERROR(BDH(Database!$A434&amp;" HK Equity","CUR_MKT_CAP",Database!$H434,Database!$H434),"")</f>
        <v/>
      </c>
      <c r="N434" s="97">
        <f>Database!Q434</f>
        <v/>
      </c>
      <c r="O434" s="24">
        <f>IFERROR(BDH(Database!$A434&amp;" HK Equity","PE_RATIO",Database!$H434,Database!$H434),"")</f>
        <v/>
      </c>
      <c r="P434" s="101">
        <f>IF(Database!BE434="","(n/m or not derivable)",Database!BE434)</f>
        <v/>
      </c>
      <c r="Q434" s="24">
        <f>IF(Database!BK434="","",IFERROR(BDH(LEFT(Database!BK434,FIND(".",Database!BK434)-1)&amp;" CH Equity","PE_RATIO",Database!$H434,Database!$H434),""))</f>
        <v/>
      </c>
      <c r="R434" s="24">
        <f>IF(Database!BK434="","",IFERROR(BDH("HSAHP Index","PX_LAST",Database!$H434,Database!$H434),""))</f>
        <v/>
      </c>
      <c r="S434" s="24">
        <f>IFERROR(BDP(Database!$A434&amp;" HK Equity","PX_TO_SALES_RATIO"),"")</f>
        <v/>
      </c>
      <c r="T434" s="18">
        <f>IF(Database!BK434="","",IFERROR(BDP(LEFT(Database!BK434,FIND(".",Database!BK434)-1)&amp;"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Database!AF435</f>
        <v/>
      </c>
      <c r="J435" s="24">
        <f>IFERROR(BDP(Database!$A435&amp;" HK Equity","PE_RATIO"),"")</f>
        <v/>
      </c>
      <c r="K435" s="10">
        <f>IFERROR(BDP(Database!$A435&amp;" HK Equity","A/H_SHARE_CONVERSION"),"")</f>
        <v/>
      </c>
      <c r="L435" s="16">
        <f>IF(Database!BK435="","(none found)",Database!BK435)</f>
        <v/>
      </c>
      <c r="M435" s="18">
        <f>IFERROR(BDH(Database!$A435&amp;" HK Equity","CUR_MKT_CAP",Database!$H435,Database!$H435),"")</f>
        <v/>
      </c>
      <c r="N435" s="97">
        <f>Database!Q435</f>
        <v/>
      </c>
      <c r="O435" s="24">
        <f>IFERROR(BDH(Database!$A435&amp;" HK Equity","PE_RATIO",Database!$H435,Database!$H435),"")</f>
        <v/>
      </c>
      <c r="P435" s="101">
        <f>IF(Database!BE435="","(n/m or not derivable)",Database!BE435)</f>
        <v/>
      </c>
      <c r="Q435" s="24">
        <f>IF(Database!BK435="","",IFERROR(BDH(LEFT(Database!BK435,FIND(".",Database!BK435)-1)&amp;" CH Equity","PE_RATIO",Database!$H435,Database!$H435),""))</f>
        <v/>
      </c>
      <c r="R435" s="24">
        <f>IF(Database!BK435="","",IFERROR(BDH("HSAHP Index","PX_LAST",Database!$H435,Database!$H435),""))</f>
        <v/>
      </c>
      <c r="S435" s="24">
        <f>IFERROR(BDP(Database!$A435&amp;" HK Equity","PX_TO_SALES_RATIO"),"")</f>
        <v/>
      </c>
      <c r="T435" s="18">
        <f>IF(Database!BK435="","",IFERROR(BDP(LEFT(Database!BK435,FIND(".",Database!BK435)-1)&amp;"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Database!AF436</f>
        <v/>
      </c>
      <c r="J436" s="24">
        <f>IFERROR(BDP(Database!$A436&amp;" HK Equity","PE_RATIO"),"")</f>
        <v/>
      </c>
      <c r="K436" s="10">
        <f>IFERROR(BDP(Database!$A436&amp;" HK Equity","A/H_SHARE_CONVERSION"),"")</f>
        <v/>
      </c>
      <c r="L436" s="16">
        <f>IF(Database!BK436="","(none found)",Database!BK436)</f>
        <v/>
      </c>
      <c r="M436" s="18">
        <f>IFERROR(BDH(Database!$A436&amp;" HK Equity","CUR_MKT_CAP",Database!$H436,Database!$H436),"")</f>
        <v/>
      </c>
      <c r="N436" s="97">
        <f>Database!Q436</f>
        <v/>
      </c>
      <c r="O436" s="24">
        <f>IFERROR(BDH(Database!$A436&amp;" HK Equity","PE_RATIO",Database!$H436,Database!$H436),"")</f>
        <v/>
      </c>
      <c r="P436" s="101">
        <f>IF(Database!BE436="","(n/m or not derivable)",Database!BE436)</f>
        <v/>
      </c>
      <c r="Q436" s="24">
        <f>IF(Database!BK436="","",IFERROR(BDH(LEFT(Database!BK436,FIND(".",Database!BK436)-1)&amp;" CH Equity","PE_RATIO",Database!$H436,Database!$H436),""))</f>
        <v/>
      </c>
      <c r="R436" s="24">
        <f>IF(Database!BK436="","",IFERROR(BDH("HSAHP Index","PX_LAST",Database!$H436,Database!$H436),""))</f>
        <v/>
      </c>
      <c r="S436" s="24">
        <f>IFERROR(BDP(Database!$A436&amp;" HK Equity","PX_TO_SALES_RATIO"),"")</f>
        <v/>
      </c>
      <c r="T436" s="18">
        <f>IF(Database!BK436="","",IFERROR(BDP(LEFT(Database!BK436,FIND(".",Database!BK436)-1)&amp;"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Database!AF437</f>
        <v/>
      </c>
      <c r="J437" s="24">
        <f>IFERROR(BDP(Database!$A437&amp;" HK Equity","PE_RATIO"),"")</f>
        <v/>
      </c>
      <c r="K437" s="10">
        <f>IFERROR(BDP(Database!$A437&amp;" HK Equity","A/H_SHARE_CONVERSION"),"")</f>
        <v/>
      </c>
      <c r="L437" s="16">
        <f>IF(Database!BK437="","(none found)",Database!BK437)</f>
        <v/>
      </c>
      <c r="M437" s="18">
        <f>IFERROR(BDH(Database!$A437&amp;" HK Equity","CUR_MKT_CAP",Database!$H437,Database!$H437),"")</f>
        <v/>
      </c>
      <c r="N437" s="97">
        <f>Database!Q437</f>
        <v/>
      </c>
      <c r="O437" s="24">
        <f>IFERROR(BDH(Database!$A437&amp;" HK Equity","PE_RATIO",Database!$H437,Database!$H437),"")</f>
        <v/>
      </c>
      <c r="P437" s="101">
        <f>IF(Database!BE437="","(n/m or not derivable)",Database!BE437)</f>
        <v/>
      </c>
      <c r="Q437" s="24">
        <f>IF(Database!BK437="","",IFERROR(BDH(LEFT(Database!BK437,FIND(".",Database!BK437)-1)&amp;" CH Equity","PE_RATIO",Database!$H437,Database!$H437),""))</f>
        <v/>
      </c>
      <c r="R437" s="24">
        <f>IF(Database!BK437="","",IFERROR(BDH("HSAHP Index","PX_LAST",Database!$H437,Database!$H437),""))</f>
        <v/>
      </c>
      <c r="S437" s="24">
        <f>IFERROR(BDP(Database!$A437&amp;" HK Equity","PX_TO_SALES_RATIO"),"")</f>
        <v/>
      </c>
      <c r="T437" s="18">
        <f>IF(Database!BK437="","",IFERROR(BDP(LEFT(Database!BK437,FIND(".",Database!BK437)-1)&amp;"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Database!AF438</f>
        <v/>
      </c>
      <c r="J438" s="24">
        <f>IFERROR(BDP(Database!$A438&amp;" HK Equity","PE_RATIO"),"")</f>
        <v/>
      </c>
      <c r="K438" s="10">
        <f>IFERROR(BDP(Database!$A438&amp;" HK Equity","A/H_SHARE_CONVERSION"),"")</f>
        <v/>
      </c>
      <c r="L438" s="16">
        <f>IF(Database!BK438="","(none found)",Database!BK438)</f>
        <v/>
      </c>
      <c r="M438" s="18">
        <f>IFERROR(BDH(Database!$A438&amp;" HK Equity","CUR_MKT_CAP",Database!$H438,Database!$H438),"")</f>
        <v/>
      </c>
      <c r="N438" s="97">
        <f>Database!Q438</f>
        <v/>
      </c>
      <c r="O438" s="24">
        <f>IFERROR(BDH(Database!$A438&amp;" HK Equity","PE_RATIO",Database!$H438,Database!$H438),"")</f>
        <v/>
      </c>
      <c r="P438" s="101">
        <f>IF(Database!BE438="","(n/m or not derivable)",Database!BE438)</f>
        <v/>
      </c>
      <c r="Q438" s="24">
        <f>IF(Database!BK438="","",IFERROR(BDH(LEFT(Database!BK438,FIND(".",Database!BK438)-1)&amp;" CH Equity","PE_RATIO",Database!$H438,Database!$H438),""))</f>
        <v/>
      </c>
      <c r="R438" s="24">
        <f>IF(Database!BK438="","",IFERROR(BDH("HSAHP Index","PX_LAST",Database!$H438,Database!$H438),""))</f>
        <v/>
      </c>
      <c r="S438" s="24">
        <f>IFERROR(BDP(Database!$A438&amp;" HK Equity","PX_TO_SALES_RATIO"),"")</f>
        <v/>
      </c>
      <c r="T438" s="18">
        <f>IF(Database!BK438="","",IFERROR(BDP(LEFT(Database!BK438,FIND(".",Database!BK438)-1)&amp;"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Database!AF439</f>
        <v/>
      </c>
      <c r="J439" s="24">
        <f>IFERROR(BDP(Database!$A439&amp;" HK Equity","PE_RATIO"),"")</f>
        <v/>
      </c>
      <c r="K439" s="10">
        <f>IFERROR(BDP(Database!$A439&amp;" HK Equity","A/H_SHARE_CONVERSION"),"")</f>
        <v/>
      </c>
      <c r="L439" s="16">
        <f>IF(Database!BK439="","(none found)",Database!BK439)</f>
        <v/>
      </c>
      <c r="M439" s="18">
        <f>IFERROR(BDH(Database!$A439&amp;" HK Equity","CUR_MKT_CAP",Database!$H439,Database!$H439),"")</f>
        <v/>
      </c>
      <c r="N439" s="97">
        <f>Database!Q439</f>
        <v/>
      </c>
      <c r="O439" s="24">
        <f>IFERROR(BDH(Database!$A439&amp;" HK Equity","PE_RATIO",Database!$H439,Database!$H439),"")</f>
        <v/>
      </c>
      <c r="P439" s="101">
        <f>IF(Database!BE439="","(n/m or not derivable)",Database!BE439)</f>
        <v/>
      </c>
      <c r="Q439" s="24">
        <f>IF(Database!BK439="","",IFERROR(BDH(LEFT(Database!BK439,FIND(".",Database!BK439)-1)&amp;" CH Equity","PE_RATIO",Database!$H439,Database!$H439),""))</f>
        <v/>
      </c>
      <c r="R439" s="24">
        <f>IF(Database!BK439="","",IFERROR(BDH("HSAHP Index","PX_LAST",Database!$H439,Database!$H439),""))</f>
        <v/>
      </c>
      <c r="S439" s="24">
        <f>IFERROR(BDP(Database!$A439&amp;" HK Equity","PX_TO_SALES_RATIO"),"")</f>
        <v/>
      </c>
      <c r="T439" s="18">
        <f>IF(Database!BK439="","",IFERROR(BDP(LEFT(Database!BK439,FIND(".",Database!BK439)-1)&amp;"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Database!AF440</f>
        <v/>
      </c>
      <c r="J440" s="24">
        <f>IFERROR(BDP(Database!$A440&amp;" HK Equity","PE_RATIO"),"")</f>
        <v/>
      </c>
      <c r="K440" s="10">
        <f>IFERROR(BDP(Database!$A440&amp;" HK Equity","A/H_SHARE_CONVERSION"),"")</f>
        <v/>
      </c>
      <c r="L440" s="16">
        <f>IF(Database!BK440="","(none found)",Database!BK440)</f>
        <v/>
      </c>
      <c r="M440" s="18">
        <f>IFERROR(BDH(Database!$A440&amp;" HK Equity","CUR_MKT_CAP",Database!$H440,Database!$H440),"")</f>
        <v/>
      </c>
      <c r="N440" s="97">
        <f>Database!Q440</f>
        <v/>
      </c>
      <c r="O440" s="24">
        <f>IFERROR(BDH(Database!$A440&amp;" HK Equity","PE_RATIO",Database!$H440,Database!$H440),"")</f>
        <v/>
      </c>
      <c r="P440" s="101">
        <f>IF(Database!BE440="","(n/m or not derivable)",Database!BE440)</f>
        <v/>
      </c>
      <c r="Q440" s="24">
        <f>IF(Database!BK440="","",IFERROR(BDH(LEFT(Database!BK440,FIND(".",Database!BK440)-1)&amp;" CH Equity","PE_RATIO",Database!$H440,Database!$H440),""))</f>
        <v/>
      </c>
      <c r="R440" s="24">
        <f>IF(Database!BK440="","",IFERROR(BDH("HSAHP Index","PX_LAST",Database!$H440,Database!$H440),""))</f>
        <v/>
      </c>
      <c r="S440" s="24">
        <f>IFERROR(BDP(Database!$A440&amp;" HK Equity","PX_TO_SALES_RATIO"),"")</f>
        <v/>
      </c>
      <c r="T440" s="18">
        <f>IF(Database!BK440="","",IFERROR(BDP(LEFT(Database!BK440,FIND(".",Database!BK440)-1)&amp;"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Database!AF441</f>
        <v/>
      </c>
      <c r="J441" s="24">
        <f>IFERROR(BDP(Database!$A441&amp;" HK Equity","PE_RATIO"),"")</f>
        <v/>
      </c>
      <c r="K441" s="10">
        <f>IFERROR(BDP(Database!$A441&amp;" HK Equity","A/H_SHARE_CONVERSION"),"")</f>
        <v/>
      </c>
      <c r="L441" s="16">
        <f>IF(Database!BK441="","(none found)",Database!BK441)</f>
        <v/>
      </c>
      <c r="M441" s="18">
        <f>IFERROR(BDH(Database!$A441&amp;" HK Equity","CUR_MKT_CAP",Database!$H441,Database!$H441),"")</f>
        <v/>
      </c>
      <c r="N441" s="97">
        <f>Database!Q441</f>
        <v/>
      </c>
      <c r="O441" s="24">
        <f>IFERROR(BDH(Database!$A441&amp;" HK Equity","PE_RATIO",Database!$H441,Database!$H441),"")</f>
        <v/>
      </c>
      <c r="P441" s="101">
        <f>IF(Database!BE441="","(n/m or not derivable)",Database!BE441)</f>
        <v/>
      </c>
      <c r="Q441" s="24">
        <f>IF(Database!BK441="","",IFERROR(BDH(LEFT(Database!BK441,FIND(".",Database!BK441)-1)&amp;" CH Equity","PE_RATIO",Database!$H441,Database!$H441),""))</f>
        <v/>
      </c>
      <c r="R441" s="24">
        <f>IF(Database!BK441="","",IFERROR(BDH("HSAHP Index","PX_LAST",Database!$H441,Database!$H441),""))</f>
        <v/>
      </c>
      <c r="S441" s="24">
        <f>IFERROR(BDP(Database!$A441&amp;" HK Equity","PX_TO_SALES_RATIO"),"")</f>
        <v/>
      </c>
      <c r="T441" s="18">
        <f>IF(Database!BK441="","",IFERROR(BDP(LEFT(Database!BK441,FIND(".",Database!BK441)-1)&amp;"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Database!AF442</f>
        <v/>
      </c>
      <c r="J442" s="24">
        <f>IFERROR(BDP(Database!$A442&amp;" HK Equity","PE_RATIO"),"")</f>
        <v/>
      </c>
      <c r="K442" s="10">
        <f>IFERROR(BDP(Database!$A442&amp;" HK Equity","A/H_SHARE_CONVERSION"),"")</f>
        <v/>
      </c>
      <c r="L442" s="16">
        <f>IF(Database!BK442="","(none found)",Database!BK442)</f>
        <v/>
      </c>
      <c r="M442" s="18">
        <f>IFERROR(BDH(Database!$A442&amp;" HK Equity","CUR_MKT_CAP",Database!$H442,Database!$H442),"")</f>
        <v/>
      </c>
      <c r="N442" s="97">
        <f>Database!Q442</f>
        <v/>
      </c>
      <c r="O442" s="24">
        <f>IFERROR(BDH(Database!$A442&amp;" HK Equity","PE_RATIO",Database!$H442,Database!$H442),"")</f>
        <v/>
      </c>
      <c r="P442" s="101">
        <f>IF(Database!BE442="","(n/m or not derivable)",Database!BE442)</f>
        <v/>
      </c>
      <c r="Q442" s="24">
        <f>IF(Database!BK442="","",IFERROR(BDH(LEFT(Database!BK442,FIND(".",Database!BK442)-1)&amp;" CH Equity","PE_RATIO",Database!$H442,Database!$H442),""))</f>
        <v/>
      </c>
      <c r="R442" s="24">
        <f>IF(Database!BK442="","",IFERROR(BDH("HSAHP Index","PX_LAST",Database!$H442,Database!$H442),""))</f>
        <v/>
      </c>
      <c r="S442" s="24">
        <f>IFERROR(BDP(Database!$A442&amp;" HK Equity","PX_TO_SALES_RATIO"),"")</f>
        <v/>
      </c>
      <c r="T442" s="18">
        <f>IF(Database!BK442="","",IFERROR(BDP(LEFT(Database!BK442,FIND(".",Database!BK442)-1)&amp;"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Database!AF443</f>
        <v/>
      </c>
      <c r="J443" s="24">
        <f>IFERROR(BDP(Database!$A443&amp;" HK Equity","PE_RATIO"),"")</f>
        <v/>
      </c>
      <c r="K443" s="10">
        <f>IFERROR(BDP(Database!$A443&amp;" HK Equity","A/H_SHARE_CONVERSION"),"")</f>
        <v/>
      </c>
      <c r="L443" s="16">
        <f>IF(Database!BK443="","(none found)",Database!BK443)</f>
        <v/>
      </c>
      <c r="M443" s="18">
        <f>IFERROR(BDH(Database!$A443&amp;" HK Equity","CUR_MKT_CAP",Database!$H443,Database!$H443),"")</f>
        <v/>
      </c>
      <c r="N443" s="97">
        <f>Database!Q443</f>
        <v/>
      </c>
      <c r="O443" s="24">
        <f>IFERROR(BDH(Database!$A443&amp;" HK Equity","PE_RATIO",Database!$H443,Database!$H443),"")</f>
        <v/>
      </c>
      <c r="P443" s="101">
        <f>IF(Database!BE443="","(n/m or not derivable)",Database!BE443)</f>
        <v/>
      </c>
      <c r="Q443" s="24">
        <f>IF(Database!BK443="","",IFERROR(BDH(LEFT(Database!BK443,FIND(".",Database!BK443)-1)&amp;" CH Equity","PE_RATIO",Database!$H443,Database!$H443),""))</f>
        <v/>
      </c>
      <c r="R443" s="24">
        <f>IF(Database!BK443="","",IFERROR(BDH("HSAHP Index","PX_LAST",Database!$H443,Database!$H443),""))</f>
        <v/>
      </c>
      <c r="S443" s="24">
        <f>IFERROR(BDP(Database!$A443&amp;" HK Equity","PX_TO_SALES_RATIO"),"")</f>
        <v/>
      </c>
      <c r="T443" s="18">
        <f>IF(Database!BK443="","",IFERROR(BDP(LEFT(Database!BK443,FIND(".",Database!BK443)-1)&amp;"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Database!AF444</f>
        <v/>
      </c>
      <c r="J444" s="24">
        <f>IFERROR(BDP(Database!$A444&amp;" HK Equity","PE_RATIO"),"")</f>
        <v/>
      </c>
      <c r="K444" s="10">
        <f>IFERROR(BDP(Database!$A444&amp;" HK Equity","A/H_SHARE_CONVERSION"),"")</f>
        <v/>
      </c>
      <c r="L444" s="16">
        <f>IF(Database!BK444="","(none found)",Database!BK444)</f>
        <v/>
      </c>
      <c r="M444" s="18">
        <f>IFERROR(BDH(Database!$A444&amp;" HK Equity","CUR_MKT_CAP",Database!$H444,Database!$H444),"")</f>
        <v/>
      </c>
      <c r="N444" s="97">
        <f>Database!Q444</f>
        <v/>
      </c>
      <c r="O444" s="24">
        <f>IFERROR(BDH(Database!$A444&amp;" HK Equity","PE_RATIO",Database!$H444,Database!$H444),"")</f>
        <v/>
      </c>
      <c r="P444" s="101">
        <f>IF(Database!BE444="","(n/m or not derivable)",Database!BE444)</f>
        <v/>
      </c>
      <c r="Q444" s="24">
        <f>IF(Database!BK444="","",IFERROR(BDH(LEFT(Database!BK444,FIND(".",Database!BK444)-1)&amp;" CH Equity","PE_RATIO",Database!$H444,Database!$H444),""))</f>
        <v/>
      </c>
      <c r="R444" s="24">
        <f>IF(Database!BK444="","",IFERROR(BDH("HSAHP Index","PX_LAST",Database!$H444,Database!$H444),""))</f>
        <v/>
      </c>
      <c r="S444" s="24">
        <f>IFERROR(BDP(Database!$A444&amp;" HK Equity","PX_TO_SALES_RATIO"),"")</f>
        <v/>
      </c>
      <c r="T444" s="18">
        <f>IF(Database!BK444="","",IFERROR(BDP(LEFT(Database!BK444,FIND(".",Database!BK444)-1)&amp;"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Database!AF445</f>
        <v/>
      </c>
      <c r="J445" s="24">
        <f>IFERROR(BDP(Database!$A445&amp;" HK Equity","PE_RATIO"),"")</f>
        <v/>
      </c>
      <c r="K445" s="10">
        <f>IFERROR(BDP(Database!$A445&amp;" HK Equity","A/H_SHARE_CONVERSION"),"")</f>
        <v/>
      </c>
      <c r="L445" s="16">
        <f>IF(Database!BK445="","(none found)",Database!BK445)</f>
        <v/>
      </c>
      <c r="M445" s="18">
        <f>IFERROR(BDH(Database!$A445&amp;" HK Equity","CUR_MKT_CAP",Database!$H445,Database!$H445),"")</f>
        <v/>
      </c>
      <c r="N445" s="97">
        <f>Database!Q445</f>
        <v/>
      </c>
      <c r="O445" s="24">
        <f>IFERROR(BDH(Database!$A445&amp;" HK Equity","PE_RATIO",Database!$H445,Database!$H445),"")</f>
        <v/>
      </c>
      <c r="P445" s="101">
        <f>IF(Database!BE445="","(n/m or not derivable)",Database!BE445)</f>
        <v/>
      </c>
      <c r="Q445" s="24">
        <f>IF(Database!BK445="","",IFERROR(BDH(LEFT(Database!BK445,FIND(".",Database!BK445)-1)&amp;" CH Equity","PE_RATIO",Database!$H445,Database!$H445),""))</f>
        <v/>
      </c>
      <c r="R445" s="24">
        <f>IF(Database!BK445="","",IFERROR(BDH("HSAHP Index","PX_LAST",Database!$H445,Database!$H445),""))</f>
        <v/>
      </c>
      <c r="S445" s="24">
        <f>IFERROR(BDP(Database!$A445&amp;" HK Equity","PX_TO_SALES_RATIO"),"")</f>
        <v/>
      </c>
      <c r="T445" s="18">
        <f>IF(Database!BK445="","",IFERROR(BDP(LEFT(Database!BK445,FIND(".",Database!BK445)-1)&amp;"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Database!AF446</f>
        <v/>
      </c>
      <c r="J446" s="24">
        <f>IFERROR(BDP(Database!$A446&amp;" HK Equity","PE_RATIO"),"")</f>
        <v/>
      </c>
      <c r="K446" s="10">
        <f>IFERROR(BDP(Database!$A446&amp;" HK Equity","A/H_SHARE_CONVERSION"),"")</f>
        <v/>
      </c>
      <c r="L446" s="16">
        <f>IF(Database!BK446="","(none found)",Database!BK446)</f>
        <v/>
      </c>
      <c r="M446" s="18">
        <f>IFERROR(BDH(Database!$A446&amp;" HK Equity","CUR_MKT_CAP",Database!$H446,Database!$H446),"")</f>
        <v/>
      </c>
      <c r="N446" s="97">
        <f>Database!Q446</f>
        <v/>
      </c>
      <c r="O446" s="24">
        <f>IFERROR(BDH(Database!$A446&amp;" HK Equity","PE_RATIO",Database!$H446,Database!$H446),"")</f>
        <v/>
      </c>
      <c r="P446" s="101">
        <f>IF(Database!BE446="","(n/m or not derivable)",Database!BE446)</f>
        <v/>
      </c>
      <c r="Q446" s="24">
        <f>IF(Database!BK446="","",IFERROR(BDH(LEFT(Database!BK446,FIND(".",Database!BK446)-1)&amp;" CH Equity","PE_RATIO",Database!$H446,Database!$H446),""))</f>
        <v/>
      </c>
      <c r="R446" s="24">
        <f>IF(Database!BK446="","",IFERROR(BDH("HSAHP Index","PX_LAST",Database!$H446,Database!$H446),""))</f>
        <v/>
      </c>
      <c r="S446" s="24">
        <f>IFERROR(BDP(Database!$A446&amp;" HK Equity","PX_TO_SALES_RATIO"),"")</f>
        <v/>
      </c>
      <c r="T446" s="18">
        <f>IF(Database!BK446="","",IFERROR(BDP(LEFT(Database!BK446,FIND(".",Database!BK446)-1)&amp;"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Database!AF447</f>
        <v/>
      </c>
      <c r="J447" s="24">
        <f>IFERROR(BDP(Database!$A447&amp;" HK Equity","PE_RATIO"),"")</f>
        <v/>
      </c>
      <c r="K447" s="10">
        <f>IFERROR(BDP(Database!$A447&amp;" HK Equity","A/H_SHARE_CONVERSION"),"")</f>
        <v/>
      </c>
      <c r="L447" s="16">
        <f>IF(Database!BK447="","(none found)",Database!BK447)</f>
        <v/>
      </c>
      <c r="M447" s="18">
        <f>IFERROR(BDH(Database!$A447&amp;" HK Equity","CUR_MKT_CAP",Database!$H447,Database!$H447),"")</f>
        <v/>
      </c>
      <c r="N447" s="97">
        <f>Database!Q447</f>
        <v/>
      </c>
      <c r="O447" s="24">
        <f>IFERROR(BDH(Database!$A447&amp;" HK Equity","PE_RATIO",Database!$H447,Database!$H447),"")</f>
        <v/>
      </c>
      <c r="P447" s="101">
        <f>IF(Database!BE447="","(n/m or not derivable)",Database!BE447)</f>
        <v/>
      </c>
      <c r="Q447" s="24">
        <f>IF(Database!BK447="","",IFERROR(BDH(LEFT(Database!BK447,FIND(".",Database!BK447)-1)&amp;" CH Equity","PE_RATIO",Database!$H447,Database!$H447),""))</f>
        <v/>
      </c>
      <c r="R447" s="24">
        <f>IF(Database!BK447="","",IFERROR(BDH("HSAHP Index","PX_LAST",Database!$H447,Database!$H447),""))</f>
        <v/>
      </c>
      <c r="S447" s="24">
        <f>IFERROR(BDP(Database!$A447&amp;" HK Equity","PX_TO_SALES_RATIO"),"")</f>
        <v/>
      </c>
      <c r="T447" s="18">
        <f>IF(Database!BK447="","",IFERROR(BDP(LEFT(Database!BK447,FIND(".",Database!BK447)-1)&amp;"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Database!AF448</f>
        <v/>
      </c>
      <c r="J448" s="24">
        <f>IFERROR(BDP(Database!$A448&amp;" HK Equity","PE_RATIO"),"")</f>
        <v/>
      </c>
      <c r="K448" s="10">
        <f>IFERROR(BDP(Database!$A448&amp;" HK Equity","A/H_SHARE_CONVERSION"),"")</f>
        <v/>
      </c>
      <c r="L448" s="16">
        <f>IF(Database!BK448="","(none found)",Database!BK448)</f>
        <v/>
      </c>
      <c r="M448" s="18">
        <f>IFERROR(BDH(Database!$A448&amp;" HK Equity","CUR_MKT_CAP",Database!$H448,Database!$H448),"")</f>
        <v/>
      </c>
      <c r="N448" s="97">
        <f>Database!Q448</f>
        <v/>
      </c>
      <c r="O448" s="24">
        <f>IFERROR(BDH(Database!$A448&amp;" HK Equity","PE_RATIO",Database!$H448,Database!$H448),"")</f>
        <v/>
      </c>
      <c r="P448" s="101">
        <f>IF(Database!BE448="","(n/m or not derivable)",Database!BE448)</f>
        <v/>
      </c>
      <c r="Q448" s="24">
        <f>IF(Database!BK448="","",IFERROR(BDH(LEFT(Database!BK448,FIND(".",Database!BK448)-1)&amp;" CH Equity","PE_RATIO",Database!$H448,Database!$H448),""))</f>
        <v/>
      </c>
      <c r="R448" s="24">
        <f>IF(Database!BK448="","",IFERROR(BDH("HSAHP Index","PX_LAST",Database!$H448,Database!$H448),""))</f>
        <v/>
      </c>
      <c r="S448" s="24">
        <f>IFERROR(BDP(Database!$A448&amp;" HK Equity","PX_TO_SALES_RATIO"),"")</f>
        <v/>
      </c>
      <c r="T448" s="18">
        <f>IF(Database!BK448="","",IFERROR(BDP(LEFT(Database!BK448,FIND(".",Database!BK448)-1)&amp;"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Database!AF449</f>
        <v/>
      </c>
      <c r="J449" s="24">
        <f>IFERROR(BDP(Database!$A449&amp;" HK Equity","PE_RATIO"),"")</f>
        <v/>
      </c>
      <c r="K449" s="10">
        <f>IFERROR(BDP(Database!$A449&amp;" HK Equity","A/H_SHARE_CONVERSION"),"")</f>
        <v/>
      </c>
      <c r="L449" s="16">
        <f>IF(Database!BK449="","(none found)",Database!BK449)</f>
        <v/>
      </c>
      <c r="M449" s="18">
        <f>IFERROR(BDH(Database!$A449&amp;" HK Equity","CUR_MKT_CAP",Database!$H449,Database!$H449),"")</f>
        <v/>
      </c>
      <c r="N449" s="97">
        <f>Database!Q449</f>
        <v/>
      </c>
      <c r="O449" s="24">
        <f>IFERROR(BDH(Database!$A449&amp;" HK Equity","PE_RATIO",Database!$H449,Database!$H449),"")</f>
        <v/>
      </c>
      <c r="P449" s="101">
        <f>IF(Database!BE449="","(n/m or not derivable)",Database!BE449)</f>
        <v/>
      </c>
      <c r="Q449" s="24">
        <f>IF(Database!BK449="","",IFERROR(BDH(LEFT(Database!BK449,FIND(".",Database!BK449)-1)&amp;" CH Equity","PE_RATIO",Database!$H449,Database!$H449),""))</f>
        <v/>
      </c>
      <c r="R449" s="24">
        <f>IF(Database!BK449="","",IFERROR(BDH("HSAHP Index","PX_LAST",Database!$H449,Database!$H449),""))</f>
        <v/>
      </c>
      <c r="S449" s="24">
        <f>IFERROR(BDP(Database!$A449&amp;" HK Equity","PX_TO_SALES_RATIO"),"")</f>
        <v/>
      </c>
      <c r="T449" s="18">
        <f>IF(Database!BK449="","",IFERROR(BDP(LEFT(Database!BK449,FIND(".",Database!BK449)-1)&amp;"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Database!AF450</f>
        <v/>
      </c>
      <c r="J450" s="24">
        <f>IFERROR(BDP(Database!$A450&amp;" HK Equity","PE_RATIO"),"")</f>
        <v/>
      </c>
      <c r="K450" s="10">
        <f>IFERROR(BDP(Database!$A450&amp;" HK Equity","A/H_SHARE_CONVERSION"),"")</f>
        <v/>
      </c>
      <c r="L450" s="16">
        <f>IF(Database!BK450="","(none found)",Database!BK450)</f>
        <v/>
      </c>
      <c r="M450" s="18">
        <f>IFERROR(BDH(Database!$A450&amp;" HK Equity","CUR_MKT_CAP",Database!$H450,Database!$H450),"")</f>
        <v/>
      </c>
      <c r="N450" s="97">
        <f>Database!Q450</f>
        <v/>
      </c>
      <c r="O450" s="24">
        <f>IFERROR(BDH(Database!$A450&amp;" HK Equity","PE_RATIO",Database!$H450,Database!$H450),"")</f>
        <v/>
      </c>
      <c r="P450" s="101">
        <f>IF(Database!BE450="","(n/m or not derivable)",Database!BE450)</f>
        <v/>
      </c>
      <c r="Q450" s="24">
        <f>IF(Database!BK450="","",IFERROR(BDH(LEFT(Database!BK450,FIND(".",Database!BK450)-1)&amp;" CH Equity","PE_RATIO",Database!$H450,Database!$H450),""))</f>
        <v/>
      </c>
      <c r="R450" s="24">
        <f>IF(Database!BK450="","",IFERROR(BDH("HSAHP Index","PX_LAST",Database!$H450,Database!$H450),""))</f>
        <v/>
      </c>
      <c r="S450" s="24">
        <f>IFERROR(BDP(Database!$A450&amp;" HK Equity","PX_TO_SALES_RATIO"),"")</f>
        <v/>
      </c>
      <c r="T450" s="18">
        <f>IF(Database!BK450="","",IFERROR(BDP(LEFT(Database!BK450,FIND(".",Database!BK450)-1)&amp;"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Database!AF451</f>
        <v/>
      </c>
      <c r="J451" s="24">
        <f>IFERROR(BDP(Database!$A451&amp;" HK Equity","PE_RATIO"),"")</f>
        <v/>
      </c>
      <c r="K451" s="10">
        <f>IFERROR(BDP(Database!$A451&amp;" HK Equity","A/H_SHARE_CONVERSION"),"")</f>
        <v/>
      </c>
      <c r="L451" s="16">
        <f>IF(Database!BK451="","(none found)",Database!BK451)</f>
        <v/>
      </c>
      <c r="M451" s="18">
        <f>IFERROR(BDH(Database!$A451&amp;" HK Equity","CUR_MKT_CAP",Database!$H451,Database!$H451),"")</f>
        <v/>
      </c>
      <c r="N451" s="97">
        <f>Database!Q451</f>
        <v/>
      </c>
      <c r="O451" s="24">
        <f>IFERROR(BDH(Database!$A451&amp;" HK Equity","PE_RATIO",Database!$H451,Database!$H451),"")</f>
        <v/>
      </c>
      <c r="P451" s="101">
        <f>IF(Database!BE451="","(n/m or not derivable)",Database!BE451)</f>
        <v/>
      </c>
      <c r="Q451" s="24">
        <f>IF(Database!BK451="","",IFERROR(BDH(LEFT(Database!BK451,FIND(".",Database!BK451)-1)&amp;" CH Equity","PE_RATIO",Database!$H451,Database!$H451),""))</f>
        <v/>
      </c>
      <c r="R451" s="24">
        <f>IF(Database!BK451="","",IFERROR(BDH("HSAHP Index","PX_LAST",Database!$H451,Database!$H451),""))</f>
        <v/>
      </c>
      <c r="S451" s="24">
        <f>IFERROR(BDP(Database!$A451&amp;" HK Equity","PX_TO_SALES_RATIO"),"")</f>
        <v/>
      </c>
      <c r="T451" s="18">
        <f>IF(Database!BK451="","",IFERROR(BDP(LEFT(Database!BK451,FIND(".",Database!BK451)-1)&amp;"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Database!AF452</f>
        <v/>
      </c>
      <c r="J452" s="24">
        <f>IFERROR(BDP(Database!$A452&amp;" HK Equity","PE_RATIO"),"")</f>
        <v/>
      </c>
      <c r="K452" s="10">
        <f>IFERROR(BDP(Database!$A452&amp;" HK Equity","A/H_SHARE_CONVERSION"),"")</f>
        <v/>
      </c>
      <c r="L452" s="16">
        <f>IF(Database!BK452="","(none found)",Database!BK452)</f>
        <v/>
      </c>
      <c r="M452" s="18">
        <f>IFERROR(BDH(Database!$A452&amp;" HK Equity","CUR_MKT_CAP",Database!$H452,Database!$H452),"")</f>
        <v/>
      </c>
      <c r="N452" s="97">
        <f>Database!Q452</f>
        <v/>
      </c>
      <c r="O452" s="24">
        <f>IFERROR(BDH(Database!$A452&amp;" HK Equity","PE_RATIO",Database!$H452,Database!$H452),"")</f>
        <v/>
      </c>
      <c r="P452" s="101">
        <f>IF(Database!BE452="","(n/m or not derivable)",Database!BE452)</f>
        <v/>
      </c>
      <c r="Q452" s="24">
        <f>IF(Database!BK452="","",IFERROR(BDH(LEFT(Database!BK452,FIND(".",Database!BK452)-1)&amp;" CH Equity","PE_RATIO",Database!$H452,Database!$H452),""))</f>
        <v/>
      </c>
      <c r="R452" s="24">
        <f>IF(Database!BK452="","",IFERROR(BDH("HSAHP Index","PX_LAST",Database!$H452,Database!$H452),""))</f>
        <v/>
      </c>
      <c r="S452" s="24">
        <f>IFERROR(BDP(Database!$A452&amp;" HK Equity","PX_TO_SALES_RATIO"),"")</f>
        <v/>
      </c>
      <c r="T452" s="18">
        <f>IF(Database!BK452="","",IFERROR(BDP(LEFT(Database!BK452,FIND(".",Database!BK452)-1)&amp;"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Database!AF453</f>
        <v/>
      </c>
      <c r="J453" s="24">
        <f>IFERROR(BDP(Database!$A453&amp;" HK Equity","PE_RATIO"),"")</f>
        <v/>
      </c>
      <c r="K453" s="10">
        <f>IFERROR(BDP(Database!$A453&amp;" HK Equity","A/H_SHARE_CONVERSION"),"")</f>
        <v/>
      </c>
      <c r="L453" s="16">
        <f>IF(Database!BK453="","(none found)",Database!BK453)</f>
        <v/>
      </c>
      <c r="M453" s="18">
        <f>IFERROR(BDH(Database!$A453&amp;" HK Equity","CUR_MKT_CAP",Database!$H453,Database!$H453),"")</f>
        <v/>
      </c>
      <c r="N453" s="97">
        <f>Database!Q453</f>
        <v/>
      </c>
      <c r="O453" s="24">
        <f>IFERROR(BDH(Database!$A453&amp;" HK Equity","PE_RATIO",Database!$H453,Database!$H453),"")</f>
        <v/>
      </c>
      <c r="P453" s="101">
        <f>IF(Database!BE453="","(n/m or not derivable)",Database!BE453)</f>
        <v/>
      </c>
      <c r="Q453" s="24">
        <f>IF(Database!BK453="","",IFERROR(BDH(LEFT(Database!BK453,FIND(".",Database!BK453)-1)&amp;" CH Equity","PE_RATIO",Database!$H453,Database!$H453),""))</f>
        <v/>
      </c>
      <c r="R453" s="24">
        <f>IF(Database!BK453="","",IFERROR(BDH("HSAHP Index","PX_LAST",Database!$H453,Database!$H453),""))</f>
        <v/>
      </c>
      <c r="S453" s="24">
        <f>IFERROR(BDP(Database!$A453&amp;" HK Equity","PX_TO_SALES_RATIO"),"")</f>
        <v/>
      </c>
      <c r="T453" s="18">
        <f>IF(Database!BK453="","",IFERROR(BDP(LEFT(Database!BK453,FIND(".",Database!BK453)-1)&amp;"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Database!AF454</f>
        <v/>
      </c>
      <c r="J454" s="24">
        <f>IFERROR(BDP(Database!$A454&amp;" HK Equity","PE_RATIO"),"")</f>
        <v/>
      </c>
      <c r="K454" s="10">
        <f>IFERROR(BDP(Database!$A454&amp;" HK Equity","A/H_SHARE_CONVERSION"),"")</f>
        <v/>
      </c>
      <c r="L454" s="16">
        <f>IF(Database!BK454="","(none found)",Database!BK454)</f>
        <v/>
      </c>
      <c r="M454" s="18">
        <f>IFERROR(BDH(Database!$A454&amp;" HK Equity","CUR_MKT_CAP",Database!$H454,Database!$H454),"")</f>
        <v/>
      </c>
      <c r="N454" s="97">
        <f>Database!Q454</f>
        <v/>
      </c>
      <c r="O454" s="24">
        <f>IFERROR(BDH(Database!$A454&amp;" HK Equity","PE_RATIO",Database!$H454,Database!$H454),"")</f>
        <v/>
      </c>
      <c r="P454" s="101">
        <f>IF(Database!BE454="","(n/m or not derivable)",Database!BE454)</f>
        <v/>
      </c>
      <c r="Q454" s="24">
        <f>IF(Database!BK454="","",IFERROR(BDH(LEFT(Database!BK454,FIND(".",Database!BK454)-1)&amp;" CH Equity","PE_RATIO",Database!$H454,Database!$H454),""))</f>
        <v/>
      </c>
      <c r="R454" s="24">
        <f>IF(Database!BK454="","",IFERROR(BDH("HSAHP Index","PX_LAST",Database!$H454,Database!$H454),""))</f>
        <v/>
      </c>
      <c r="S454" s="24">
        <f>IFERROR(BDP(Database!$A454&amp;" HK Equity","PX_TO_SALES_RATIO"),"")</f>
        <v/>
      </c>
      <c r="T454" s="18">
        <f>IF(Database!BK454="","",IFERROR(BDP(LEFT(Database!BK454,FIND(".",Database!BK454)-1)&amp;"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Database!AF455</f>
        <v/>
      </c>
      <c r="J455" s="24">
        <f>IFERROR(BDP(Database!$A455&amp;" HK Equity","PE_RATIO"),"")</f>
        <v/>
      </c>
      <c r="K455" s="10">
        <f>IFERROR(BDP(Database!$A455&amp;" HK Equity","A/H_SHARE_CONVERSION"),"")</f>
        <v/>
      </c>
      <c r="L455" s="16">
        <f>IF(Database!BK455="","(none found)",Database!BK455)</f>
        <v/>
      </c>
      <c r="M455" s="18">
        <f>IFERROR(BDH(Database!$A455&amp;" HK Equity","CUR_MKT_CAP",Database!$H455,Database!$H455),"")</f>
        <v/>
      </c>
      <c r="N455" s="97">
        <f>Database!Q455</f>
        <v/>
      </c>
      <c r="O455" s="24">
        <f>IFERROR(BDH(Database!$A455&amp;" HK Equity","PE_RATIO",Database!$H455,Database!$H455),"")</f>
        <v/>
      </c>
      <c r="P455" s="101">
        <f>IF(Database!BE455="","(n/m or not derivable)",Database!BE455)</f>
        <v/>
      </c>
      <c r="Q455" s="24">
        <f>IF(Database!BK455="","",IFERROR(BDH(LEFT(Database!BK455,FIND(".",Database!BK455)-1)&amp;" CH Equity","PE_RATIO",Database!$H455,Database!$H455),""))</f>
        <v/>
      </c>
      <c r="R455" s="24">
        <f>IF(Database!BK455="","",IFERROR(BDH("HSAHP Index","PX_LAST",Database!$H455,Database!$H455),""))</f>
        <v/>
      </c>
      <c r="S455" s="24">
        <f>IFERROR(BDP(Database!$A455&amp;" HK Equity","PX_TO_SALES_RATIO"),"")</f>
        <v/>
      </c>
      <c r="T455" s="18">
        <f>IF(Database!BK455="","",IFERROR(BDP(LEFT(Database!BK455,FIND(".",Database!BK455)-1)&amp;"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Database!AF456</f>
        <v/>
      </c>
      <c r="J456" s="24">
        <f>IFERROR(BDP(Database!$A456&amp;" HK Equity","PE_RATIO"),"")</f>
        <v/>
      </c>
      <c r="K456" s="10">
        <f>IFERROR(BDP(Database!$A456&amp;" HK Equity","A/H_SHARE_CONVERSION"),"")</f>
        <v/>
      </c>
      <c r="L456" s="16">
        <f>IF(Database!BK456="","(none found)",Database!BK456)</f>
        <v/>
      </c>
      <c r="M456" s="18">
        <f>IFERROR(BDH(Database!$A456&amp;" HK Equity","CUR_MKT_CAP",Database!$H456,Database!$H456),"")</f>
        <v/>
      </c>
      <c r="N456" s="97">
        <f>Database!Q456</f>
        <v/>
      </c>
      <c r="O456" s="24">
        <f>IFERROR(BDH(Database!$A456&amp;" HK Equity","PE_RATIO",Database!$H456,Database!$H456),"")</f>
        <v/>
      </c>
      <c r="P456" s="101">
        <f>IF(Database!BE456="","(n/m or not derivable)",Database!BE456)</f>
        <v/>
      </c>
      <c r="Q456" s="24">
        <f>IF(Database!BK456="","",IFERROR(BDH(LEFT(Database!BK456,FIND(".",Database!BK456)-1)&amp;" CH Equity","PE_RATIO",Database!$H456,Database!$H456),""))</f>
        <v/>
      </c>
      <c r="R456" s="24">
        <f>IF(Database!BK456="","",IFERROR(BDH("HSAHP Index","PX_LAST",Database!$H456,Database!$H456),""))</f>
        <v/>
      </c>
      <c r="S456" s="24">
        <f>IFERROR(BDP(Database!$A456&amp;" HK Equity","PX_TO_SALES_RATIO"),"")</f>
        <v/>
      </c>
      <c r="T456" s="18">
        <f>IF(Database!BK456="","",IFERROR(BDP(LEFT(Database!BK456,FIND(".",Database!BK456)-1)&amp;"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Database!AF457</f>
        <v/>
      </c>
      <c r="J457" s="24">
        <f>IFERROR(BDP(Database!$A457&amp;" HK Equity","PE_RATIO"),"")</f>
        <v/>
      </c>
      <c r="K457" s="10">
        <f>IFERROR(BDP(Database!$A457&amp;" HK Equity","A/H_SHARE_CONVERSION"),"")</f>
        <v/>
      </c>
      <c r="L457" s="16">
        <f>IF(Database!BK457="","(none found)",Database!BK457)</f>
        <v/>
      </c>
      <c r="M457" s="18">
        <f>IFERROR(BDH(Database!$A457&amp;" HK Equity","CUR_MKT_CAP",Database!$H457,Database!$H457),"")</f>
        <v/>
      </c>
      <c r="N457" s="97">
        <f>Database!Q457</f>
        <v/>
      </c>
      <c r="O457" s="24">
        <f>IFERROR(BDH(Database!$A457&amp;" HK Equity","PE_RATIO",Database!$H457,Database!$H457),"")</f>
        <v/>
      </c>
      <c r="P457" s="101">
        <f>IF(Database!BE457="","(n/m or not derivable)",Database!BE457)</f>
        <v/>
      </c>
      <c r="Q457" s="24">
        <f>IF(Database!BK457="","",IFERROR(BDH(LEFT(Database!BK457,FIND(".",Database!BK457)-1)&amp;" CH Equity","PE_RATIO",Database!$H457,Database!$H457),""))</f>
        <v/>
      </c>
      <c r="R457" s="24">
        <f>IF(Database!BK457="","",IFERROR(BDH("HSAHP Index","PX_LAST",Database!$H457,Database!$H457),""))</f>
        <v/>
      </c>
      <c r="S457" s="24">
        <f>IFERROR(BDP(Database!$A457&amp;" HK Equity","PX_TO_SALES_RATIO"),"")</f>
        <v/>
      </c>
      <c r="T457" s="18">
        <f>IF(Database!BK457="","",IFERROR(BDP(LEFT(Database!BK457,FIND(".",Database!BK457)-1)&amp;"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Database!AF458</f>
        <v/>
      </c>
      <c r="J458" s="24">
        <f>IFERROR(BDP(Database!$A458&amp;" HK Equity","PE_RATIO"),"")</f>
        <v/>
      </c>
      <c r="K458" s="10">
        <f>IFERROR(BDP(Database!$A458&amp;" HK Equity","A/H_SHARE_CONVERSION"),"")</f>
        <v/>
      </c>
      <c r="L458" s="16">
        <f>IF(Database!BK458="","(none found)",Database!BK458)</f>
        <v/>
      </c>
      <c r="M458" s="18">
        <f>IFERROR(BDH(Database!$A458&amp;" HK Equity","CUR_MKT_CAP",Database!$H458,Database!$H458),"")</f>
        <v/>
      </c>
      <c r="N458" s="97">
        <f>Database!Q458</f>
        <v/>
      </c>
      <c r="O458" s="24">
        <f>IFERROR(BDH(Database!$A458&amp;" HK Equity","PE_RATIO",Database!$H458,Database!$H458),"")</f>
        <v/>
      </c>
      <c r="P458" s="101">
        <f>IF(Database!BE458="","(n/m or not derivable)",Database!BE458)</f>
        <v/>
      </c>
      <c r="Q458" s="24">
        <f>IF(Database!BK458="","",IFERROR(BDH(LEFT(Database!BK458,FIND(".",Database!BK458)-1)&amp;" CH Equity","PE_RATIO",Database!$H458,Database!$H458),""))</f>
        <v/>
      </c>
      <c r="R458" s="24">
        <f>IF(Database!BK458="","",IFERROR(BDH("HSAHP Index","PX_LAST",Database!$H458,Database!$H458),""))</f>
        <v/>
      </c>
      <c r="S458" s="24">
        <f>IFERROR(BDP(Database!$A458&amp;" HK Equity","PX_TO_SALES_RATIO"),"")</f>
        <v/>
      </c>
      <c r="T458" s="18">
        <f>IF(Database!BK458="","",IFERROR(BDP(LEFT(Database!BK458,FIND(".",Database!BK458)-1)&amp;"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Database!AF459</f>
        <v/>
      </c>
      <c r="J459" s="24">
        <f>IFERROR(BDP(Database!$A459&amp;" HK Equity","PE_RATIO"),"")</f>
        <v/>
      </c>
      <c r="K459" s="10">
        <f>IFERROR(BDP(Database!$A459&amp;" HK Equity","A/H_SHARE_CONVERSION"),"")</f>
        <v/>
      </c>
      <c r="L459" s="16">
        <f>IF(Database!BK459="","(none found)",Database!BK459)</f>
        <v/>
      </c>
      <c r="M459" s="18">
        <f>IFERROR(BDH(Database!$A459&amp;" HK Equity","CUR_MKT_CAP",Database!$H459,Database!$H459),"")</f>
        <v/>
      </c>
      <c r="N459" s="97">
        <f>Database!Q459</f>
        <v/>
      </c>
      <c r="O459" s="24">
        <f>IFERROR(BDH(Database!$A459&amp;" HK Equity","PE_RATIO",Database!$H459,Database!$H459),"")</f>
        <v/>
      </c>
      <c r="P459" s="101">
        <f>IF(Database!BE459="","(n/m or not derivable)",Database!BE459)</f>
        <v/>
      </c>
      <c r="Q459" s="24">
        <f>IF(Database!BK459="","",IFERROR(BDH(LEFT(Database!BK459,FIND(".",Database!BK459)-1)&amp;" CH Equity","PE_RATIO",Database!$H459,Database!$H459),""))</f>
        <v/>
      </c>
      <c r="R459" s="24">
        <f>IF(Database!BK459="","",IFERROR(BDH("HSAHP Index","PX_LAST",Database!$H459,Database!$H459),""))</f>
        <v/>
      </c>
      <c r="S459" s="24">
        <f>IFERROR(BDP(Database!$A459&amp;" HK Equity","PX_TO_SALES_RATIO"),"")</f>
        <v/>
      </c>
      <c r="T459" s="18">
        <f>IF(Database!BK459="","",IFERROR(BDP(LEFT(Database!BK459,FIND(".",Database!BK459)-1)&amp;"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Database!AF460</f>
        <v/>
      </c>
      <c r="J460" s="24">
        <f>IFERROR(BDP(Database!$A460&amp;" HK Equity","PE_RATIO"),"")</f>
        <v/>
      </c>
      <c r="K460" s="10">
        <f>IFERROR(BDP(Database!$A460&amp;" HK Equity","A/H_SHARE_CONVERSION"),"")</f>
        <v/>
      </c>
      <c r="L460" s="16">
        <f>IF(Database!BK460="","(none found)",Database!BK460)</f>
        <v/>
      </c>
      <c r="M460" s="18">
        <f>IFERROR(BDH(Database!$A460&amp;" HK Equity","CUR_MKT_CAP",Database!$H460,Database!$H460),"")</f>
        <v/>
      </c>
      <c r="N460" s="97">
        <f>Database!Q460</f>
        <v/>
      </c>
      <c r="O460" s="24">
        <f>IFERROR(BDH(Database!$A460&amp;" HK Equity","PE_RATIO",Database!$H460,Database!$H460),"")</f>
        <v/>
      </c>
      <c r="P460" s="101">
        <f>IF(Database!BE460="","(n/m or not derivable)",Database!BE460)</f>
        <v/>
      </c>
      <c r="Q460" s="24">
        <f>IF(Database!BK460="","",IFERROR(BDH(LEFT(Database!BK460,FIND(".",Database!BK460)-1)&amp;" CH Equity","PE_RATIO",Database!$H460,Database!$H460),""))</f>
        <v/>
      </c>
      <c r="R460" s="24">
        <f>IF(Database!BK460="","",IFERROR(BDH("HSAHP Index","PX_LAST",Database!$H460,Database!$H460),""))</f>
        <v/>
      </c>
      <c r="S460" s="24">
        <f>IFERROR(BDP(Database!$A460&amp;" HK Equity","PX_TO_SALES_RATIO"),"")</f>
        <v/>
      </c>
      <c r="T460" s="18">
        <f>IF(Database!BK460="","",IFERROR(BDP(LEFT(Database!BK460,FIND(".",Database!BK460)-1)&amp;"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Database!AF461</f>
        <v/>
      </c>
      <c r="J461" s="24">
        <f>IFERROR(BDP(Database!$A461&amp;" HK Equity","PE_RATIO"),"")</f>
        <v/>
      </c>
      <c r="K461" s="10">
        <f>IFERROR(BDP(Database!$A461&amp;" HK Equity","A/H_SHARE_CONVERSION"),"")</f>
        <v/>
      </c>
      <c r="L461" s="16">
        <f>IF(Database!BK461="","(none found)",Database!BK461)</f>
        <v/>
      </c>
      <c r="M461" s="18">
        <f>IFERROR(BDH(Database!$A461&amp;" HK Equity","CUR_MKT_CAP",Database!$H461,Database!$H461),"")</f>
        <v/>
      </c>
      <c r="N461" s="97">
        <f>Database!Q461</f>
        <v/>
      </c>
      <c r="O461" s="24">
        <f>IFERROR(BDH(Database!$A461&amp;" HK Equity","PE_RATIO",Database!$H461,Database!$H461),"")</f>
        <v/>
      </c>
      <c r="P461" s="101">
        <f>IF(Database!BE461="","(n/m or not derivable)",Database!BE461)</f>
        <v/>
      </c>
      <c r="Q461" s="24">
        <f>IF(Database!BK461="","",IFERROR(BDH(LEFT(Database!BK461,FIND(".",Database!BK461)-1)&amp;" CH Equity","PE_RATIO",Database!$H461,Database!$H461),""))</f>
        <v/>
      </c>
      <c r="R461" s="24">
        <f>IF(Database!BK461="","",IFERROR(BDH("HSAHP Index","PX_LAST",Database!$H461,Database!$H461),""))</f>
        <v/>
      </c>
      <c r="S461" s="24">
        <f>IFERROR(BDP(Database!$A461&amp;" HK Equity","PX_TO_SALES_RATIO"),"")</f>
        <v/>
      </c>
      <c r="T461" s="18">
        <f>IF(Database!BK461="","",IFERROR(BDP(LEFT(Database!BK461,FIND(".",Database!BK461)-1)&amp;"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Database!AF462</f>
        <v/>
      </c>
      <c r="J462" s="24">
        <f>IFERROR(BDP(Database!$A462&amp;" HK Equity","PE_RATIO"),"")</f>
        <v/>
      </c>
      <c r="K462" s="10">
        <f>IFERROR(BDP(Database!$A462&amp;" HK Equity","A/H_SHARE_CONVERSION"),"")</f>
        <v/>
      </c>
      <c r="L462" s="16">
        <f>IF(Database!BK462="","(none found)",Database!BK462)</f>
        <v/>
      </c>
      <c r="M462" s="18">
        <f>IFERROR(BDH(Database!$A462&amp;" HK Equity","CUR_MKT_CAP",Database!$H462,Database!$H462),"")</f>
        <v/>
      </c>
      <c r="N462" s="97">
        <f>Database!Q462</f>
        <v/>
      </c>
      <c r="O462" s="24">
        <f>IFERROR(BDH(Database!$A462&amp;" HK Equity","PE_RATIO",Database!$H462,Database!$H462),"")</f>
        <v/>
      </c>
      <c r="P462" s="101">
        <f>IF(Database!BE462="","(n/m or not derivable)",Database!BE462)</f>
        <v/>
      </c>
      <c r="Q462" s="24">
        <f>IF(Database!BK462="","",IFERROR(BDH(LEFT(Database!BK462,FIND(".",Database!BK462)-1)&amp;" CH Equity","PE_RATIO",Database!$H462,Database!$H462),""))</f>
        <v/>
      </c>
      <c r="R462" s="24">
        <f>IF(Database!BK462="","",IFERROR(BDH("HSAHP Index","PX_LAST",Database!$H462,Database!$H462),""))</f>
        <v/>
      </c>
      <c r="S462" s="24">
        <f>IFERROR(BDP(Database!$A462&amp;" HK Equity","PX_TO_SALES_RATIO"),"")</f>
        <v/>
      </c>
      <c r="T462" s="18">
        <f>IF(Database!BK462="","",IFERROR(BDP(LEFT(Database!BK462,FIND(".",Database!BK462)-1)&amp;"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Database!AF463</f>
        <v/>
      </c>
      <c r="J463" s="24">
        <f>IFERROR(BDP(Database!$A463&amp;" HK Equity","PE_RATIO"),"")</f>
        <v/>
      </c>
      <c r="K463" s="10">
        <f>IFERROR(BDP(Database!$A463&amp;" HK Equity","A/H_SHARE_CONVERSION"),"")</f>
        <v/>
      </c>
      <c r="L463" s="16">
        <f>IF(Database!BK463="","(none found)",Database!BK463)</f>
        <v/>
      </c>
      <c r="M463" s="18">
        <f>IFERROR(BDH(Database!$A463&amp;" HK Equity","CUR_MKT_CAP",Database!$H463,Database!$H463),"")</f>
        <v/>
      </c>
      <c r="N463" s="97">
        <f>Database!Q463</f>
        <v/>
      </c>
      <c r="O463" s="24">
        <f>IFERROR(BDH(Database!$A463&amp;" HK Equity","PE_RATIO",Database!$H463,Database!$H463),"")</f>
        <v/>
      </c>
      <c r="P463" s="101">
        <f>IF(Database!BE463="","(n/m or not derivable)",Database!BE463)</f>
        <v/>
      </c>
      <c r="Q463" s="24">
        <f>IF(Database!BK463="","",IFERROR(BDH(LEFT(Database!BK463,FIND(".",Database!BK463)-1)&amp;" CH Equity","PE_RATIO",Database!$H463,Database!$H463),""))</f>
        <v/>
      </c>
      <c r="R463" s="24">
        <f>IF(Database!BK463="","",IFERROR(BDH("HSAHP Index","PX_LAST",Database!$H463,Database!$H463),""))</f>
        <v/>
      </c>
      <c r="S463" s="24">
        <f>IFERROR(BDP(Database!$A463&amp;" HK Equity","PX_TO_SALES_RATIO"),"")</f>
        <v/>
      </c>
      <c r="T463" s="18">
        <f>IF(Database!BK463="","",IFERROR(BDP(LEFT(Database!BK463,FIND(".",Database!BK463)-1)&amp;"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Database!AF464</f>
        <v/>
      </c>
      <c r="J464" s="24">
        <f>IFERROR(BDP(Database!$A464&amp;" HK Equity","PE_RATIO"),"")</f>
        <v/>
      </c>
      <c r="K464" s="10">
        <f>IFERROR(BDP(Database!$A464&amp;" HK Equity","A/H_SHARE_CONVERSION"),"")</f>
        <v/>
      </c>
      <c r="L464" s="16">
        <f>IF(Database!BK464="","(none found)",Database!BK464)</f>
        <v/>
      </c>
      <c r="M464" s="18">
        <f>IFERROR(BDH(Database!$A464&amp;" HK Equity","CUR_MKT_CAP",Database!$H464,Database!$H464),"")</f>
        <v/>
      </c>
      <c r="N464" s="97">
        <f>Database!Q464</f>
        <v/>
      </c>
      <c r="O464" s="24">
        <f>IFERROR(BDH(Database!$A464&amp;" HK Equity","PE_RATIO",Database!$H464,Database!$H464),"")</f>
        <v/>
      </c>
      <c r="P464" s="101">
        <f>IF(Database!BE464="","(n/m or not derivable)",Database!BE464)</f>
        <v/>
      </c>
      <c r="Q464" s="24">
        <f>IF(Database!BK464="","",IFERROR(BDH(LEFT(Database!BK464,FIND(".",Database!BK464)-1)&amp;" CH Equity","PE_RATIO",Database!$H464,Database!$H464),""))</f>
        <v/>
      </c>
      <c r="R464" s="24">
        <f>IF(Database!BK464="","",IFERROR(BDH("HSAHP Index","PX_LAST",Database!$H464,Database!$H464),""))</f>
        <v/>
      </c>
      <c r="S464" s="24">
        <f>IFERROR(BDP(Database!$A464&amp;" HK Equity","PX_TO_SALES_RATIO"),"")</f>
        <v/>
      </c>
      <c r="T464" s="18">
        <f>IF(Database!BK464="","",IFERROR(BDP(LEFT(Database!BK464,FIND(".",Database!BK464)-1)&amp;"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Database!AF465</f>
        <v/>
      </c>
      <c r="J465" s="24">
        <f>IFERROR(BDP(Database!$A465&amp;" HK Equity","PE_RATIO"),"")</f>
        <v/>
      </c>
      <c r="K465" s="10">
        <f>IFERROR(BDP(Database!$A465&amp;" HK Equity","A/H_SHARE_CONVERSION"),"")</f>
        <v/>
      </c>
      <c r="L465" s="16">
        <f>IF(Database!BK465="","(none found)",Database!BK465)</f>
        <v/>
      </c>
      <c r="M465" s="18">
        <f>IFERROR(BDH(Database!$A465&amp;" HK Equity","CUR_MKT_CAP",Database!$H465,Database!$H465),"")</f>
        <v/>
      </c>
      <c r="N465" s="97">
        <f>Database!Q465</f>
        <v/>
      </c>
      <c r="O465" s="24">
        <f>IFERROR(BDH(Database!$A465&amp;" HK Equity","PE_RATIO",Database!$H465,Database!$H465),"")</f>
        <v/>
      </c>
      <c r="P465" s="101">
        <f>IF(Database!BE465="","(n/m or not derivable)",Database!BE465)</f>
        <v/>
      </c>
      <c r="Q465" s="24">
        <f>IF(Database!BK465="","",IFERROR(BDH(LEFT(Database!BK465,FIND(".",Database!BK465)-1)&amp;" CH Equity","PE_RATIO",Database!$H465,Database!$H465),""))</f>
        <v/>
      </c>
      <c r="R465" s="24">
        <f>IF(Database!BK465="","",IFERROR(BDH("HSAHP Index","PX_LAST",Database!$H465,Database!$H465),""))</f>
        <v/>
      </c>
      <c r="S465" s="24">
        <f>IFERROR(BDP(Database!$A465&amp;" HK Equity","PX_TO_SALES_RATIO"),"")</f>
        <v/>
      </c>
      <c r="T465" s="18">
        <f>IF(Database!BK465="","",IFERROR(BDP(LEFT(Database!BK465,FIND(".",Database!BK465)-1)&amp;"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Database!AF466</f>
        <v/>
      </c>
      <c r="J466" s="24">
        <f>IFERROR(BDP(Database!$A466&amp;" HK Equity","PE_RATIO"),"")</f>
        <v/>
      </c>
      <c r="K466" s="10">
        <f>IFERROR(BDP(Database!$A466&amp;" HK Equity","A/H_SHARE_CONVERSION"),"")</f>
        <v/>
      </c>
      <c r="L466" s="16">
        <f>IF(Database!BK466="","(none found)",Database!BK466)</f>
        <v/>
      </c>
      <c r="M466" s="18">
        <f>IFERROR(BDH(Database!$A466&amp;" HK Equity","CUR_MKT_CAP",Database!$H466,Database!$H466),"")</f>
        <v/>
      </c>
      <c r="N466" s="97">
        <f>Database!Q466</f>
        <v/>
      </c>
      <c r="O466" s="24">
        <f>IFERROR(BDH(Database!$A466&amp;" HK Equity","PE_RATIO",Database!$H466,Database!$H466),"")</f>
        <v/>
      </c>
      <c r="P466" s="101">
        <f>IF(Database!BE466="","(n/m or not derivable)",Database!BE466)</f>
        <v/>
      </c>
      <c r="Q466" s="24">
        <f>IF(Database!BK466="","",IFERROR(BDH(LEFT(Database!BK466,FIND(".",Database!BK466)-1)&amp;" CH Equity","PE_RATIO",Database!$H466,Database!$H466),""))</f>
        <v/>
      </c>
      <c r="R466" s="24">
        <f>IF(Database!BK466="","",IFERROR(BDH("HSAHP Index","PX_LAST",Database!$H466,Database!$H466),""))</f>
        <v/>
      </c>
      <c r="S466" s="24">
        <f>IFERROR(BDP(Database!$A466&amp;" HK Equity","PX_TO_SALES_RATIO"),"")</f>
        <v/>
      </c>
      <c r="T466" s="18">
        <f>IF(Database!BK466="","",IFERROR(BDP(LEFT(Database!BK466,FIND(".",Database!BK466)-1)&amp;"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Database!AF467</f>
        <v/>
      </c>
      <c r="J467" s="24">
        <f>IFERROR(BDP(Database!$A467&amp;" HK Equity","PE_RATIO"),"")</f>
        <v/>
      </c>
      <c r="K467" s="10">
        <f>IFERROR(BDP(Database!$A467&amp;" HK Equity","A/H_SHARE_CONVERSION"),"")</f>
        <v/>
      </c>
      <c r="L467" s="16">
        <f>IF(Database!BK467="","(none found)",Database!BK467)</f>
        <v/>
      </c>
      <c r="M467" s="18">
        <f>IFERROR(BDH(Database!$A467&amp;" HK Equity","CUR_MKT_CAP",Database!$H467,Database!$H467),"")</f>
        <v/>
      </c>
      <c r="N467" s="97">
        <f>Database!Q467</f>
        <v/>
      </c>
      <c r="O467" s="24">
        <f>IFERROR(BDH(Database!$A467&amp;" HK Equity","PE_RATIO",Database!$H467,Database!$H467),"")</f>
        <v/>
      </c>
      <c r="P467" s="101">
        <f>IF(Database!BE467="","(n/m or not derivable)",Database!BE467)</f>
        <v/>
      </c>
      <c r="Q467" s="24">
        <f>IF(Database!BK467="","",IFERROR(BDH(LEFT(Database!BK467,FIND(".",Database!BK467)-1)&amp;" CH Equity","PE_RATIO",Database!$H467,Database!$H467),""))</f>
        <v/>
      </c>
      <c r="R467" s="24">
        <f>IF(Database!BK467="","",IFERROR(BDH("HSAHP Index","PX_LAST",Database!$H467,Database!$H467),""))</f>
        <v/>
      </c>
      <c r="S467" s="24">
        <f>IFERROR(BDP(Database!$A467&amp;" HK Equity","PX_TO_SALES_RATIO"),"")</f>
        <v/>
      </c>
      <c r="T467" s="18">
        <f>IF(Database!BK467="","",IFERROR(BDP(LEFT(Database!BK467,FIND(".",Database!BK467)-1)&amp;"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Database!AF468</f>
        <v/>
      </c>
      <c r="J468" s="24">
        <f>IFERROR(BDP(Database!$A468&amp;" HK Equity","PE_RATIO"),"")</f>
        <v/>
      </c>
      <c r="K468" s="10">
        <f>IFERROR(BDP(Database!$A468&amp;" HK Equity","A/H_SHARE_CONVERSION"),"")</f>
        <v/>
      </c>
      <c r="L468" s="16">
        <f>IF(Database!BK468="","(none found)",Database!BK468)</f>
        <v/>
      </c>
      <c r="M468" s="18">
        <f>IFERROR(BDH(Database!$A468&amp;" HK Equity","CUR_MKT_CAP",Database!$H468,Database!$H468),"")</f>
        <v/>
      </c>
      <c r="N468" s="97">
        <f>Database!Q468</f>
        <v/>
      </c>
      <c r="O468" s="24">
        <f>IFERROR(BDH(Database!$A468&amp;" HK Equity","PE_RATIO",Database!$H468,Database!$H468),"")</f>
        <v/>
      </c>
      <c r="P468" s="101">
        <f>IF(Database!BE468="","(n/m or not derivable)",Database!BE468)</f>
        <v/>
      </c>
      <c r="Q468" s="24">
        <f>IF(Database!BK468="","",IFERROR(BDH(LEFT(Database!BK468,FIND(".",Database!BK468)-1)&amp;" CH Equity","PE_RATIO",Database!$H468,Database!$H468),""))</f>
        <v/>
      </c>
      <c r="R468" s="24">
        <f>IF(Database!BK468="","",IFERROR(BDH("HSAHP Index","PX_LAST",Database!$H468,Database!$H468),""))</f>
        <v/>
      </c>
      <c r="S468" s="24">
        <f>IFERROR(BDP(Database!$A468&amp;" HK Equity","PX_TO_SALES_RATIO"),"")</f>
        <v/>
      </c>
      <c r="T468" s="18">
        <f>IF(Database!BK468="","",IFERROR(BDP(LEFT(Database!BK468,FIND(".",Database!BK468)-1)&amp;"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Database!AF469</f>
        <v/>
      </c>
      <c r="J469" s="24">
        <f>IFERROR(BDP(Database!$A469&amp;" HK Equity","PE_RATIO"),"")</f>
        <v/>
      </c>
      <c r="K469" s="10">
        <f>IFERROR(BDP(Database!$A469&amp;" HK Equity","A/H_SHARE_CONVERSION"),"")</f>
        <v/>
      </c>
      <c r="L469" s="16">
        <f>IF(Database!BK469="","(none found)",Database!BK469)</f>
        <v/>
      </c>
      <c r="M469" s="18">
        <f>IFERROR(BDH(Database!$A469&amp;" HK Equity","CUR_MKT_CAP",Database!$H469,Database!$H469),"")</f>
        <v/>
      </c>
      <c r="N469" s="97">
        <f>Database!Q469</f>
        <v/>
      </c>
      <c r="O469" s="24">
        <f>IFERROR(BDH(Database!$A469&amp;" HK Equity","PE_RATIO",Database!$H469,Database!$H469),"")</f>
        <v/>
      </c>
      <c r="P469" s="101">
        <f>IF(Database!BE469="","(n/m or not derivable)",Database!BE469)</f>
        <v/>
      </c>
      <c r="Q469" s="24">
        <f>IF(Database!BK469="","",IFERROR(BDH(LEFT(Database!BK469,FIND(".",Database!BK469)-1)&amp;" CH Equity","PE_RATIO",Database!$H469,Database!$H469),""))</f>
        <v/>
      </c>
      <c r="R469" s="24">
        <f>IF(Database!BK469="","",IFERROR(BDH("HSAHP Index","PX_LAST",Database!$H469,Database!$H469),""))</f>
        <v/>
      </c>
      <c r="S469" s="24">
        <f>IFERROR(BDP(Database!$A469&amp;" HK Equity","PX_TO_SALES_RATIO"),"")</f>
        <v/>
      </c>
      <c r="T469" s="18">
        <f>IF(Database!BK469="","",IFERROR(BDP(LEFT(Database!BK469,FIND(".",Database!BK469)-1)&amp;"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Database!AF470</f>
        <v/>
      </c>
      <c r="J470" s="24">
        <f>IFERROR(BDP(Database!$A470&amp;" HK Equity","PE_RATIO"),"")</f>
        <v/>
      </c>
      <c r="K470" s="10">
        <f>IFERROR(BDP(Database!$A470&amp;" HK Equity","A/H_SHARE_CONVERSION"),"")</f>
        <v/>
      </c>
      <c r="L470" s="16">
        <f>IF(Database!BK470="","(none found)",Database!BK470)</f>
        <v/>
      </c>
      <c r="M470" s="18">
        <f>IFERROR(BDH(Database!$A470&amp;" HK Equity","CUR_MKT_CAP",Database!$H470,Database!$H470),"")</f>
        <v/>
      </c>
      <c r="N470" s="97">
        <f>Database!Q470</f>
        <v/>
      </c>
      <c r="O470" s="24">
        <f>IFERROR(BDH(Database!$A470&amp;" HK Equity","PE_RATIO",Database!$H470,Database!$H470),"")</f>
        <v/>
      </c>
      <c r="P470" s="101">
        <f>IF(Database!BE470="","(n/m or not derivable)",Database!BE470)</f>
        <v/>
      </c>
      <c r="Q470" s="24">
        <f>IF(Database!BK470="","",IFERROR(BDH(LEFT(Database!BK470,FIND(".",Database!BK470)-1)&amp;" CH Equity","PE_RATIO",Database!$H470,Database!$H470),""))</f>
        <v/>
      </c>
      <c r="R470" s="24">
        <f>IF(Database!BK470="","",IFERROR(BDH("HSAHP Index","PX_LAST",Database!$H470,Database!$H470),""))</f>
        <v/>
      </c>
      <c r="S470" s="24">
        <f>IFERROR(BDP(Database!$A470&amp;" HK Equity","PX_TO_SALES_RATIO"),"")</f>
        <v/>
      </c>
      <c r="T470" s="18">
        <f>IF(Database!BK470="","",IFERROR(BDP(LEFT(Database!BK470,FIND(".",Database!BK470)-1)&amp;"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Database!AF471</f>
        <v/>
      </c>
      <c r="J471" s="24">
        <f>IFERROR(BDP(Database!$A471&amp;" HK Equity","PE_RATIO"),"")</f>
        <v/>
      </c>
      <c r="K471" s="10">
        <f>IFERROR(BDP(Database!$A471&amp;" HK Equity","A/H_SHARE_CONVERSION"),"")</f>
        <v/>
      </c>
      <c r="L471" s="16">
        <f>IF(Database!BK471="","(none found)",Database!BK471)</f>
        <v/>
      </c>
      <c r="M471" s="18">
        <f>IFERROR(BDH(Database!$A471&amp;" HK Equity","CUR_MKT_CAP",Database!$H471,Database!$H471),"")</f>
        <v/>
      </c>
      <c r="N471" s="97">
        <f>Database!Q471</f>
        <v/>
      </c>
      <c r="O471" s="24">
        <f>IFERROR(BDH(Database!$A471&amp;" HK Equity","PE_RATIO",Database!$H471,Database!$H471),"")</f>
        <v/>
      </c>
      <c r="P471" s="101">
        <f>IF(Database!BE471="","(n/m or not derivable)",Database!BE471)</f>
        <v/>
      </c>
      <c r="Q471" s="24">
        <f>IF(Database!BK471="","",IFERROR(BDH(LEFT(Database!BK471,FIND(".",Database!BK471)-1)&amp;" CH Equity","PE_RATIO",Database!$H471,Database!$H471),""))</f>
        <v/>
      </c>
      <c r="R471" s="24">
        <f>IF(Database!BK471="","",IFERROR(BDH("HSAHP Index","PX_LAST",Database!$H471,Database!$H471),""))</f>
        <v/>
      </c>
      <c r="S471" s="24">
        <f>IFERROR(BDP(Database!$A471&amp;" HK Equity","PX_TO_SALES_RATIO"),"")</f>
        <v/>
      </c>
      <c r="T471" s="18">
        <f>IF(Database!BK471="","",IFERROR(BDP(LEFT(Database!BK471,FIND(".",Database!BK471)-1)&amp;"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Database!AF472</f>
        <v/>
      </c>
      <c r="J472" s="24">
        <f>IFERROR(BDP(Database!$A472&amp;" HK Equity","PE_RATIO"),"")</f>
        <v/>
      </c>
      <c r="K472" s="10">
        <f>IFERROR(BDP(Database!$A472&amp;" HK Equity","A/H_SHARE_CONVERSION"),"")</f>
        <v/>
      </c>
      <c r="L472" s="16">
        <f>IF(Database!BK472="","(none found)",Database!BK472)</f>
        <v/>
      </c>
      <c r="M472" s="18">
        <f>IFERROR(BDH(Database!$A472&amp;" HK Equity","CUR_MKT_CAP",Database!$H472,Database!$H472),"")</f>
        <v/>
      </c>
      <c r="N472" s="97">
        <f>Database!Q472</f>
        <v/>
      </c>
      <c r="O472" s="24">
        <f>IFERROR(BDH(Database!$A472&amp;" HK Equity","PE_RATIO",Database!$H472,Database!$H472),"")</f>
        <v/>
      </c>
      <c r="P472" s="101">
        <f>IF(Database!BE472="","(n/m or not derivable)",Database!BE472)</f>
        <v/>
      </c>
      <c r="Q472" s="24">
        <f>IF(Database!BK472="","",IFERROR(BDH(LEFT(Database!BK472,FIND(".",Database!BK472)-1)&amp;" CH Equity","PE_RATIO",Database!$H472,Database!$H472),""))</f>
        <v/>
      </c>
      <c r="R472" s="24">
        <f>IF(Database!BK472="","",IFERROR(BDH("HSAHP Index","PX_LAST",Database!$H472,Database!$H472),""))</f>
        <v/>
      </c>
      <c r="S472" s="24">
        <f>IFERROR(BDP(Database!$A472&amp;" HK Equity","PX_TO_SALES_RATIO"),"")</f>
        <v/>
      </c>
      <c r="T472" s="18">
        <f>IF(Database!BK472="","",IFERROR(BDP(LEFT(Database!BK472,FIND(".",Database!BK472)-1)&amp;"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Database!AF473</f>
        <v/>
      </c>
      <c r="J473" s="24">
        <f>IFERROR(BDP(Database!$A473&amp;" HK Equity","PE_RATIO"),"")</f>
        <v/>
      </c>
      <c r="K473" s="10">
        <f>IFERROR(BDP(Database!$A473&amp;" HK Equity","A/H_SHARE_CONVERSION"),"")</f>
        <v/>
      </c>
      <c r="L473" s="16">
        <f>IF(Database!BK473="","(none found)",Database!BK473)</f>
        <v/>
      </c>
      <c r="M473" s="18">
        <f>IFERROR(BDH(Database!$A473&amp;" HK Equity","CUR_MKT_CAP",Database!$H473,Database!$H473),"")</f>
        <v/>
      </c>
      <c r="N473" s="97">
        <f>Database!Q473</f>
        <v/>
      </c>
      <c r="O473" s="24">
        <f>IFERROR(BDH(Database!$A473&amp;" HK Equity","PE_RATIO",Database!$H473,Database!$H473),"")</f>
        <v/>
      </c>
      <c r="P473" s="101">
        <f>IF(Database!BE473="","(n/m or not derivable)",Database!BE473)</f>
        <v/>
      </c>
      <c r="Q473" s="24">
        <f>IF(Database!BK473="","",IFERROR(BDH(LEFT(Database!BK473,FIND(".",Database!BK473)-1)&amp;" CH Equity","PE_RATIO",Database!$H473,Database!$H473),""))</f>
        <v/>
      </c>
      <c r="R473" s="24">
        <f>IF(Database!BK473="","",IFERROR(BDH("HSAHP Index","PX_LAST",Database!$H473,Database!$H473),""))</f>
        <v/>
      </c>
      <c r="S473" s="24">
        <f>IFERROR(BDP(Database!$A473&amp;" HK Equity","PX_TO_SALES_RATIO"),"")</f>
        <v/>
      </c>
      <c r="T473" s="18">
        <f>IF(Database!BK473="","",IFERROR(BDP(LEFT(Database!BK473,FIND(".",Database!BK473)-1)&amp;"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Database!AF474</f>
        <v/>
      </c>
      <c r="J474" s="24">
        <f>IFERROR(BDP(Database!$A474&amp;" HK Equity","PE_RATIO"),"")</f>
        <v/>
      </c>
      <c r="K474" s="10">
        <f>IFERROR(BDP(Database!$A474&amp;" HK Equity","A/H_SHARE_CONVERSION"),"")</f>
        <v/>
      </c>
      <c r="L474" s="16">
        <f>IF(Database!BK474="","(none found)",Database!BK474)</f>
        <v/>
      </c>
      <c r="M474" s="18">
        <f>IFERROR(BDH(Database!$A474&amp;" HK Equity","CUR_MKT_CAP",Database!$H474,Database!$H474),"")</f>
        <v/>
      </c>
      <c r="N474" s="97">
        <f>Database!Q474</f>
        <v/>
      </c>
      <c r="O474" s="24">
        <f>IFERROR(BDH(Database!$A474&amp;" HK Equity","PE_RATIO",Database!$H474,Database!$H474),"")</f>
        <v/>
      </c>
      <c r="P474" s="101">
        <f>IF(Database!BE474="","(n/m or not derivable)",Database!BE474)</f>
        <v/>
      </c>
      <c r="Q474" s="24">
        <f>IF(Database!BK474="","",IFERROR(BDH(LEFT(Database!BK474,FIND(".",Database!BK474)-1)&amp;" CH Equity","PE_RATIO",Database!$H474,Database!$H474),""))</f>
        <v/>
      </c>
      <c r="R474" s="24">
        <f>IF(Database!BK474="","",IFERROR(BDH("HSAHP Index","PX_LAST",Database!$H474,Database!$H474),""))</f>
        <v/>
      </c>
      <c r="S474" s="24">
        <f>IFERROR(BDP(Database!$A474&amp;" HK Equity","PX_TO_SALES_RATIO"),"")</f>
        <v/>
      </c>
      <c r="T474" s="18">
        <f>IF(Database!BK474="","",IFERROR(BDP(LEFT(Database!BK474,FIND(".",Database!BK474)-1)&amp;"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Database!AF475</f>
        <v/>
      </c>
      <c r="J475" s="24">
        <f>IFERROR(BDP(Database!$A475&amp;" HK Equity","PE_RATIO"),"")</f>
        <v/>
      </c>
      <c r="K475" s="10">
        <f>IFERROR(BDP(Database!$A475&amp;" HK Equity","A/H_SHARE_CONVERSION"),"")</f>
        <v/>
      </c>
      <c r="L475" s="16">
        <f>IF(Database!BK475="","(none found)",Database!BK475)</f>
        <v/>
      </c>
      <c r="M475" s="18">
        <f>IFERROR(BDH(Database!$A475&amp;" HK Equity","CUR_MKT_CAP",Database!$H475,Database!$H475),"")</f>
        <v/>
      </c>
      <c r="N475" s="97">
        <f>Database!Q475</f>
        <v/>
      </c>
      <c r="O475" s="24">
        <f>IFERROR(BDH(Database!$A475&amp;" HK Equity","PE_RATIO",Database!$H475,Database!$H475),"")</f>
        <v/>
      </c>
      <c r="P475" s="101">
        <f>IF(Database!BE475="","(n/m or not derivable)",Database!BE475)</f>
        <v/>
      </c>
      <c r="Q475" s="24">
        <f>IF(Database!BK475="","",IFERROR(BDH(LEFT(Database!BK475,FIND(".",Database!BK475)-1)&amp;" CH Equity","PE_RATIO",Database!$H475,Database!$H475),""))</f>
        <v/>
      </c>
      <c r="R475" s="24">
        <f>IF(Database!BK475="","",IFERROR(BDH("HSAHP Index","PX_LAST",Database!$H475,Database!$H475),""))</f>
        <v/>
      </c>
      <c r="S475" s="24">
        <f>IFERROR(BDP(Database!$A475&amp;" HK Equity","PX_TO_SALES_RATIO"),"")</f>
        <v/>
      </c>
      <c r="T475" s="18">
        <f>IF(Database!BK475="","",IFERROR(BDP(LEFT(Database!BK475,FIND(".",Database!BK475)-1)&amp;"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Database!AF476</f>
        <v/>
      </c>
      <c r="J476" s="24">
        <f>IFERROR(BDP(Database!$A476&amp;" HK Equity","PE_RATIO"),"")</f>
        <v/>
      </c>
      <c r="K476" s="10">
        <f>IFERROR(BDP(Database!$A476&amp;" HK Equity","A/H_SHARE_CONVERSION"),"")</f>
        <v/>
      </c>
      <c r="L476" s="16">
        <f>IF(Database!BK476="","(none found)",Database!BK476)</f>
        <v/>
      </c>
      <c r="M476" s="18">
        <f>IFERROR(BDH(Database!$A476&amp;" HK Equity","CUR_MKT_CAP",Database!$H476,Database!$H476),"")</f>
        <v/>
      </c>
      <c r="N476" s="97">
        <f>Database!Q476</f>
        <v/>
      </c>
      <c r="O476" s="24">
        <f>IFERROR(BDH(Database!$A476&amp;" HK Equity","PE_RATIO",Database!$H476,Database!$H476),"")</f>
        <v/>
      </c>
      <c r="P476" s="101">
        <f>IF(Database!BE476="","(n/m or not derivable)",Database!BE476)</f>
        <v/>
      </c>
      <c r="Q476" s="24">
        <f>IF(Database!BK476="","",IFERROR(BDH(LEFT(Database!BK476,FIND(".",Database!BK476)-1)&amp;" CH Equity","PE_RATIO",Database!$H476,Database!$H476),""))</f>
        <v/>
      </c>
      <c r="R476" s="24">
        <f>IF(Database!BK476="","",IFERROR(BDH("HSAHP Index","PX_LAST",Database!$H476,Database!$H476),""))</f>
        <v/>
      </c>
      <c r="S476" s="24">
        <f>IFERROR(BDP(Database!$A476&amp;" HK Equity","PX_TO_SALES_RATIO"),"")</f>
        <v/>
      </c>
      <c r="T476" s="18">
        <f>IF(Database!BK476="","",IFERROR(BDP(LEFT(Database!BK476,FIND(".",Database!BK476)-1)&amp;"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Database!AF477</f>
        <v/>
      </c>
      <c r="J477" s="24">
        <f>IFERROR(BDP(Database!$A477&amp;" HK Equity","PE_RATIO"),"")</f>
        <v/>
      </c>
      <c r="K477" s="10">
        <f>IFERROR(BDP(Database!$A477&amp;" HK Equity","A/H_SHARE_CONVERSION"),"")</f>
        <v/>
      </c>
      <c r="L477" s="16">
        <f>IF(Database!BK477="","(none found)",Database!BK477)</f>
        <v/>
      </c>
      <c r="M477" s="18">
        <f>IFERROR(BDH(Database!$A477&amp;" HK Equity","CUR_MKT_CAP",Database!$H477,Database!$H477),"")</f>
        <v/>
      </c>
      <c r="N477" s="97">
        <f>Database!Q477</f>
        <v/>
      </c>
      <c r="O477" s="24">
        <f>IFERROR(BDH(Database!$A477&amp;" HK Equity","PE_RATIO",Database!$H477,Database!$H477),"")</f>
        <v/>
      </c>
      <c r="P477" s="101">
        <f>IF(Database!BE477="","(n/m or not derivable)",Database!BE477)</f>
        <v/>
      </c>
      <c r="Q477" s="24">
        <f>IF(Database!BK477="","",IFERROR(BDH(LEFT(Database!BK477,FIND(".",Database!BK477)-1)&amp;" CH Equity","PE_RATIO",Database!$H477,Database!$H477),""))</f>
        <v/>
      </c>
      <c r="R477" s="24">
        <f>IF(Database!BK477="","",IFERROR(BDH("HSAHP Index","PX_LAST",Database!$H477,Database!$H477),""))</f>
        <v/>
      </c>
      <c r="S477" s="24">
        <f>IFERROR(BDP(Database!$A477&amp;" HK Equity","PX_TO_SALES_RATIO"),"")</f>
        <v/>
      </c>
      <c r="T477" s="18">
        <f>IF(Database!BK477="","",IFERROR(BDP(LEFT(Database!BK477,FIND(".",Database!BK477)-1)&amp;"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Database!AF478</f>
        <v/>
      </c>
      <c r="J478" s="24">
        <f>IFERROR(BDP(Database!$A478&amp;" HK Equity","PE_RATIO"),"")</f>
        <v/>
      </c>
      <c r="K478" s="10">
        <f>IFERROR(BDP(Database!$A478&amp;" HK Equity","A/H_SHARE_CONVERSION"),"")</f>
        <v/>
      </c>
      <c r="L478" s="16">
        <f>IF(Database!BK478="","(none found)",Database!BK478)</f>
        <v/>
      </c>
      <c r="M478" s="18">
        <f>IFERROR(BDH(Database!$A478&amp;" HK Equity","CUR_MKT_CAP",Database!$H478,Database!$H478),"")</f>
        <v/>
      </c>
      <c r="N478" s="97">
        <f>Database!Q478</f>
        <v/>
      </c>
      <c r="O478" s="24">
        <f>IFERROR(BDH(Database!$A478&amp;" HK Equity","PE_RATIO",Database!$H478,Database!$H478),"")</f>
        <v/>
      </c>
      <c r="P478" s="101">
        <f>IF(Database!BE478="","(n/m or not derivable)",Database!BE478)</f>
        <v/>
      </c>
      <c r="Q478" s="24">
        <f>IF(Database!BK478="","",IFERROR(BDH(LEFT(Database!BK478,FIND(".",Database!BK478)-1)&amp;" CH Equity","PE_RATIO",Database!$H478,Database!$H478),""))</f>
        <v/>
      </c>
      <c r="R478" s="24">
        <f>IF(Database!BK478="","",IFERROR(BDH("HSAHP Index","PX_LAST",Database!$H478,Database!$H478),""))</f>
        <v/>
      </c>
      <c r="S478" s="24">
        <f>IFERROR(BDP(Database!$A478&amp;" HK Equity","PX_TO_SALES_RATIO"),"")</f>
        <v/>
      </c>
      <c r="T478" s="18">
        <f>IF(Database!BK478="","",IFERROR(BDP(LEFT(Database!BK478,FIND(".",Database!BK478)-1)&amp;"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Database!AF479</f>
        <v/>
      </c>
      <c r="J479" s="24">
        <f>IFERROR(BDP(Database!$A479&amp;" HK Equity","PE_RATIO"),"")</f>
        <v/>
      </c>
      <c r="K479" s="10">
        <f>IFERROR(BDP(Database!$A479&amp;" HK Equity","A/H_SHARE_CONVERSION"),"")</f>
        <v/>
      </c>
      <c r="L479" s="16">
        <f>IF(Database!BK479="","(none found)",Database!BK479)</f>
        <v/>
      </c>
      <c r="M479" s="18">
        <f>IFERROR(BDH(Database!$A479&amp;" HK Equity","CUR_MKT_CAP",Database!$H479,Database!$H479),"")</f>
        <v/>
      </c>
      <c r="N479" s="97">
        <f>Database!Q479</f>
        <v/>
      </c>
      <c r="O479" s="24">
        <f>IFERROR(BDH(Database!$A479&amp;" HK Equity","PE_RATIO",Database!$H479,Database!$H479),"")</f>
        <v/>
      </c>
      <c r="P479" s="101">
        <f>IF(Database!BE479="","(n/m or not derivable)",Database!BE479)</f>
        <v/>
      </c>
      <c r="Q479" s="24">
        <f>IF(Database!BK479="","",IFERROR(BDH(LEFT(Database!BK479,FIND(".",Database!BK479)-1)&amp;" CH Equity","PE_RATIO",Database!$H479,Database!$H479),""))</f>
        <v/>
      </c>
      <c r="R479" s="24">
        <f>IF(Database!BK479="","",IFERROR(BDH("HSAHP Index","PX_LAST",Database!$H479,Database!$H479),""))</f>
        <v/>
      </c>
      <c r="S479" s="24">
        <f>IFERROR(BDP(Database!$A479&amp;" HK Equity","PX_TO_SALES_RATIO"),"")</f>
        <v/>
      </c>
      <c r="T479" s="18">
        <f>IF(Database!BK479="","",IFERROR(BDP(LEFT(Database!BK479,FIND(".",Database!BK479)-1)&amp;"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Database!AF480</f>
        <v/>
      </c>
      <c r="J480" s="24">
        <f>IFERROR(BDP(Database!$A480&amp;" HK Equity","PE_RATIO"),"")</f>
        <v/>
      </c>
      <c r="K480" s="10">
        <f>IFERROR(BDP(Database!$A480&amp;" HK Equity","A/H_SHARE_CONVERSION"),"")</f>
        <v/>
      </c>
      <c r="L480" s="16">
        <f>IF(Database!BK480="","(none found)",Database!BK480)</f>
        <v/>
      </c>
      <c r="M480" s="18">
        <f>IFERROR(BDH(Database!$A480&amp;" HK Equity","CUR_MKT_CAP",Database!$H480,Database!$H480),"")</f>
        <v/>
      </c>
      <c r="N480" s="97">
        <f>Database!Q480</f>
        <v/>
      </c>
      <c r="O480" s="24">
        <f>IFERROR(BDH(Database!$A480&amp;" HK Equity","PE_RATIO",Database!$H480,Database!$H480),"")</f>
        <v/>
      </c>
      <c r="P480" s="101">
        <f>IF(Database!BE480="","(n/m or not derivable)",Database!BE480)</f>
        <v/>
      </c>
      <c r="Q480" s="24">
        <f>IF(Database!BK480="","",IFERROR(BDH(LEFT(Database!BK480,FIND(".",Database!BK480)-1)&amp;" CH Equity","PE_RATIO",Database!$H480,Database!$H480),""))</f>
        <v/>
      </c>
      <c r="R480" s="24">
        <f>IF(Database!BK480="","",IFERROR(BDH("HSAHP Index","PX_LAST",Database!$H480,Database!$H480),""))</f>
        <v/>
      </c>
      <c r="S480" s="24">
        <f>IFERROR(BDP(Database!$A480&amp;" HK Equity","PX_TO_SALES_RATIO"),"")</f>
        <v/>
      </c>
      <c r="T480" s="18">
        <f>IF(Database!BK480="","",IFERROR(BDP(LEFT(Database!BK480,FIND(".",Database!BK480)-1)&amp;"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Database!AF481</f>
        <v/>
      </c>
      <c r="J481" s="24">
        <f>IFERROR(BDP(Database!$A481&amp;" HK Equity","PE_RATIO"),"")</f>
        <v/>
      </c>
      <c r="K481" s="10">
        <f>IFERROR(BDP(Database!$A481&amp;" HK Equity","A/H_SHARE_CONVERSION"),"")</f>
        <v/>
      </c>
      <c r="L481" s="16">
        <f>IF(Database!BK481="","(none found)",Database!BK481)</f>
        <v/>
      </c>
      <c r="M481" s="18">
        <f>IFERROR(BDH(Database!$A481&amp;" HK Equity","CUR_MKT_CAP",Database!$H481,Database!$H481),"")</f>
        <v/>
      </c>
      <c r="N481" s="97">
        <f>Database!Q481</f>
        <v/>
      </c>
      <c r="O481" s="24">
        <f>IFERROR(BDH(Database!$A481&amp;" HK Equity","PE_RATIO",Database!$H481,Database!$H481),"")</f>
        <v/>
      </c>
      <c r="P481" s="101">
        <f>IF(Database!BE481="","(n/m or not derivable)",Database!BE481)</f>
        <v/>
      </c>
      <c r="Q481" s="24">
        <f>IF(Database!BK481="","",IFERROR(BDH(LEFT(Database!BK481,FIND(".",Database!BK481)-1)&amp;" CH Equity","PE_RATIO",Database!$H481,Database!$H481),""))</f>
        <v/>
      </c>
      <c r="R481" s="24">
        <f>IF(Database!BK481="","",IFERROR(BDH("HSAHP Index","PX_LAST",Database!$H481,Database!$H481),""))</f>
        <v/>
      </c>
      <c r="S481" s="24">
        <f>IFERROR(BDP(Database!$A481&amp;" HK Equity","PX_TO_SALES_RATIO"),"")</f>
        <v/>
      </c>
      <c r="T481" s="18">
        <f>IF(Database!BK481="","",IFERROR(BDP(LEFT(Database!BK481,FIND(".",Database!BK481)-1)&amp;"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Database!AF482</f>
        <v/>
      </c>
      <c r="J482" s="24">
        <f>IFERROR(BDP(Database!$A482&amp;" HK Equity","PE_RATIO"),"")</f>
        <v/>
      </c>
      <c r="K482" s="10">
        <f>IFERROR(BDP(Database!$A482&amp;" HK Equity","A/H_SHARE_CONVERSION"),"")</f>
        <v/>
      </c>
      <c r="L482" s="16">
        <f>IF(Database!BK482="","(none found)",Database!BK482)</f>
        <v/>
      </c>
      <c r="M482" s="18">
        <f>IFERROR(BDH(Database!$A482&amp;" HK Equity","CUR_MKT_CAP",Database!$H482,Database!$H482),"")</f>
        <v/>
      </c>
      <c r="N482" s="97">
        <f>Database!Q482</f>
        <v/>
      </c>
      <c r="O482" s="24">
        <f>IFERROR(BDH(Database!$A482&amp;" HK Equity","PE_RATIO",Database!$H482,Database!$H482),"")</f>
        <v/>
      </c>
      <c r="P482" s="101">
        <f>IF(Database!BE482="","(n/m or not derivable)",Database!BE482)</f>
        <v/>
      </c>
      <c r="Q482" s="24">
        <f>IF(Database!BK482="","",IFERROR(BDH(LEFT(Database!BK482,FIND(".",Database!BK482)-1)&amp;" CH Equity","PE_RATIO",Database!$H482,Database!$H482),""))</f>
        <v/>
      </c>
      <c r="R482" s="24">
        <f>IF(Database!BK482="","",IFERROR(BDH("HSAHP Index","PX_LAST",Database!$H482,Database!$H482),""))</f>
        <v/>
      </c>
      <c r="S482" s="24">
        <f>IFERROR(BDP(Database!$A482&amp;" HK Equity","PX_TO_SALES_RATIO"),"")</f>
        <v/>
      </c>
      <c r="T482" s="18">
        <f>IF(Database!BK482="","",IFERROR(BDP(LEFT(Database!BK482,FIND(".",Database!BK482)-1)&amp;"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Database!AF483</f>
        <v/>
      </c>
      <c r="J483" s="24">
        <f>IFERROR(BDP(Database!$A483&amp;" HK Equity","PE_RATIO"),"")</f>
        <v/>
      </c>
      <c r="K483" s="10">
        <f>IFERROR(BDP(Database!$A483&amp;" HK Equity","A/H_SHARE_CONVERSION"),"")</f>
        <v/>
      </c>
      <c r="L483" s="16">
        <f>IF(Database!BK483="","(none found)",Database!BK483)</f>
        <v/>
      </c>
      <c r="M483" s="18">
        <f>IFERROR(BDH(Database!$A483&amp;" HK Equity","CUR_MKT_CAP",Database!$H483,Database!$H483),"")</f>
        <v/>
      </c>
      <c r="N483" s="97">
        <f>Database!Q483</f>
        <v/>
      </c>
      <c r="O483" s="24">
        <f>IFERROR(BDH(Database!$A483&amp;" HK Equity","PE_RATIO",Database!$H483,Database!$H483),"")</f>
        <v/>
      </c>
      <c r="P483" s="101">
        <f>IF(Database!BE483="","(n/m or not derivable)",Database!BE483)</f>
        <v/>
      </c>
      <c r="Q483" s="24">
        <f>IF(Database!BK483="","",IFERROR(BDH(LEFT(Database!BK483,FIND(".",Database!BK483)-1)&amp;" CH Equity","PE_RATIO",Database!$H483,Database!$H483),""))</f>
        <v/>
      </c>
      <c r="R483" s="24">
        <f>IF(Database!BK483="","",IFERROR(BDH("HSAHP Index","PX_LAST",Database!$H483,Database!$H483),""))</f>
        <v/>
      </c>
      <c r="S483" s="24">
        <f>IFERROR(BDP(Database!$A483&amp;" HK Equity","PX_TO_SALES_RATIO"),"")</f>
        <v/>
      </c>
      <c r="T483" s="18">
        <f>IF(Database!BK483="","",IFERROR(BDP(LEFT(Database!BK483,FIND(".",Database!BK483)-1)&amp;"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Database!AF484</f>
        <v/>
      </c>
      <c r="J484" s="24">
        <f>IFERROR(BDP(Database!$A484&amp;" HK Equity","PE_RATIO"),"")</f>
        <v/>
      </c>
      <c r="K484" s="10">
        <f>IFERROR(BDP(Database!$A484&amp;" HK Equity","A/H_SHARE_CONVERSION"),"")</f>
        <v/>
      </c>
      <c r="L484" s="16">
        <f>IF(Database!BK484="","(none found)",Database!BK484)</f>
        <v/>
      </c>
      <c r="M484" s="18">
        <f>IFERROR(BDH(Database!$A484&amp;" HK Equity","CUR_MKT_CAP",Database!$H484,Database!$H484),"")</f>
        <v/>
      </c>
      <c r="N484" s="97">
        <f>Database!Q484</f>
        <v/>
      </c>
      <c r="O484" s="24">
        <f>IFERROR(BDH(Database!$A484&amp;" HK Equity","PE_RATIO",Database!$H484,Database!$H484),"")</f>
        <v/>
      </c>
      <c r="P484" s="101">
        <f>IF(Database!BE484="","(n/m or not derivable)",Database!BE484)</f>
        <v/>
      </c>
      <c r="Q484" s="24">
        <f>IF(Database!BK484="","",IFERROR(BDH(LEFT(Database!BK484,FIND(".",Database!BK484)-1)&amp;" CH Equity","PE_RATIO",Database!$H484,Database!$H484),""))</f>
        <v/>
      </c>
      <c r="R484" s="24">
        <f>IF(Database!BK484="","",IFERROR(BDH("HSAHP Index","PX_LAST",Database!$H484,Database!$H484),""))</f>
        <v/>
      </c>
      <c r="S484" s="24">
        <f>IFERROR(BDP(Database!$A484&amp;" HK Equity","PX_TO_SALES_RATIO"),"")</f>
        <v/>
      </c>
      <c r="T484" s="18">
        <f>IF(Database!BK484="","",IFERROR(BDP(LEFT(Database!BK484,FIND(".",Database!BK484)-1)&amp;"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Database!AF485</f>
        <v/>
      </c>
      <c r="J485" s="24">
        <f>IFERROR(BDP(Database!$A485&amp;" HK Equity","PE_RATIO"),"")</f>
        <v/>
      </c>
      <c r="K485" s="10">
        <f>IFERROR(BDP(Database!$A485&amp;" HK Equity","A/H_SHARE_CONVERSION"),"")</f>
        <v/>
      </c>
      <c r="L485" s="16">
        <f>IF(Database!BK485="","(none found)",Database!BK485)</f>
        <v/>
      </c>
      <c r="M485" s="18">
        <f>IFERROR(BDH(Database!$A485&amp;" HK Equity","CUR_MKT_CAP",Database!$H485,Database!$H485),"")</f>
        <v/>
      </c>
      <c r="N485" s="97">
        <f>Database!Q485</f>
        <v/>
      </c>
      <c r="O485" s="24">
        <f>IFERROR(BDH(Database!$A485&amp;" HK Equity","PE_RATIO",Database!$H485,Database!$H485),"")</f>
        <v/>
      </c>
      <c r="P485" s="101">
        <f>IF(Database!BE485="","(n/m or not derivable)",Database!BE485)</f>
        <v/>
      </c>
      <c r="Q485" s="24">
        <f>IF(Database!BK485="","",IFERROR(BDH(LEFT(Database!BK485,FIND(".",Database!BK485)-1)&amp;" CH Equity","PE_RATIO",Database!$H485,Database!$H485),""))</f>
        <v/>
      </c>
      <c r="R485" s="24">
        <f>IF(Database!BK485="","",IFERROR(BDH("HSAHP Index","PX_LAST",Database!$H485,Database!$H485),""))</f>
        <v/>
      </c>
      <c r="S485" s="24">
        <f>IFERROR(BDP(Database!$A485&amp;" HK Equity","PX_TO_SALES_RATIO"),"")</f>
        <v/>
      </c>
      <c r="T485" s="18">
        <f>IF(Database!BK485="","",IFERROR(BDP(LEFT(Database!BK485,FIND(".",Database!BK485)-1)&amp;"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Database!AF486</f>
        <v/>
      </c>
      <c r="J486" s="24">
        <f>IFERROR(BDP(Database!$A486&amp;" HK Equity","PE_RATIO"),"")</f>
        <v/>
      </c>
      <c r="K486" s="10">
        <f>IFERROR(BDP(Database!$A486&amp;" HK Equity","A/H_SHARE_CONVERSION"),"")</f>
        <v/>
      </c>
      <c r="L486" s="16">
        <f>IF(Database!BK486="","(none found)",Database!BK486)</f>
        <v/>
      </c>
      <c r="M486" s="18">
        <f>IFERROR(BDH(Database!$A486&amp;" HK Equity","CUR_MKT_CAP",Database!$H486,Database!$H486),"")</f>
        <v/>
      </c>
      <c r="N486" s="97">
        <f>Database!Q486</f>
        <v/>
      </c>
      <c r="O486" s="24">
        <f>IFERROR(BDH(Database!$A486&amp;" HK Equity","PE_RATIO",Database!$H486,Database!$H486),"")</f>
        <v/>
      </c>
      <c r="P486" s="101">
        <f>IF(Database!BE486="","(n/m or not derivable)",Database!BE486)</f>
        <v/>
      </c>
      <c r="Q486" s="24">
        <f>IF(Database!BK486="","",IFERROR(BDH(LEFT(Database!BK486,FIND(".",Database!BK486)-1)&amp;" CH Equity","PE_RATIO",Database!$H486,Database!$H486),""))</f>
        <v/>
      </c>
      <c r="R486" s="24">
        <f>IF(Database!BK486="","",IFERROR(BDH("HSAHP Index","PX_LAST",Database!$H486,Database!$H486),""))</f>
        <v/>
      </c>
      <c r="S486" s="24">
        <f>IFERROR(BDP(Database!$A486&amp;" HK Equity","PX_TO_SALES_RATIO"),"")</f>
        <v/>
      </c>
      <c r="T486" s="18">
        <f>IF(Database!BK486="","",IFERROR(BDP(LEFT(Database!BK486,FIND(".",Database!BK486)-1)&amp;"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Database!AF487</f>
        <v/>
      </c>
      <c r="J487" s="24">
        <f>IFERROR(BDP(Database!$A487&amp;" HK Equity","PE_RATIO"),"")</f>
        <v/>
      </c>
      <c r="K487" s="10">
        <f>IFERROR(BDP(Database!$A487&amp;" HK Equity","A/H_SHARE_CONVERSION"),"")</f>
        <v/>
      </c>
      <c r="L487" s="16">
        <f>IF(Database!BK487="","(none found)",Database!BK487)</f>
        <v/>
      </c>
      <c r="M487" s="18">
        <f>IFERROR(BDH(Database!$A487&amp;" HK Equity","CUR_MKT_CAP",Database!$H487,Database!$H487),"")</f>
        <v/>
      </c>
      <c r="N487" s="97">
        <f>Database!Q487</f>
        <v/>
      </c>
      <c r="O487" s="24">
        <f>IFERROR(BDH(Database!$A487&amp;" HK Equity","PE_RATIO",Database!$H487,Database!$H487),"")</f>
        <v/>
      </c>
      <c r="P487" s="101">
        <f>IF(Database!BE487="","(n/m or not derivable)",Database!BE487)</f>
        <v/>
      </c>
      <c r="Q487" s="24">
        <f>IF(Database!BK487="","",IFERROR(BDH(LEFT(Database!BK487,FIND(".",Database!BK487)-1)&amp;" CH Equity","PE_RATIO",Database!$H487,Database!$H487),""))</f>
        <v/>
      </c>
      <c r="R487" s="24">
        <f>IF(Database!BK487="","",IFERROR(BDH("HSAHP Index","PX_LAST",Database!$H487,Database!$H487),""))</f>
        <v/>
      </c>
      <c r="S487" s="24">
        <f>IFERROR(BDP(Database!$A487&amp;" HK Equity","PX_TO_SALES_RATIO"),"")</f>
        <v/>
      </c>
      <c r="T487" s="18">
        <f>IF(Database!BK487="","",IFERROR(BDP(LEFT(Database!BK487,FIND(".",Database!BK487)-1)&amp;"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Database!AF488</f>
        <v/>
      </c>
      <c r="J488" s="24">
        <f>IFERROR(BDP(Database!$A488&amp;" HK Equity","PE_RATIO"),"")</f>
        <v/>
      </c>
      <c r="K488" s="10">
        <f>IFERROR(BDP(Database!$A488&amp;" HK Equity","A/H_SHARE_CONVERSION"),"")</f>
        <v/>
      </c>
      <c r="L488" s="16">
        <f>IF(Database!BK488="","(none found)",Database!BK488)</f>
        <v/>
      </c>
      <c r="M488" s="18">
        <f>IFERROR(BDH(Database!$A488&amp;" HK Equity","CUR_MKT_CAP",Database!$H488,Database!$H488),"")</f>
        <v/>
      </c>
      <c r="N488" s="97">
        <f>Database!Q488</f>
        <v/>
      </c>
      <c r="O488" s="24">
        <f>IFERROR(BDH(Database!$A488&amp;" HK Equity","PE_RATIO",Database!$H488,Database!$H488),"")</f>
        <v/>
      </c>
      <c r="P488" s="101">
        <f>IF(Database!BE488="","(n/m or not derivable)",Database!BE488)</f>
        <v/>
      </c>
      <c r="Q488" s="24">
        <f>IF(Database!BK488="","",IFERROR(BDH(LEFT(Database!BK488,FIND(".",Database!BK488)-1)&amp;" CH Equity","PE_RATIO",Database!$H488,Database!$H488),""))</f>
        <v/>
      </c>
      <c r="R488" s="24">
        <f>IF(Database!BK488="","",IFERROR(BDH("HSAHP Index","PX_LAST",Database!$H488,Database!$H488),""))</f>
        <v/>
      </c>
      <c r="S488" s="24">
        <f>IFERROR(BDP(Database!$A488&amp;" HK Equity","PX_TO_SALES_RATIO"),"")</f>
        <v/>
      </c>
      <c r="T488" s="18">
        <f>IF(Database!BK488="","",IFERROR(BDP(LEFT(Database!BK488,FIND(".",Database!BK488)-1)&amp;"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Database!AF489</f>
        <v/>
      </c>
      <c r="J489" s="24">
        <f>IFERROR(BDP(Database!$A489&amp;" HK Equity","PE_RATIO"),"")</f>
        <v/>
      </c>
      <c r="K489" s="10">
        <f>IFERROR(BDP(Database!$A489&amp;" HK Equity","A/H_SHARE_CONVERSION"),"")</f>
        <v/>
      </c>
      <c r="L489" s="16">
        <f>IF(Database!BK489="","(none found)",Database!BK489)</f>
        <v/>
      </c>
      <c r="M489" s="18">
        <f>IFERROR(BDH(Database!$A489&amp;" HK Equity","CUR_MKT_CAP",Database!$H489,Database!$H489),"")</f>
        <v/>
      </c>
      <c r="N489" s="97">
        <f>Database!Q489</f>
        <v/>
      </c>
      <c r="O489" s="24">
        <f>IFERROR(BDH(Database!$A489&amp;" HK Equity","PE_RATIO",Database!$H489,Database!$H489),"")</f>
        <v/>
      </c>
      <c r="P489" s="101">
        <f>IF(Database!BE489="","(n/m or not derivable)",Database!BE489)</f>
        <v/>
      </c>
      <c r="Q489" s="24">
        <f>IF(Database!BK489="","",IFERROR(BDH(LEFT(Database!BK489,FIND(".",Database!BK489)-1)&amp;" CH Equity","PE_RATIO",Database!$H489,Database!$H489),""))</f>
        <v/>
      </c>
      <c r="R489" s="24">
        <f>IF(Database!BK489="","",IFERROR(BDH("HSAHP Index","PX_LAST",Database!$H489,Database!$H489),""))</f>
        <v/>
      </c>
      <c r="S489" s="24">
        <f>IFERROR(BDP(Database!$A489&amp;" HK Equity","PX_TO_SALES_RATIO"),"")</f>
        <v/>
      </c>
      <c r="T489" s="18">
        <f>IF(Database!BK489="","",IFERROR(BDP(LEFT(Database!BK489,FIND(".",Database!BK489)-1)&amp;"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Database!AF490</f>
        <v/>
      </c>
      <c r="J490" s="24">
        <f>IFERROR(BDP(Database!$A490&amp;" HK Equity","PE_RATIO"),"")</f>
        <v/>
      </c>
      <c r="K490" s="10">
        <f>IFERROR(BDP(Database!$A490&amp;" HK Equity","A/H_SHARE_CONVERSION"),"")</f>
        <v/>
      </c>
      <c r="L490" s="16">
        <f>IF(Database!BK490="","(none found)",Database!BK490)</f>
        <v/>
      </c>
      <c r="M490" s="18">
        <f>IFERROR(BDH(Database!$A490&amp;" HK Equity","CUR_MKT_CAP",Database!$H490,Database!$H490),"")</f>
        <v/>
      </c>
      <c r="N490" s="97">
        <f>Database!Q490</f>
        <v/>
      </c>
      <c r="O490" s="24">
        <f>IFERROR(BDH(Database!$A490&amp;" HK Equity","PE_RATIO",Database!$H490,Database!$H490),"")</f>
        <v/>
      </c>
      <c r="P490" s="101">
        <f>IF(Database!BE490="","(n/m or not derivable)",Database!BE490)</f>
        <v/>
      </c>
      <c r="Q490" s="24">
        <f>IF(Database!BK490="","",IFERROR(BDH(LEFT(Database!BK490,FIND(".",Database!BK490)-1)&amp;" CH Equity","PE_RATIO",Database!$H490,Database!$H490),""))</f>
        <v/>
      </c>
      <c r="R490" s="24">
        <f>IF(Database!BK490="","",IFERROR(BDH("HSAHP Index","PX_LAST",Database!$H490,Database!$H490),""))</f>
        <v/>
      </c>
      <c r="S490" s="24">
        <f>IFERROR(BDP(Database!$A490&amp;" HK Equity","PX_TO_SALES_RATIO"),"")</f>
        <v/>
      </c>
      <c r="T490" s="18">
        <f>IF(Database!BK490="","",IFERROR(BDP(LEFT(Database!BK490,FIND(".",Database!BK490)-1)&amp;"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Database!AF491</f>
        <v/>
      </c>
      <c r="J491" s="24">
        <f>IFERROR(BDP(Database!$A491&amp;" HK Equity","PE_RATIO"),"")</f>
        <v/>
      </c>
      <c r="K491" s="10">
        <f>IFERROR(BDP(Database!$A491&amp;" HK Equity","A/H_SHARE_CONVERSION"),"")</f>
        <v/>
      </c>
      <c r="L491" s="16">
        <f>IF(Database!BK491="","(none found)",Database!BK491)</f>
        <v/>
      </c>
      <c r="M491" s="18">
        <f>IFERROR(BDH(Database!$A491&amp;" HK Equity","CUR_MKT_CAP",Database!$H491,Database!$H491),"")</f>
        <v/>
      </c>
      <c r="N491" s="97">
        <f>Database!Q491</f>
        <v/>
      </c>
      <c r="O491" s="24">
        <f>IFERROR(BDH(Database!$A491&amp;" HK Equity","PE_RATIO",Database!$H491,Database!$H491),"")</f>
        <v/>
      </c>
      <c r="P491" s="101">
        <f>IF(Database!BE491="","(n/m or not derivable)",Database!BE491)</f>
        <v/>
      </c>
      <c r="Q491" s="24">
        <f>IF(Database!BK491="","",IFERROR(BDH(LEFT(Database!BK491,FIND(".",Database!BK491)-1)&amp;" CH Equity","PE_RATIO",Database!$H491,Database!$H491),""))</f>
        <v/>
      </c>
      <c r="R491" s="24">
        <f>IF(Database!BK491="","",IFERROR(BDH("HSAHP Index","PX_LAST",Database!$H491,Database!$H491),""))</f>
        <v/>
      </c>
      <c r="S491" s="24">
        <f>IFERROR(BDP(Database!$A491&amp;" HK Equity","PX_TO_SALES_RATIO"),"")</f>
        <v/>
      </c>
      <c r="T491" s="18">
        <f>IF(Database!BK491="","",IFERROR(BDP(LEFT(Database!BK491,FIND(".",Database!BK491)-1)&amp;"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Database!AF492</f>
        <v/>
      </c>
      <c r="J492" s="24">
        <f>IFERROR(BDP(Database!$A492&amp;" HK Equity","PE_RATIO"),"")</f>
        <v/>
      </c>
      <c r="K492" s="10">
        <f>IFERROR(BDP(Database!$A492&amp;" HK Equity","A/H_SHARE_CONVERSION"),"")</f>
        <v/>
      </c>
      <c r="L492" s="16">
        <f>IF(Database!BK492="","(none found)",Database!BK492)</f>
        <v/>
      </c>
      <c r="M492" s="18">
        <f>IFERROR(BDH(Database!$A492&amp;" HK Equity","CUR_MKT_CAP",Database!$H492,Database!$H492),"")</f>
        <v/>
      </c>
      <c r="N492" s="97">
        <f>Database!Q492</f>
        <v/>
      </c>
      <c r="O492" s="24">
        <f>IFERROR(BDH(Database!$A492&amp;" HK Equity","PE_RATIO",Database!$H492,Database!$H492),"")</f>
        <v/>
      </c>
      <c r="P492" s="101">
        <f>IF(Database!BE492="","(n/m or not derivable)",Database!BE492)</f>
        <v/>
      </c>
      <c r="Q492" s="24">
        <f>IF(Database!BK492="","",IFERROR(BDH(LEFT(Database!BK492,FIND(".",Database!BK492)-1)&amp;" CH Equity","PE_RATIO",Database!$H492,Database!$H492),""))</f>
        <v/>
      </c>
      <c r="R492" s="24">
        <f>IF(Database!BK492="","",IFERROR(BDH("HSAHP Index","PX_LAST",Database!$H492,Database!$H492),""))</f>
        <v/>
      </c>
      <c r="S492" s="24">
        <f>IFERROR(BDP(Database!$A492&amp;" HK Equity","PX_TO_SALES_RATIO"),"")</f>
        <v/>
      </c>
      <c r="T492" s="18">
        <f>IF(Database!BK492="","",IFERROR(BDP(LEFT(Database!BK492,FIND(".",Database!BK492)-1)&amp;"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Database!AF493</f>
        <v/>
      </c>
      <c r="J493" s="24">
        <f>IFERROR(BDP(Database!$A493&amp;" HK Equity","PE_RATIO"),"")</f>
        <v/>
      </c>
      <c r="K493" s="10">
        <f>IFERROR(BDP(Database!$A493&amp;" HK Equity","A/H_SHARE_CONVERSION"),"")</f>
        <v/>
      </c>
      <c r="L493" s="16">
        <f>IF(Database!BK493="","(none found)",Database!BK493)</f>
        <v/>
      </c>
      <c r="M493" s="18">
        <f>IFERROR(BDH(Database!$A493&amp;" HK Equity","CUR_MKT_CAP",Database!$H493,Database!$H493),"")</f>
        <v/>
      </c>
      <c r="N493" s="97">
        <f>Database!Q493</f>
        <v/>
      </c>
      <c r="O493" s="24">
        <f>IFERROR(BDH(Database!$A493&amp;" HK Equity","PE_RATIO",Database!$H493,Database!$H493),"")</f>
        <v/>
      </c>
      <c r="P493" s="101">
        <f>IF(Database!BE493="","(n/m or not derivable)",Database!BE493)</f>
        <v/>
      </c>
      <c r="Q493" s="24">
        <f>IF(Database!BK493="","",IFERROR(BDH(LEFT(Database!BK493,FIND(".",Database!BK493)-1)&amp;" CH Equity","PE_RATIO",Database!$H493,Database!$H493),""))</f>
        <v/>
      </c>
      <c r="R493" s="24">
        <f>IF(Database!BK493="","",IFERROR(BDH("HSAHP Index","PX_LAST",Database!$H493,Database!$H493),""))</f>
        <v/>
      </c>
      <c r="S493" s="24">
        <f>IFERROR(BDP(Database!$A493&amp;" HK Equity","PX_TO_SALES_RATIO"),"")</f>
        <v/>
      </c>
      <c r="T493" s="18">
        <f>IF(Database!BK493="","",IFERROR(BDP(LEFT(Database!BK493,FIND(".",Database!BK493)-1)&amp;"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Database!AF494</f>
        <v/>
      </c>
      <c r="J494" s="24">
        <f>IFERROR(BDP(Database!$A494&amp;" HK Equity","PE_RATIO"),"")</f>
        <v/>
      </c>
      <c r="K494" s="10">
        <f>IFERROR(BDP(Database!$A494&amp;" HK Equity","A/H_SHARE_CONVERSION"),"")</f>
        <v/>
      </c>
      <c r="L494" s="16">
        <f>IF(Database!BK494="","(none found)",Database!BK494)</f>
        <v/>
      </c>
      <c r="M494" s="18">
        <f>IFERROR(BDH(Database!$A494&amp;" HK Equity","CUR_MKT_CAP",Database!$H494,Database!$H494),"")</f>
        <v/>
      </c>
      <c r="N494" s="97">
        <f>Database!Q494</f>
        <v/>
      </c>
      <c r="O494" s="24">
        <f>IFERROR(BDH(Database!$A494&amp;" HK Equity","PE_RATIO",Database!$H494,Database!$H494),"")</f>
        <v/>
      </c>
      <c r="P494" s="101">
        <f>IF(Database!BE494="","(n/m or not derivable)",Database!BE494)</f>
        <v/>
      </c>
      <c r="Q494" s="24">
        <f>IF(Database!BK494="","",IFERROR(BDH(LEFT(Database!BK494,FIND(".",Database!BK494)-1)&amp;" CH Equity","PE_RATIO",Database!$H494,Database!$H494),""))</f>
        <v/>
      </c>
      <c r="R494" s="24">
        <f>IF(Database!BK494="","",IFERROR(BDH("HSAHP Index","PX_LAST",Database!$H494,Database!$H494),""))</f>
        <v/>
      </c>
      <c r="S494" s="24">
        <f>IFERROR(BDP(Database!$A494&amp;" HK Equity","PX_TO_SALES_RATIO"),"")</f>
        <v/>
      </c>
      <c r="T494" s="18">
        <f>IF(Database!BK494="","",IFERROR(BDP(LEFT(Database!BK494,FIND(".",Database!BK494)-1)&amp;"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Database!AF495</f>
        <v/>
      </c>
      <c r="J495" s="24">
        <f>IFERROR(BDP(Database!$A495&amp;" HK Equity","PE_RATIO"),"")</f>
        <v/>
      </c>
      <c r="K495" s="10">
        <f>IFERROR(BDP(Database!$A495&amp;" HK Equity","A/H_SHARE_CONVERSION"),"")</f>
        <v/>
      </c>
      <c r="L495" s="16">
        <f>IF(Database!BK495="","(none found)",Database!BK495)</f>
        <v/>
      </c>
      <c r="M495" s="18">
        <f>IFERROR(BDH(Database!$A495&amp;" HK Equity","CUR_MKT_CAP",Database!$H495,Database!$H495),"")</f>
        <v/>
      </c>
      <c r="N495" s="97">
        <f>Database!Q495</f>
        <v/>
      </c>
      <c r="O495" s="24">
        <f>IFERROR(BDH(Database!$A495&amp;" HK Equity","PE_RATIO",Database!$H495,Database!$H495),"")</f>
        <v/>
      </c>
      <c r="P495" s="101">
        <f>IF(Database!BE495="","(n/m or not derivable)",Database!BE495)</f>
        <v/>
      </c>
      <c r="Q495" s="24">
        <f>IF(Database!BK495="","",IFERROR(BDH(LEFT(Database!BK495,FIND(".",Database!BK495)-1)&amp;" CH Equity","PE_RATIO",Database!$H495,Database!$H495),""))</f>
        <v/>
      </c>
      <c r="R495" s="24">
        <f>IF(Database!BK495="","",IFERROR(BDH("HSAHP Index","PX_LAST",Database!$H495,Database!$H495),""))</f>
        <v/>
      </c>
      <c r="S495" s="24">
        <f>IFERROR(BDP(Database!$A495&amp;" HK Equity","PX_TO_SALES_RATIO"),"")</f>
        <v/>
      </c>
      <c r="T495" s="18">
        <f>IF(Database!BK495="","",IFERROR(BDP(LEFT(Database!BK495,FIND(".",Database!BK495)-1)&amp;"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Database!AF496</f>
        <v/>
      </c>
      <c r="J496" s="24">
        <f>IFERROR(BDP(Database!$A496&amp;" HK Equity","PE_RATIO"),"")</f>
        <v/>
      </c>
      <c r="K496" s="10">
        <f>IFERROR(BDP(Database!$A496&amp;" HK Equity","A/H_SHARE_CONVERSION"),"")</f>
        <v/>
      </c>
      <c r="L496" s="16">
        <f>IF(Database!BK496="","(none found)",Database!BK496)</f>
        <v/>
      </c>
      <c r="M496" s="18">
        <f>IFERROR(BDH(Database!$A496&amp;" HK Equity","CUR_MKT_CAP",Database!$H496,Database!$H496),"")</f>
        <v/>
      </c>
      <c r="N496" s="97">
        <f>Database!Q496</f>
        <v/>
      </c>
      <c r="O496" s="24">
        <f>IFERROR(BDH(Database!$A496&amp;" HK Equity","PE_RATIO",Database!$H496,Database!$H496),"")</f>
        <v/>
      </c>
      <c r="P496" s="101">
        <f>IF(Database!BE496="","(n/m or not derivable)",Database!BE496)</f>
        <v/>
      </c>
      <c r="Q496" s="24">
        <f>IF(Database!BK496="","",IFERROR(BDH(LEFT(Database!BK496,FIND(".",Database!BK496)-1)&amp;" CH Equity","PE_RATIO",Database!$H496,Database!$H496),""))</f>
        <v/>
      </c>
      <c r="R496" s="24">
        <f>IF(Database!BK496="","",IFERROR(BDH("HSAHP Index","PX_LAST",Database!$H496,Database!$H496),""))</f>
        <v/>
      </c>
      <c r="S496" s="24">
        <f>IFERROR(BDP(Database!$A496&amp;" HK Equity","PX_TO_SALES_RATIO"),"")</f>
        <v/>
      </c>
      <c r="T496" s="18">
        <f>IF(Database!BK496="","",IFERROR(BDP(LEFT(Database!BK496,FIND(".",Database!BK496)-1)&amp;"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Database!AF497</f>
        <v/>
      </c>
      <c r="J497" s="24">
        <f>IFERROR(BDP(Database!$A497&amp;" HK Equity","PE_RATIO"),"")</f>
        <v/>
      </c>
      <c r="K497" s="10">
        <f>IFERROR(BDP(Database!$A497&amp;" HK Equity","A/H_SHARE_CONVERSION"),"")</f>
        <v/>
      </c>
      <c r="L497" s="16">
        <f>IF(Database!BK497="","(none found)",Database!BK497)</f>
        <v/>
      </c>
      <c r="M497" s="18">
        <f>IFERROR(BDH(Database!$A497&amp;" HK Equity","CUR_MKT_CAP",Database!$H497,Database!$H497),"")</f>
        <v/>
      </c>
      <c r="N497" s="97">
        <f>Database!Q497</f>
        <v/>
      </c>
      <c r="O497" s="24">
        <f>IFERROR(BDH(Database!$A497&amp;" HK Equity","PE_RATIO",Database!$H497,Database!$H497),"")</f>
        <v/>
      </c>
      <c r="P497" s="101">
        <f>IF(Database!BE497="","(n/m or not derivable)",Database!BE497)</f>
        <v/>
      </c>
      <c r="Q497" s="24">
        <f>IF(Database!BK497="","",IFERROR(BDH(LEFT(Database!BK497,FIND(".",Database!BK497)-1)&amp;" CH Equity","PE_RATIO",Database!$H497,Database!$H497),""))</f>
        <v/>
      </c>
      <c r="R497" s="24">
        <f>IF(Database!BK497="","",IFERROR(BDH("HSAHP Index","PX_LAST",Database!$H497,Database!$H497),""))</f>
        <v/>
      </c>
      <c r="S497" s="24">
        <f>IFERROR(BDP(Database!$A497&amp;" HK Equity","PX_TO_SALES_RATIO"),"")</f>
        <v/>
      </c>
      <c r="T497" s="18">
        <f>IF(Database!BK497="","",IFERROR(BDP(LEFT(Database!BK497,FIND(".",Database!BK497)-1)&amp;"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Database!AF498</f>
        <v/>
      </c>
      <c r="J498" s="24">
        <f>IFERROR(BDP(Database!$A498&amp;" HK Equity","PE_RATIO"),"")</f>
        <v/>
      </c>
      <c r="K498" s="10">
        <f>IFERROR(BDP(Database!$A498&amp;" HK Equity","A/H_SHARE_CONVERSION"),"")</f>
        <v/>
      </c>
      <c r="L498" s="16">
        <f>IF(Database!BK498="","(none found)",Database!BK498)</f>
        <v/>
      </c>
      <c r="M498" s="18">
        <f>IFERROR(BDH(Database!$A498&amp;" HK Equity","CUR_MKT_CAP",Database!$H498,Database!$H498),"")</f>
        <v/>
      </c>
      <c r="N498" s="97">
        <f>Database!Q498</f>
        <v/>
      </c>
      <c r="O498" s="24">
        <f>IFERROR(BDH(Database!$A498&amp;" HK Equity","PE_RATIO",Database!$H498,Database!$H498),"")</f>
        <v/>
      </c>
      <c r="P498" s="101">
        <f>IF(Database!BE498="","(n/m or not derivable)",Database!BE498)</f>
        <v/>
      </c>
      <c r="Q498" s="24">
        <f>IF(Database!BK498="","",IFERROR(BDH(LEFT(Database!BK498,FIND(".",Database!BK498)-1)&amp;" CH Equity","PE_RATIO",Database!$H498,Database!$H498),""))</f>
        <v/>
      </c>
      <c r="R498" s="24">
        <f>IF(Database!BK498="","",IFERROR(BDH("HSAHP Index","PX_LAST",Database!$H498,Database!$H498),""))</f>
        <v/>
      </c>
      <c r="S498" s="24">
        <f>IFERROR(BDP(Database!$A498&amp;" HK Equity","PX_TO_SALES_RATIO"),"")</f>
        <v/>
      </c>
      <c r="T498" s="18">
        <f>IF(Database!BK498="","",IFERROR(BDP(LEFT(Database!BK498,FIND(".",Database!BK498)-1)&amp;"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Database!AF499</f>
        <v/>
      </c>
      <c r="J499" s="24">
        <f>IFERROR(BDP(Database!$A499&amp;" HK Equity","PE_RATIO"),"")</f>
        <v/>
      </c>
      <c r="K499" s="10">
        <f>IFERROR(BDP(Database!$A499&amp;" HK Equity","A/H_SHARE_CONVERSION"),"")</f>
        <v/>
      </c>
      <c r="L499" s="16">
        <f>IF(Database!BK499="","(none found)",Database!BK499)</f>
        <v/>
      </c>
      <c r="M499" s="18">
        <f>IFERROR(BDH(Database!$A499&amp;" HK Equity","CUR_MKT_CAP",Database!$H499,Database!$H499),"")</f>
        <v/>
      </c>
      <c r="N499" s="97">
        <f>Database!Q499</f>
        <v/>
      </c>
      <c r="O499" s="24">
        <f>IFERROR(BDH(Database!$A499&amp;" HK Equity","PE_RATIO",Database!$H499,Database!$H499),"")</f>
        <v/>
      </c>
      <c r="P499" s="101">
        <f>IF(Database!BE499="","(n/m or not derivable)",Database!BE499)</f>
        <v/>
      </c>
      <c r="Q499" s="24">
        <f>IF(Database!BK499="","",IFERROR(BDH(LEFT(Database!BK499,FIND(".",Database!BK499)-1)&amp;" CH Equity","PE_RATIO",Database!$H499,Database!$H499),""))</f>
        <v/>
      </c>
      <c r="R499" s="24">
        <f>IF(Database!BK499="","",IFERROR(BDH("HSAHP Index","PX_LAST",Database!$H499,Database!$H499),""))</f>
        <v/>
      </c>
      <c r="S499" s="24">
        <f>IFERROR(BDP(Database!$A499&amp;" HK Equity","PX_TO_SALES_RATIO"),"")</f>
        <v/>
      </c>
      <c r="T499" s="18">
        <f>IF(Database!BK499="","",IFERROR(BDP(LEFT(Database!BK499,FIND(".",Database!BK499)-1)&amp;"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Database!AF500</f>
        <v/>
      </c>
      <c r="J500" s="24">
        <f>IFERROR(BDP(Database!$A500&amp;" HK Equity","PE_RATIO"),"")</f>
        <v/>
      </c>
      <c r="K500" s="10">
        <f>IFERROR(BDP(Database!$A500&amp;" HK Equity","A/H_SHARE_CONVERSION"),"")</f>
        <v/>
      </c>
      <c r="L500" s="16">
        <f>IF(Database!BK500="","(none found)",Database!BK500)</f>
        <v/>
      </c>
      <c r="M500" s="18">
        <f>IFERROR(BDH(Database!$A500&amp;" HK Equity","CUR_MKT_CAP",Database!$H500,Database!$H500),"")</f>
        <v/>
      </c>
      <c r="N500" s="97">
        <f>Database!Q500</f>
        <v/>
      </c>
      <c r="O500" s="24">
        <f>IFERROR(BDH(Database!$A500&amp;" HK Equity","PE_RATIO",Database!$H500,Database!$H500),"")</f>
        <v/>
      </c>
      <c r="P500" s="101">
        <f>IF(Database!BE500="","(n/m or not derivable)",Database!BE500)</f>
        <v/>
      </c>
      <c r="Q500" s="24">
        <f>IF(Database!BK500="","",IFERROR(BDH(LEFT(Database!BK500,FIND(".",Database!BK500)-1)&amp;" CH Equity","PE_RATIO",Database!$H500,Database!$H500),""))</f>
        <v/>
      </c>
      <c r="R500" s="24">
        <f>IF(Database!BK500="","",IFERROR(BDH("HSAHP Index","PX_LAST",Database!$H500,Database!$H500),""))</f>
        <v/>
      </c>
      <c r="S500" s="24">
        <f>IFERROR(BDP(Database!$A500&amp;" HK Equity","PX_TO_SALES_RATIO"),"")</f>
        <v/>
      </c>
      <c r="T500" s="18">
        <f>IF(Database!BK500="","",IFERROR(BDP(LEFT(Database!BK500,FIND(".",Database!BK500)-1)&amp;"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Database!AF501</f>
        <v/>
      </c>
      <c r="J501" s="24">
        <f>IFERROR(BDP(Database!$A501&amp;" HK Equity","PE_RATIO"),"")</f>
        <v/>
      </c>
      <c r="K501" s="10">
        <f>IFERROR(BDP(Database!$A501&amp;" HK Equity","A/H_SHARE_CONVERSION"),"")</f>
        <v/>
      </c>
      <c r="L501" s="16">
        <f>IF(Database!BK501="","(none found)",Database!BK501)</f>
        <v/>
      </c>
      <c r="M501" s="18">
        <f>IFERROR(BDH(Database!$A501&amp;" HK Equity","CUR_MKT_CAP",Database!$H501,Database!$H501),"")</f>
        <v/>
      </c>
      <c r="N501" s="97">
        <f>Database!Q501</f>
        <v/>
      </c>
      <c r="O501" s="24">
        <f>IFERROR(BDH(Database!$A501&amp;" HK Equity","PE_RATIO",Database!$H501,Database!$H501),"")</f>
        <v/>
      </c>
      <c r="P501" s="101">
        <f>IF(Database!BE501="","(n/m or not derivable)",Database!BE501)</f>
        <v/>
      </c>
      <c r="Q501" s="24">
        <f>IF(Database!BK501="","",IFERROR(BDH(LEFT(Database!BK501,FIND(".",Database!BK501)-1)&amp;" CH Equity","PE_RATIO",Database!$H501,Database!$H501),""))</f>
        <v/>
      </c>
      <c r="R501" s="24">
        <f>IF(Database!BK501="","",IFERROR(BDH("HSAHP Index","PX_LAST",Database!$H501,Database!$H501),""))</f>
        <v/>
      </c>
      <c r="S501" s="24">
        <f>IFERROR(BDP(Database!$A501&amp;" HK Equity","PX_TO_SALES_RATIO"),"")</f>
        <v/>
      </c>
      <c r="T501" s="18">
        <f>IF(Database!BK501="","",IFERROR(BDP(LEFT(Database!BK501,FIND(".",Database!BK501)-1)&amp;"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Database!AF502</f>
        <v/>
      </c>
      <c r="J502" s="24">
        <f>IFERROR(BDP(Database!$A502&amp;" HK Equity","PE_RATIO"),"")</f>
        <v/>
      </c>
      <c r="K502" s="10">
        <f>IFERROR(BDP(Database!$A502&amp;" HK Equity","A/H_SHARE_CONVERSION"),"")</f>
        <v/>
      </c>
      <c r="L502" s="16">
        <f>IF(Database!BK502="","(none found)",Database!BK502)</f>
        <v/>
      </c>
      <c r="M502" s="18">
        <f>IFERROR(BDH(Database!$A502&amp;" HK Equity","CUR_MKT_CAP",Database!$H502,Database!$H502),"")</f>
        <v/>
      </c>
      <c r="N502" s="97">
        <f>Database!Q502</f>
        <v/>
      </c>
      <c r="O502" s="24">
        <f>IFERROR(BDH(Database!$A502&amp;" HK Equity","PE_RATIO",Database!$H502,Database!$H502),"")</f>
        <v/>
      </c>
      <c r="P502" s="101">
        <f>IF(Database!BE502="","(n/m or not derivable)",Database!BE502)</f>
        <v/>
      </c>
      <c r="Q502" s="24">
        <f>IF(Database!BK502="","",IFERROR(BDH(LEFT(Database!BK502,FIND(".",Database!BK502)-1)&amp;" CH Equity","PE_RATIO",Database!$H502,Database!$H502),""))</f>
        <v/>
      </c>
      <c r="R502" s="24">
        <f>IF(Database!BK502="","",IFERROR(BDH("HSAHP Index","PX_LAST",Database!$H502,Database!$H502),""))</f>
        <v/>
      </c>
      <c r="S502" s="24">
        <f>IFERROR(BDP(Database!$A502&amp;" HK Equity","PX_TO_SALES_RATIO"),"")</f>
        <v/>
      </c>
      <c r="T502" s="18">
        <f>IF(Database!BK502="","",IFERROR(BDP(LEFT(Database!BK502,FIND(".",Database!BK502)-1)&amp;"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Database!AF503</f>
        <v/>
      </c>
      <c r="J503" s="24">
        <f>IFERROR(BDP(Database!$A503&amp;" HK Equity","PE_RATIO"),"")</f>
        <v/>
      </c>
      <c r="K503" s="10">
        <f>IFERROR(BDP(Database!$A503&amp;" HK Equity","A/H_SHARE_CONVERSION"),"")</f>
        <v/>
      </c>
      <c r="L503" s="16">
        <f>IF(Database!BK503="","(none found)",Database!BK503)</f>
        <v/>
      </c>
      <c r="M503" s="18">
        <f>IFERROR(BDH(Database!$A503&amp;" HK Equity","CUR_MKT_CAP",Database!$H503,Database!$H503),"")</f>
        <v/>
      </c>
      <c r="N503" s="97">
        <f>Database!Q503</f>
        <v/>
      </c>
      <c r="O503" s="24">
        <f>IFERROR(BDH(Database!$A503&amp;" HK Equity","PE_RATIO",Database!$H503,Database!$H503),"")</f>
        <v/>
      </c>
      <c r="P503" s="101">
        <f>IF(Database!BE503="","(n/m or not derivable)",Database!BE503)</f>
        <v/>
      </c>
      <c r="Q503" s="24">
        <f>IF(Database!BK503="","",IFERROR(BDH(LEFT(Database!BK503,FIND(".",Database!BK503)-1)&amp;" CH Equity","PE_RATIO",Database!$H503,Database!$H503),""))</f>
        <v/>
      </c>
      <c r="R503" s="24">
        <f>IF(Database!BK503="","",IFERROR(BDH("HSAHP Index","PX_LAST",Database!$H503,Database!$H503),""))</f>
        <v/>
      </c>
      <c r="S503" s="24">
        <f>IFERROR(BDP(Database!$A503&amp;" HK Equity","PX_TO_SALES_RATIO"),"")</f>
        <v/>
      </c>
      <c r="T503" s="18">
        <f>IF(Database!BK503="","",IFERROR(BDP(LEFT(Database!BK503,FIND(".",Database!BK503)-1)&amp;"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Database!AF504</f>
        <v/>
      </c>
      <c r="J504" s="24">
        <f>IFERROR(BDP(Database!$A504&amp;" HK Equity","PE_RATIO"),"")</f>
        <v/>
      </c>
      <c r="K504" s="10">
        <f>IFERROR(BDP(Database!$A504&amp;" HK Equity","A/H_SHARE_CONVERSION"),"")</f>
        <v/>
      </c>
      <c r="L504" s="16">
        <f>IF(Database!BK504="","(none found)",Database!BK504)</f>
        <v/>
      </c>
      <c r="M504" s="18">
        <f>IFERROR(BDH(Database!$A504&amp;" HK Equity","CUR_MKT_CAP",Database!$H504,Database!$H504),"")</f>
        <v/>
      </c>
      <c r="N504" s="97">
        <f>Database!Q504</f>
        <v/>
      </c>
      <c r="O504" s="24">
        <f>IFERROR(BDH(Database!$A504&amp;" HK Equity","PE_RATIO",Database!$H504,Database!$H504),"")</f>
        <v/>
      </c>
      <c r="P504" s="101">
        <f>IF(Database!BE504="","(n/m or not derivable)",Database!BE504)</f>
        <v/>
      </c>
      <c r="Q504" s="24">
        <f>IF(Database!BK504="","",IFERROR(BDH(LEFT(Database!BK504,FIND(".",Database!BK504)-1)&amp;" CH Equity","PE_RATIO",Database!$H504,Database!$H504),""))</f>
        <v/>
      </c>
      <c r="R504" s="24">
        <f>IF(Database!BK504="","",IFERROR(BDH("HSAHP Index","PX_LAST",Database!$H504,Database!$H504),""))</f>
        <v/>
      </c>
      <c r="S504" s="24">
        <f>IFERROR(BDP(Database!$A504&amp;" HK Equity","PX_TO_SALES_RATIO"),"")</f>
        <v/>
      </c>
      <c r="T504" s="18">
        <f>IF(Database!BK504="","",IFERROR(BDP(LEFT(Database!BK504,FIND(".",Database!BK504)-1)&amp;"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Database!AF505</f>
        <v/>
      </c>
      <c r="J505" s="24">
        <f>IFERROR(BDP(Database!$A505&amp;" HK Equity","PE_RATIO"),"")</f>
        <v/>
      </c>
      <c r="K505" s="10">
        <f>IFERROR(BDP(Database!$A505&amp;" HK Equity","A/H_SHARE_CONVERSION"),"")</f>
        <v/>
      </c>
      <c r="L505" s="16">
        <f>IF(Database!BK505="","(none found)",Database!BK505)</f>
        <v/>
      </c>
      <c r="M505" s="18">
        <f>IFERROR(BDH(Database!$A505&amp;" HK Equity","CUR_MKT_CAP",Database!$H505,Database!$H505),"")</f>
        <v/>
      </c>
      <c r="N505" s="97">
        <f>Database!Q505</f>
        <v/>
      </c>
      <c r="O505" s="24">
        <f>IFERROR(BDH(Database!$A505&amp;" HK Equity","PE_RATIO",Database!$H505,Database!$H505),"")</f>
        <v/>
      </c>
      <c r="P505" s="101">
        <f>IF(Database!BE505="","(n/m or not derivable)",Database!BE505)</f>
        <v/>
      </c>
      <c r="Q505" s="24">
        <f>IF(Database!BK505="","",IFERROR(BDH(LEFT(Database!BK505,FIND(".",Database!BK505)-1)&amp;" CH Equity","PE_RATIO",Database!$H505,Database!$H505),""))</f>
        <v/>
      </c>
      <c r="R505" s="24">
        <f>IF(Database!BK505="","",IFERROR(BDH("HSAHP Index","PX_LAST",Database!$H505,Database!$H505),""))</f>
        <v/>
      </c>
      <c r="S505" s="24">
        <f>IFERROR(BDP(Database!$A505&amp;" HK Equity","PX_TO_SALES_RATIO"),"")</f>
        <v/>
      </c>
      <c r="T505" s="18">
        <f>IF(Database!BK505="","",IFERROR(BDP(LEFT(Database!BK505,FIND(".",Database!BK505)-1)&amp;"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Database!AF506</f>
        <v/>
      </c>
      <c r="J506" s="24">
        <f>IFERROR(BDP(Database!$A506&amp;" HK Equity","PE_RATIO"),"")</f>
        <v/>
      </c>
      <c r="K506" s="10">
        <f>IFERROR(BDP(Database!$A506&amp;" HK Equity","A/H_SHARE_CONVERSION"),"")</f>
        <v/>
      </c>
      <c r="L506" s="16">
        <f>IF(Database!BK506="","(none found)",Database!BK506)</f>
        <v/>
      </c>
      <c r="M506" s="18">
        <f>IFERROR(BDH(Database!$A506&amp;" HK Equity","CUR_MKT_CAP",Database!$H506,Database!$H506),"")</f>
        <v/>
      </c>
      <c r="N506" s="97">
        <f>Database!Q506</f>
        <v/>
      </c>
      <c r="O506" s="24">
        <f>IFERROR(BDH(Database!$A506&amp;" HK Equity","PE_RATIO",Database!$H506,Database!$H506),"")</f>
        <v/>
      </c>
      <c r="P506" s="101">
        <f>IF(Database!BE506="","(n/m or not derivable)",Database!BE506)</f>
        <v/>
      </c>
      <c r="Q506" s="24">
        <f>IF(Database!BK506="","",IFERROR(BDH(LEFT(Database!BK506,FIND(".",Database!BK506)-1)&amp;" CH Equity","PE_RATIO",Database!$H506,Database!$H506),""))</f>
        <v/>
      </c>
      <c r="R506" s="24">
        <f>IF(Database!BK506="","",IFERROR(BDH("HSAHP Index","PX_LAST",Database!$H506,Database!$H506),""))</f>
        <v/>
      </c>
      <c r="S506" s="24">
        <f>IFERROR(BDP(Database!$A506&amp;" HK Equity","PX_TO_SALES_RATIO"),"")</f>
        <v/>
      </c>
      <c r="T506" s="18">
        <f>IF(Database!BK506="","",IFERROR(BDP(LEFT(Database!BK506,FIND(".",Database!BK506)-1)&amp;"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Database!AF507</f>
        <v/>
      </c>
      <c r="J507" s="24">
        <f>IFERROR(BDP(Database!$A507&amp;" HK Equity","PE_RATIO"),"")</f>
        <v/>
      </c>
      <c r="K507" s="10">
        <f>IFERROR(BDP(Database!$A507&amp;" HK Equity","A/H_SHARE_CONVERSION"),"")</f>
        <v/>
      </c>
      <c r="L507" s="16">
        <f>IF(Database!BK507="","(none found)",Database!BK507)</f>
        <v/>
      </c>
      <c r="M507" s="18">
        <f>IFERROR(BDH(Database!$A507&amp;" HK Equity","CUR_MKT_CAP",Database!$H507,Database!$H507),"")</f>
        <v/>
      </c>
      <c r="N507" s="97">
        <f>Database!Q507</f>
        <v/>
      </c>
      <c r="O507" s="24">
        <f>IFERROR(BDH(Database!$A507&amp;" HK Equity","PE_RATIO",Database!$H507,Database!$H507),"")</f>
        <v/>
      </c>
      <c r="P507" s="101">
        <f>IF(Database!BE507="","(n/m or not derivable)",Database!BE507)</f>
        <v/>
      </c>
      <c r="Q507" s="24">
        <f>IF(Database!BK507="","",IFERROR(BDH(LEFT(Database!BK507,FIND(".",Database!BK507)-1)&amp;" CH Equity","PE_RATIO",Database!$H507,Database!$H507),""))</f>
        <v/>
      </c>
      <c r="R507" s="24">
        <f>IF(Database!BK507="","",IFERROR(BDH("HSAHP Index","PX_LAST",Database!$H507,Database!$H507),""))</f>
        <v/>
      </c>
      <c r="S507" s="24">
        <f>IFERROR(BDP(Database!$A507&amp;" HK Equity","PX_TO_SALES_RATIO"),"")</f>
        <v/>
      </c>
      <c r="T507" s="18">
        <f>IF(Database!BK507="","",IFERROR(BDP(LEFT(Database!BK507,FIND(".",Database!BK507)-1)&amp;"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Database!AF508</f>
        <v/>
      </c>
      <c r="J508" s="24">
        <f>IFERROR(BDP(Database!$A508&amp;" HK Equity","PE_RATIO"),"")</f>
        <v/>
      </c>
      <c r="K508" s="10">
        <f>IFERROR(BDP(Database!$A508&amp;" HK Equity","A/H_SHARE_CONVERSION"),"")</f>
        <v/>
      </c>
      <c r="L508" s="16">
        <f>IF(Database!BK508="","(none found)",Database!BK508)</f>
        <v/>
      </c>
      <c r="M508" s="18">
        <f>IFERROR(BDH(Database!$A508&amp;" HK Equity","CUR_MKT_CAP",Database!$H508,Database!$H508),"")</f>
        <v/>
      </c>
      <c r="N508" s="97">
        <f>Database!Q508</f>
        <v/>
      </c>
      <c r="O508" s="24">
        <f>IFERROR(BDH(Database!$A508&amp;" HK Equity","PE_RATIO",Database!$H508,Database!$H508),"")</f>
        <v/>
      </c>
      <c r="P508" s="101">
        <f>IF(Database!BE508="","(n/m or not derivable)",Database!BE508)</f>
        <v/>
      </c>
      <c r="Q508" s="24">
        <f>IF(Database!BK508="","",IFERROR(BDH(LEFT(Database!BK508,FIND(".",Database!BK508)-1)&amp;" CH Equity","PE_RATIO",Database!$H508,Database!$H508),""))</f>
        <v/>
      </c>
      <c r="R508" s="24">
        <f>IF(Database!BK508="","",IFERROR(BDH("HSAHP Index","PX_LAST",Database!$H508,Database!$H508),""))</f>
        <v/>
      </c>
      <c r="S508" s="24">
        <f>IFERROR(BDP(Database!$A508&amp;" HK Equity","PX_TO_SALES_RATIO"),"")</f>
        <v/>
      </c>
      <c r="T508" s="18">
        <f>IF(Database!BK508="","",IFERROR(BDP(LEFT(Database!BK508,FIND(".",Database!BK508)-1)&amp;"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Database!AF509</f>
        <v/>
      </c>
      <c r="J509" s="24">
        <f>IFERROR(BDP(Database!$A509&amp;" HK Equity","PE_RATIO"),"")</f>
        <v/>
      </c>
      <c r="K509" s="10">
        <f>IFERROR(BDP(Database!$A509&amp;" HK Equity","A/H_SHARE_CONVERSION"),"")</f>
        <v/>
      </c>
      <c r="L509" s="16">
        <f>IF(Database!BK509="","(none found)",Database!BK509)</f>
        <v/>
      </c>
      <c r="M509" s="18">
        <f>IFERROR(BDH(Database!$A509&amp;" HK Equity","CUR_MKT_CAP",Database!$H509,Database!$H509),"")</f>
        <v/>
      </c>
      <c r="N509" s="97">
        <f>Database!Q509</f>
        <v/>
      </c>
      <c r="O509" s="24">
        <f>IFERROR(BDH(Database!$A509&amp;" HK Equity","PE_RATIO",Database!$H509,Database!$H509),"")</f>
        <v/>
      </c>
      <c r="P509" s="101">
        <f>IF(Database!BE509="","(n/m or not derivable)",Database!BE509)</f>
        <v/>
      </c>
      <c r="Q509" s="24">
        <f>IF(Database!BK509="","",IFERROR(BDH(LEFT(Database!BK509,FIND(".",Database!BK509)-1)&amp;" CH Equity","PE_RATIO",Database!$H509,Database!$H509),""))</f>
        <v/>
      </c>
      <c r="R509" s="24">
        <f>IF(Database!BK509="","",IFERROR(BDH("HSAHP Index","PX_LAST",Database!$H509,Database!$H509),""))</f>
        <v/>
      </c>
      <c r="S509" s="24">
        <f>IFERROR(BDP(Database!$A509&amp;" HK Equity","PX_TO_SALES_RATIO"),"")</f>
        <v/>
      </c>
      <c r="T509" s="18">
        <f>IF(Database!BK509="","",IFERROR(BDP(LEFT(Database!BK509,FIND(".",Database!BK509)-1)&amp;"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Database!AF510</f>
        <v/>
      </c>
      <c r="J510" s="24">
        <f>IFERROR(BDP(Database!$A510&amp;" HK Equity","PE_RATIO"),"")</f>
        <v/>
      </c>
      <c r="K510" s="10">
        <f>IFERROR(BDP(Database!$A510&amp;" HK Equity","A/H_SHARE_CONVERSION"),"")</f>
        <v/>
      </c>
      <c r="L510" s="16">
        <f>IF(Database!BK510="","(none found)",Database!BK510)</f>
        <v/>
      </c>
      <c r="M510" s="18">
        <f>IFERROR(BDH(Database!$A510&amp;" HK Equity","CUR_MKT_CAP",Database!$H510,Database!$H510),"")</f>
        <v/>
      </c>
      <c r="N510" s="97">
        <f>Database!Q510</f>
        <v/>
      </c>
      <c r="O510" s="24">
        <f>IFERROR(BDH(Database!$A510&amp;" HK Equity","PE_RATIO",Database!$H510,Database!$H510),"")</f>
        <v/>
      </c>
      <c r="P510" s="101">
        <f>IF(Database!BE510="","(n/m or not derivable)",Database!BE510)</f>
        <v/>
      </c>
      <c r="Q510" s="24">
        <f>IF(Database!BK510="","",IFERROR(BDH(LEFT(Database!BK510,FIND(".",Database!BK510)-1)&amp;" CH Equity","PE_RATIO",Database!$H510,Database!$H510),""))</f>
        <v/>
      </c>
      <c r="R510" s="24">
        <f>IF(Database!BK510="","",IFERROR(BDH("HSAHP Index","PX_LAST",Database!$H510,Database!$H510),""))</f>
        <v/>
      </c>
      <c r="S510" s="24">
        <f>IFERROR(BDP(Database!$A510&amp;" HK Equity","PX_TO_SALES_RATIO"),"")</f>
        <v/>
      </c>
      <c r="T510" s="18">
        <f>IF(Database!BK510="","",IFERROR(BDP(LEFT(Database!BK510,FIND(".",Database!BK510)-1)&amp;"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Database!AF511</f>
        <v/>
      </c>
      <c r="J511" s="24">
        <f>IFERROR(BDP(Database!$A511&amp;" HK Equity","PE_RATIO"),"")</f>
        <v/>
      </c>
      <c r="K511" s="10">
        <f>IFERROR(BDP(Database!$A511&amp;" HK Equity","A/H_SHARE_CONVERSION"),"")</f>
        <v/>
      </c>
      <c r="L511" s="16">
        <f>IF(Database!BK511="","(none found)",Database!BK511)</f>
        <v/>
      </c>
      <c r="M511" s="18">
        <f>IFERROR(BDH(Database!$A511&amp;" HK Equity","CUR_MKT_CAP",Database!$H511,Database!$H511),"")</f>
        <v/>
      </c>
      <c r="N511" s="97">
        <f>Database!Q511</f>
        <v/>
      </c>
      <c r="O511" s="24">
        <f>IFERROR(BDH(Database!$A511&amp;" HK Equity","PE_RATIO",Database!$H511,Database!$H511),"")</f>
        <v/>
      </c>
      <c r="P511" s="101">
        <f>IF(Database!BE511="","(n/m or not derivable)",Database!BE511)</f>
        <v/>
      </c>
      <c r="Q511" s="24">
        <f>IF(Database!BK511="","",IFERROR(BDH(LEFT(Database!BK511,FIND(".",Database!BK511)-1)&amp;" CH Equity","PE_RATIO",Database!$H511,Database!$H511),""))</f>
        <v/>
      </c>
      <c r="R511" s="24">
        <f>IF(Database!BK511="","",IFERROR(BDH("HSAHP Index","PX_LAST",Database!$H511,Database!$H511),""))</f>
        <v/>
      </c>
      <c r="S511" s="24">
        <f>IFERROR(BDP(Database!$A511&amp;" HK Equity","PX_TO_SALES_RATIO"),"")</f>
        <v/>
      </c>
      <c r="T511" s="18">
        <f>IF(Database!BK511="","",IFERROR(BDP(LEFT(Database!BK511,FIND(".",Database!BK511)-1)&amp;"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Database!AF512</f>
        <v/>
      </c>
      <c r="J512" s="24">
        <f>IFERROR(BDP(Database!$A512&amp;" HK Equity","PE_RATIO"),"")</f>
        <v/>
      </c>
      <c r="K512" s="10">
        <f>IFERROR(BDP(Database!$A512&amp;" HK Equity","A/H_SHARE_CONVERSION"),"")</f>
        <v/>
      </c>
      <c r="L512" s="16">
        <f>IF(Database!BK512="","(none found)",Database!BK512)</f>
        <v/>
      </c>
      <c r="M512" s="18">
        <f>IFERROR(BDH(Database!$A512&amp;" HK Equity","CUR_MKT_CAP",Database!$H512,Database!$H512),"")</f>
        <v/>
      </c>
      <c r="N512" s="97">
        <f>Database!Q512</f>
        <v/>
      </c>
      <c r="O512" s="24">
        <f>IFERROR(BDH(Database!$A512&amp;" HK Equity","PE_RATIO",Database!$H512,Database!$H512),"")</f>
        <v/>
      </c>
      <c r="P512" s="101">
        <f>IF(Database!BE512="","(n/m or not derivable)",Database!BE512)</f>
        <v/>
      </c>
      <c r="Q512" s="24">
        <f>IF(Database!BK512="","",IFERROR(BDH(LEFT(Database!BK512,FIND(".",Database!BK512)-1)&amp;" CH Equity","PE_RATIO",Database!$H512,Database!$H512),""))</f>
        <v/>
      </c>
      <c r="R512" s="24">
        <f>IF(Database!BK512="","",IFERROR(BDH("HSAHP Index","PX_LAST",Database!$H512,Database!$H512),""))</f>
        <v/>
      </c>
      <c r="S512" s="24">
        <f>IFERROR(BDP(Database!$A512&amp;" HK Equity","PX_TO_SALES_RATIO"),"")</f>
        <v/>
      </c>
      <c r="T512" s="18">
        <f>IF(Database!BK512="","",IFERROR(BDP(LEFT(Database!BK512,FIND(".",Database!BK512)-1)&amp;"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Database!AF513</f>
        <v/>
      </c>
      <c r="J513" s="24">
        <f>IFERROR(BDP(Database!$A513&amp;" HK Equity","PE_RATIO"),"")</f>
        <v/>
      </c>
      <c r="K513" s="10">
        <f>IFERROR(BDP(Database!$A513&amp;" HK Equity","A/H_SHARE_CONVERSION"),"")</f>
        <v/>
      </c>
      <c r="L513" s="16">
        <f>IF(Database!BK513="","(none found)",Database!BK513)</f>
        <v/>
      </c>
      <c r="M513" s="18">
        <f>IFERROR(BDH(Database!$A513&amp;" HK Equity","CUR_MKT_CAP",Database!$H513,Database!$H513),"")</f>
        <v/>
      </c>
      <c r="N513" s="97">
        <f>Database!Q513</f>
        <v/>
      </c>
      <c r="O513" s="24">
        <f>IFERROR(BDH(Database!$A513&amp;" HK Equity","PE_RATIO",Database!$H513,Database!$H513),"")</f>
        <v/>
      </c>
      <c r="P513" s="101">
        <f>IF(Database!BE513="","(n/m or not derivable)",Database!BE513)</f>
        <v/>
      </c>
      <c r="Q513" s="24">
        <f>IF(Database!BK513="","",IFERROR(BDH(LEFT(Database!BK513,FIND(".",Database!BK513)-1)&amp;" CH Equity","PE_RATIO",Database!$H513,Database!$H513),""))</f>
        <v/>
      </c>
      <c r="R513" s="24">
        <f>IF(Database!BK513="","",IFERROR(BDH("HSAHP Index","PX_LAST",Database!$H513,Database!$H513),""))</f>
        <v/>
      </c>
      <c r="S513" s="24">
        <f>IFERROR(BDP(Database!$A513&amp;" HK Equity","PX_TO_SALES_RATIO"),"")</f>
        <v/>
      </c>
      <c r="T513" s="18">
        <f>IF(Database!BK513="","",IFERROR(BDP(LEFT(Database!BK513,FIND(".",Database!BK513)-1)&amp;"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Database!AF514</f>
        <v/>
      </c>
      <c r="J514" s="24">
        <f>IFERROR(BDP(Database!$A514&amp;" HK Equity","PE_RATIO"),"")</f>
        <v/>
      </c>
      <c r="K514" s="10">
        <f>IFERROR(BDP(Database!$A514&amp;" HK Equity","A/H_SHARE_CONVERSION"),"")</f>
        <v/>
      </c>
      <c r="L514" s="16">
        <f>IF(Database!BK514="","(none found)",Database!BK514)</f>
        <v/>
      </c>
      <c r="M514" s="18">
        <f>IFERROR(BDH(Database!$A514&amp;" HK Equity","CUR_MKT_CAP",Database!$H514,Database!$H514),"")</f>
        <v/>
      </c>
      <c r="N514" s="97">
        <f>Database!Q514</f>
        <v/>
      </c>
      <c r="O514" s="24">
        <f>IFERROR(BDH(Database!$A514&amp;" HK Equity","PE_RATIO",Database!$H514,Database!$H514),"")</f>
        <v/>
      </c>
      <c r="P514" s="101">
        <f>IF(Database!BE514="","(n/m or not derivable)",Database!BE514)</f>
        <v/>
      </c>
      <c r="Q514" s="24">
        <f>IF(Database!BK514="","",IFERROR(BDH(LEFT(Database!BK514,FIND(".",Database!BK514)-1)&amp;" CH Equity","PE_RATIO",Database!$H514,Database!$H514),""))</f>
        <v/>
      </c>
      <c r="R514" s="24">
        <f>IF(Database!BK514="","",IFERROR(BDH("HSAHP Index","PX_LAST",Database!$H514,Database!$H514),""))</f>
        <v/>
      </c>
      <c r="S514" s="24">
        <f>IFERROR(BDP(Database!$A514&amp;" HK Equity","PX_TO_SALES_RATIO"),"")</f>
        <v/>
      </c>
      <c r="T514" s="18">
        <f>IF(Database!BK514="","",IFERROR(BDP(LEFT(Database!BK514,FIND(".",Database!BK514)-1)&amp;"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Database!AF515</f>
        <v/>
      </c>
      <c r="J515" s="24">
        <f>IFERROR(BDP(Database!$A515&amp;" HK Equity","PE_RATIO"),"")</f>
        <v/>
      </c>
      <c r="K515" s="10">
        <f>IFERROR(BDP(Database!$A515&amp;" HK Equity","A/H_SHARE_CONVERSION"),"")</f>
        <v/>
      </c>
      <c r="L515" s="16">
        <f>IF(Database!BK515="","(none found)",Database!BK515)</f>
        <v/>
      </c>
      <c r="M515" s="18">
        <f>IFERROR(BDH(Database!$A515&amp;" HK Equity","CUR_MKT_CAP",Database!$H515,Database!$H515),"")</f>
        <v/>
      </c>
      <c r="N515" s="97">
        <f>Database!Q515</f>
        <v/>
      </c>
      <c r="O515" s="24">
        <f>IFERROR(BDH(Database!$A515&amp;" HK Equity","PE_RATIO",Database!$H515,Database!$H515),"")</f>
        <v/>
      </c>
      <c r="P515" s="101">
        <f>IF(Database!BE515="","(n/m or not derivable)",Database!BE515)</f>
        <v/>
      </c>
      <c r="Q515" s="24">
        <f>IF(Database!BK515="","",IFERROR(BDH(LEFT(Database!BK515,FIND(".",Database!BK515)-1)&amp;" CH Equity","PE_RATIO",Database!$H515,Database!$H515),""))</f>
        <v/>
      </c>
      <c r="R515" s="24">
        <f>IF(Database!BK515="","",IFERROR(BDH("HSAHP Index","PX_LAST",Database!$H515,Database!$H515),""))</f>
        <v/>
      </c>
      <c r="S515" s="24">
        <f>IFERROR(BDP(Database!$A515&amp;" HK Equity","PX_TO_SALES_RATIO"),"")</f>
        <v/>
      </c>
      <c r="T515" s="18">
        <f>IF(Database!BK515="","",IFERROR(BDP(LEFT(Database!BK515,FIND(".",Database!BK515)-1)&amp;"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Database!AF516</f>
        <v/>
      </c>
      <c r="J516" s="24">
        <f>IFERROR(BDP(Database!$A516&amp;" HK Equity","PE_RATIO"),"")</f>
        <v/>
      </c>
      <c r="K516" s="10">
        <f>IFERROR(BDP(Database!$A516&amp;" HK Equity","A/H_SHARE_CONVERSION"),"")</f>
        <v/>
      </c>
      <c r="L516" s="16">
        <f>IF(Database!BK516="","(none found)",Database!BK516)</f>
        <v/>
      </c>
      <c r="M516" s="18">
        <f>IFERROR(BDH(Database!$A516&amp;" HK Equity","CUR_MKT_CAP",Database!$H516,Database!$H516),"")</f>
        <v/>
      </c>
      <c r="N516" s="97">
        <f>Database!Q516</f>
        <v/>
      </c>
      <c r="O516" s="24">
        <f>IFERROR(BDH(Database!$A516&amp;" HK Equity","PE_RATIO",Database!$H516,Database!$H516),"")</f>
        <v/>
      </c>
      <c r="P516" s="101">
        <f>IF(Database!BE516="","(n/m or not derivable)",Database!BE516)</f>
        <v/>
      </c>
      <c r="Q516" s="24">
        <f>IF(Database!BK516="","",IFERROR(BDH(LEFT(Database!BK516,FIND(".",Database!BK516)-1)&amp;" CH Equity","PE_RATIO",Database!$H516,Database!$H516),""))</f>
        <v/>
      </c>
      <c r="R516" s="24">
        <f>IF(Database!BK516="","",IFERROR(BDH("HSAHP Index","PX_LAST",Database!$H516,Database!$H516),""))</f>
        <v/>
      </c>
      <c r="S516" s="24">
        <f>IFERROR(BDP(Database!$A516&amp;" HK Equity","PX_TO_SALES_RATIO"),"")</f>
        <v/>
      </c>
      <c r="T516" s="18">
        <f>IF(Database!BK516="","",IFERROR(BDP(LEFT(Database!BK516,FIND(".",Database!BK516)-1)&amp;"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Database!AF517</f>
        <v/>
      </c>
      <c r="J517" s="24">
        <f>IFERROR(BDP(Database!$A517&amp;" HK Equity","PE_RATIO"),"")</f>
        <v/>
      </c>
      <c r="K517" s="10">
        <f>IFERROR(BDP(Database!$A517&amp;" HK Equity","A/H_SHARE_CONVERSION"),"")</f>
        <v/>
      </c>
      <c r="L517" s="16">
        <f>IF(Database!BK517="","(none found)",Database!BK517)</f>
        <v/>
      </c>
      <c r="M517" s="18">
        <f>IFERROR(BDH(Database!$A517&amp;" HK Equity","CUR_MKT_CAP",Database!$H517,Database!$H517),"")</f>
        <v/>
      </c>
      <c r="N517" s="97">
        <f>Database!Q517</f>
        <v/>
      </c>
      <c r="O517" s="24">
        <f>IFERROR(BDH(Database!$A517&amp;" HK Equity","PE_RATIO",Database!$H517,Database!$H517),"")</f>
        <v/>
      </c>
      <c r="P517" s="101">
        <f>IF(Database!BE517="","(n/m or not derivable)",Database!BE517)</f>
        <v/>
      </c>
      <c r="Q517" s="24">
        <f>IF(Database!BK517="","",IFERROR(BDH(LEFT(Database!BK517,FIND(".",Database!BK517)-1)&amp;" CH Equity","PE_RATIO",Database!$H517,Database!$H517),""))</f>
        <v/>
      </c>
      <c r="R517" s="24">
        <f>IF(Database!BK517="","",IFERROR(BDH("HSAHP Index","PX_LAST",Database!$H517,Database!$H517),""))</f>
        <v/>
      </c>
      <c r="S517" s="24">
        <f>IFERROR(BDP(Database!$A517&amp;" HK Equity","PX_TO_SALES_RATIO"),"")</f>
        <v/>
      </c>
      <c r="T517" s="18">
        <f>IF(Database!BK517="","",IFERROR(BDP(LEFT(Database!BK517,FIND(".",Database!BK517)-1)&amp;"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Database!AF518</f>
        <v/>
      </c>
      <c r="J518" s="24">
        <f>IFERROR(BDP(Database!$A518&amp;" HK Equity","PE_RATIO"),"")</f>
        <v/>
      </c>
      <c r="K518" s="10">
        <f>IFERROR(BDP(Database!$A518&amp;" HK Equity","A/H_SHARE_CONVERSION"),"")</f>
        <v/>
      </c>
      <c r="L518" s="16">
        <f>IF(Database!BK518="","(none found)",Database!BK518)</f>
        <v/>
      </c>
      <c r="M518" s="18">
        <f>IFERROR(BDH(Database!$A518&amp;" HK Equity","CUR_MKT_CAP",Database!$H518,Database!$H518),"")</f>
        <v/>
      </c>
      <c r="N518" s="97">
        <f>Database!Q518</f>
        <v/>
      </c>
      <c r="O518" s="24">
        <f>IFERROR(BDH(Database!$A518&amp;" HK Equity","PE_RATIO",Database!$H518,Database!$H518),"")</f>
        <v/>
      </c>
      <c r="P518" s="101">
        <f>IF(Database!BE518="","(n/m or not derivable)",Database!BE518)</f>
        <v/>
      </c>
      <c r="Q518" s="24">
        <f>IF(Database!BK518="","",IFERROR(BDH(LEFT(Database!BK518,FIND(".",Database!BK518)-1)&amp;" CH Equity","PE_RATIO",Database!$H518,Database!$H518),""))</f>
        <v/>
      </c>
      <c r="R518" s="24">
        <f>IF(Database!BK518="","",IFERROR(BDH("HSAHP Index","PX_LAST",Database!$H518,Database!$H518),""))</f>
        <v/>
      </c>
      <c r="S518" s="24">
        <f>IFERROR(BDP(Database!$A518&amp;" HK Equity","PX_TO_SALES_RATIO"),"")</f>
        <v/>
      </c>
      <c r="T518" s="18">
        <f>IF(Database!BK518="","",IFERROR(BDP(LEFT(Database!BK518,FIND(".",Database!BK518)-1)&amp;"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IF(OR(Database!$BD5="",Screener!$D$10=""),0,IF(Database!$BD5=Screener!$D$10,1,0))</f>
        <v/>
      </c>
      <c r="F5">
        <f>IF(OR(Database!$BJ5="",Screener!$D$11=""),0,IF(Database!$BJ5=Screener!$D$11,1,0))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IF(OR(N(Database!$BE5)&lt;=0,N(Screener!$D$13)&lt;=0),0,MAX(0,1-ABS(LOG10(N(Database!$BE5)/Screener!$D$13))/W_PEHW))</f>
        <v/>
      </c>
      <c r="J5">
        <f>IF(OR(N(Database!$S5)&lt;=0,N(Screener!$D$14)&lt;=0),0,MAX(0,1-ABS(LOG10(Database!$S5/Screener!$D$14))/0.6))</f>
        <v/>
      </c>
      <c r="K5">
        <f>IF(Database!$B5=Screener!$B$5,-999999,IF(ISNUMBER(SEARCH(","&amp;Database!$A5&amp;",",","&amp;SUBSTITUTE(Screener!$D$17," ","")&amp;",")),2000000,IF(IF(OR(Screener!$B$18="All",AND(Screener!$B$18="With A-share",(Database!$BJ5="Y")),AND(Screener!$B$18="Without A-share",NOT((Database!$BJ5="Y")))),1,0)=0,-999999,IF(Screener!$B$16="cornerstone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IF(OR(Database!$BD6="",Screener!$D$10=""),0,IF(Database!$BD6=Screener!$D$10,1,0))</f>
        <v/>
      </c>
      <c r="F6">
        <f>IF(OR(Database!$BJ6="",Screener!$D$11=""),0,IF(Database!$BJ6=Screener!$D$11,1,0))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IF(OR(N(Database!$BE6)&lt;=0,N(Screener!$D$13)&lt;=0),0,MAX(0,1-ABS(LOG10(N(Database!$BE6)/Screener!$D$13))/W_PEHW))</f>
        <v/>
      </c>
      <c r="J6">
        <f>IF(OR(N(Database!$S6)&lt;=0,N(Screener!$D$14)&lt;=0),0,MAX(0,1-ABS(LOG10(Database!$S6/Screener!$D$14))/0.6))</f>
        <v/>
      </c>
      <c r="K6">
        <f>IF(Database!$B6=Screener!$B$5,-999999,IF(ISNUMBER(SEARCH(","&amp;Database!$A6&amp;",",","&amp;SUBSTITUTE(Screener!$D$17," ","")&amp;",")),2000000,IF(IF(OR(Screener!$B$18="All",AND(Screener!$B$18="With A-share",(Database!$BJ6="Y")),AND(Screener!$B$18="Without A-share",NOT((Database!$BJ6="Y")))),1,0)=0,-999999,IF(Screener!$B$16="cornerstone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IF(OR(Database!$BD7="",Screener!$D$10=""),0,IF(Database!$BD7=Screener!$D$10,1,0))</f>
        <v/>
      </c>
      <c r="F7">
        <f>IF(OR(Database!$BJ7="",Screener!$D$11=""),0,IF(Database!$BJ7=Screener!$D$11,1,0))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IF(OR(N(Database!$BE7)&lt;=0,N(Screener!$D$13)&lt;=0),0,MAX(0,1-ABS(LOG10(N(Database!$BE7)/Screener!$D$13))/W_PEHW))</f>
        <v/>
      </c>
      <c r="J7">
        <f>IF(OR(N(Database!$S7)&lt;=0,N(Screener!$D$14)&lt;=0),0,MAX(0,1-ABS(LOG10(Database!$S7/Screener!$D$14))/0.6))</f>
        <v/>
      </c>
      <c r="K7">
        <f>IF(Database!$B7=Screener!$B$5,-999999,IF(ISNUMBER(SEARCH(","&amp;Database!$A7&amp;",",","&amp;SUBSTITUTE(Screener!$D$17," ","")&amp;",")),2000000,IF(IF(OR(Screener!$B$18="All",AND(Screener!$B$18="With A-share",(Database!$BJ7="Y")),AND(Screener!$B$18="Without A-share",NOT((Database!$BJ7="Y")))),1,0)=0,-999999,IF(Screener!$B$16="cornerstone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IF(OR(Database!$BD8="",Screener!$D$10=""),0,IF(Database!$BD8=Screener!$D$10,1,0))</f>
        <v/>
      </c>
      <c r="F8">
        <f>IF(OR(Database!$BJ8="",Screener!$D$11=""),0,IF(Database!$BJ8=Screener!$D$11,1,0))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IF(OR(N(Database!$BE8)&lt;=0,N(Screener!$D$13)&lt;=0),0,MAX(0,1-ABS(LOG10(N(Database!$BE8)/Screener!$D$13))/W_PEHW))</f>
        <v/>
      </c>
      <c r="J8">
        <f>IF(OR(N(Database!$S8)&lt;=0,N(Screener!$D$14)&lt;=0),0,MAX(0,1-ABS(LOG10(Database!$S8/Screener!$D$14))/0.6))</f>
        <v/>
      </c>
      <c r="K8">
        <f>IF(Database!$B8=Screener!$B$5,-999999,IF(ISNUMBER(SEARCH(","&amp;Database!$A8&amp;",",","&amp;SUBSTITUTE(Screener!$D$17," ","")&amp;",")),2000000,IF(IF(OR(Screener!$B$18="All",AND(Screener!$B$18="With A-share",(Database!$BJ8="Y")),AND(Screener!$B$18="Without A-share",NOT((Database!$BJ8="Y")))),1,0)=0,-999999,IF(Screener!$B$16="cornerstone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IF(OR(Database!$BD9="",Screener!$D$10=""),0,IF(Database!$BD9=Screener!$D$10,1,0))</f>
        <v/>
      </c>
      <c r="F9">
        <f>IF(OR(Database!$BJ9="",Screener!$D$11=""),0,IF(Database!$BJ9=Screener!$D$11,1,0))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IF(OR(N(Database!$BE9)&lt;=0,N(Screener!$D$13)&lt;=0),0,MAX(0,1-ABS(LOG10(N(Database!$BE9)/Screener!$D$13))/W_PEHW))</f>
        <v/>
      </c>
      <c r="J9">
        <f>IF(OR(N(Database!$S9)&lt;=0,N(Screener!$D$14)&lt;=0),0,MAX(0,1-ABS(LOG10(Database!$S9/Screener!$D$14))/0.6))</f>
        <v/>
      </c>
      <c r="K9">
        <f>IF(Database!$B9=Screener!$B$5,-999999,IF(ISNUMBER(SEARCH(","&amp;Database!$A9&amp;",",","&amp;SUBSTITUTE(Screener!$D$17," ","")&amp;",")),2000000,IF(IF(OR(Screener!$B$18="All",AND(Screener!$B$18="With A-share",(Database!$BJ9="Y")),AND(Screener!$B$18="Without A-share",NOT((Database!$BJ9="Y")))),1,0)=0,-999999,IF(Screener!$B$16="cornerstone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IF(OR(Database!$BD10="",Screener!$D$10=""),0,IF(Database!$BD10=Screener!$D$10,1,0))</f>
        <v/>
      </c>
      <c r="F10">
        <f>IF(OR(Database!$BJ10="",Screener!$D$11=""),0,IF(Database!$BJ10=Screener!$D$11,1,0))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IF(OR(N(Database!$BE10)&lt;=0,N(Screener!$D$13)&lt;=0),0,MAX(0,1-ABS(LOG10(N(Database!$BE10)/Screener!$D$13))/W_PEHW))</f>
        <v/>
      </c>
      <c r="J10">
        <f>IF(OR(N(Database!$S10)&lt;=0,N(Screener!$D$14)&lt;=0),0,MAX(0,1-ABS(LOG10(Database!$S10/Screener!$D$14))/0.6))</f>
        <v/>
      </c>
      <c r="K10">
        <f>IF(Database!$B10=Screener!$B$5,-999999,IF(ISNUMBER(SEARCH(","&amp;Database!$A10&amp;",",","&amp;SUBSTITUTE(Screener!$D$17," ","")&amp;",")),2000000,IF(IF(OR(Screener!$B$18="All",AND(Screener!$B$18="With A-share",(Database!$BJ10="Y")),AND(Screener!$B$18="Without A-share",NOT((Database!$BJ10="Y")))),1,0)=0,-999999,IF(Screener!$B$16="cornerstone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IF(OR(Database!$BD11="",Screener!$D$10=""),0,IF(Database!$BD11=Screener!$D$10,1,0))</f>
        <v/>
      </c>
      <c r="F11">
        <f>IF(OR(Database!$BJ11="",Screener!$D$11=""),0,IF(Database!$BJ11=Screener!$D$11,1,0))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IF(OR(N(Database!$BE11)&lt;=0,N(Screener!$D$13)&lt;=0),0,MAX(0,1-ABS(LOG10(N(Database!$BE11)/Screener!$D$13))/W_PEHW))</f>
        <v/>
      </c>
      <c r="J11">
        <f>IF(OR(N(Database!$S11)&lt;=0,N(Screener!$D$14)&lt;=0),0,MAX(0,1-ABS(LOG10(Database!$S11/Screener!$D$14))/0.6))</f>
        <v/>
      </c>
      <c r="K11">
        <f>IF(Database!$B11=Screener!$B$5,-999999,IF(ISNUMBER(SEARCH(","&amp;Database!$A11&amp;",",","&amp;SUBSTITUTE(Screener!$D$17," ","")&amp;",")),2000000,IF(IF(OR(Screener!$B$18="All",AND(Screener!$B$18="With A-share",(Database!$BJ11="Y")),AND(Screener!$B$18="Without A-share",NOT((Database!$BJ11="Y")))),1,0)=0,-999999,IF(Screener!$B$16="cornerstone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IF(OR(Database!$BD12="",Screener!$D$10=""),0,IF(Database!$BD12=Screener!$D$10,1,0))</f>
        <v/>
      </c>
      <c r="F12">
        <f>IF(OR(Database!$BJ12="",Screener!$D$11=""),0,IF(Database!$BJ12=Screener!$D$11,1,0))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IF(OR(N(Database!$BE12)&lt;=0,N(Screener!$D$13)&lt;=0),0,MAX(0,1-ABS(LOG10(N(Database!$BE12)/Screener!$D$13))/W_PEHW))</f>
        <v/>
      </c>
      <c r="J12">
        <f>IF(OR(N(Database!$S12)&lt;=0,N(Screener!$D$14)&lt;=0),0,MAX(0,1-ABS(LOG10(Database!$S12/Screener!$D$14))/0.6))</f>
        <v/>
      </c>
      <c r="K12">
        <f>IF(Database!$B12=Screener!$B$5,-999999,IF(ISNUMBER(SEARCH(","&amp;Database!$A12&amp;",",","&amp;SUBSTITUTE(Screener!$D$17," ","")&amp;",")),2000000,IF(IF(OR(Screener!$B$18="All",AND(Screener!$B$18="With A-share",(Database!$BJ12="Y")),AND(Screener!$B$18="Without A-share",NOT((Database!$BJ12="Y")))),1,0)=0,-999999,IF(Screener!$B$16="cornerstone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IF(OR(Database!$BD13="",Screener!$D$10=""),0,IF(Database!$BD13=Screener!$D$10,1,0))</f>
        <v/>
      </c>
      <c r="F13">
        <f>IF(OR(Database!$BJ13="",Screener!$D$11=""),0,IF(Database!$BJ13=Screener!$D$11,1,0))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IF(OR(N(Database!$BE13)&lt;=0,N(Screener!$D$13)&lt;=0),0,MAX(0,1-ABS(LOG10(N(Database!$BE13)/Screener!$D$13))/W_PEHW))</f>
        <v/>
      </c>
      <c r="J13">
        <f>IF(OR(N(Database!$S13)&lt;=0,N(Screener!$D$14)&lt;=0),0,MAX(0,1-ABS(LOG10(Database!$S13/Screener!$D$14))/0.6))</f>
        <v/>
      </c>
      <c r="K13">
        <f>IF(Database!$B13=Screener!$B$5,-999999,IF(ISNUMBER(SEARCH(","&amp;Database!$A13&amp;",",","&amp;SUBSTITUTE(Screener!$D$17," ","")&amp;",")),2000000,IF(IF(OR(Screener!$B$18="All",AND(Screener!$B$18="With A-share",(Database!$BJ13="Y")),AND(Screener!$B$18="Without A-share",NOT((Database!$BJ13="Y")))),1,0)=0,-999999,IF(Screener!$B$16="cornerstone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IF(OR(Database!$BD14="",Screener!$D$10=""),0,IF(Database!$BD14=Screener!$D$10,1,0))</f>
        <v/>
      </c>
      <c r="F14">
        <f>IF(OR(Database!$BJ14="",Screener!$D$11=""),0,IF(Database!$BJ14=Screener!$D$11,1,0))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IF(OR(N(Database!$BE14)&lt;=0,N(Screener!$D$13)&lt;=0),0,MAX(0,1-ABS(LOG10(N(Database!$BE14)/Screener!$D$13))/W_PEHW))</f>
        <v/>
      </c>
      <c r="J14">
        <f>IF(OR(N(Database!$S14)&lt;=0,N(Screener!$D$14)&lt;=0),0,MAX(0,1-ABS(LOG10(Database!$S14/Screener!$D$14))/0.6))</f>
        <v/>
      </c>
      <c r="K14">
        <f>IF(Database!$B14=Screener!$B$5,-999999,IF(ISNUMBER(SEARCH(","&amp;Database!$A14&amp;",",","&amp;SUBSTITUTE(Screener!$D$17," ","")&amp;",")),2000000,IF(IF(OR(Screener!$B$18="All",AND(Screener!$B$18="With A-share",(Database!$BJ14="Y")),AND(Screener!$B$18="Without A-share",NOT((Database!$BJ14="Y")))),1,0)=0,-999999,IF(Screener!$B$16="cornerstone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IF(OR(Database!$BD15="",Screener!$D$10=""),0,IF(Database!$BD15=Screener!$D$10,1,0))</f>
        <v/>
      </c>
      <c r="F15">
        <f>IF(OR(Database!$BJ15="",Screener!$D$11=""),0,IF(Database!$BJ15=Screener!$D$11,1,0))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IF(OR(N(Database!$BE15)&lt;=0,N(Screener!$D$13)&lt;=0),0,MAX(0,1-ABS(LOG10(N(Database!$BE15)/Screener!$D$13))/W_PEHW))</f>
        <v/>
      </c>
      <c r="J15">
        <f>IF(OR(N(Database!$S15)&lt;=0,N(Screener!$D$14)&lt;=0),0,MAX(0,1-ABS(LOG10(Database!$S15/Screener!$D$14))/0.6))</f>
        <v/>
      </c>
      <c r="K15">
        <f>IF(Database!$B15=Screener!$B$5,-999999,IF(ISNUMBER(SEARCH(","&amp;Database!$A15&amp;",",","&amp;SUBSTITUTE(Screener!$D$17," ","")&amp;",")),2000000,IF(IF(OR(Screener!$B$18="All",AND(Screener!$B$18="With A-share",(Database!$BJ15="Y")),AND(Screener!$B$18="Without A-share",NOT((Database!$BJ15="Y")))),1,0)=0,-999999,IF(Screener!$B$16="cornerstone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Database!BD5</f>
        <v/>
      </c>
      <c r="AF15">
        <f>Database!BJ5</f>
        <v/>
      </c>
      <c r="AG15">
        <f>Database!H5</f>
        <v/>
      </c>
      <c r="AH15">
        <f>Database!BE5</f>
        <v/>
      </c>
    </row>
    <row r="16">
      <c r="A16">
        <f>Database!B16</f>
        <v/>
      </c>
      <c r="B16">
        <f>IF(AND(Screener!$D$8&lt;&gt;"",Database!$E16=Screener!$D$8),1,0)</f>
        <v/>
      </c>
      <c r="C16">
        <f>IF(AND(Screener!$D$7&lt;&gt;"",Database!$D16=Screener!$D$7),1,0)</f>
        <v/>
      </c>
      <c r="D16">
        <f>IF(OR(N(Database!$I16)&lt;=0,N(Screener!$D$9)&lt;=0),0,MAX(0,1-ABS(LOG10(N(Database!$I16)/Screener!$D$9))/W_SIZEHW))</f>
        <v/>
      </c>
      <c r="E16">
        <f>IF(OR(Database!$BD16="",Screener!$D$10=""),0,IF(Database!$BD16=Screener!$D$10,1,0))</f>
        <v/>
      </c>
      <c r="F16">
        <f>IF(OR(Database!$BJ16="",Screener!$D$11=""),0,IF(Database!$BJ16=Screener!$D$11,1,0))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IF(OR(N(Database!$BE16)&lt;=0,N(Screener!$D$13)&lt;=0),0,MAX(0,1-ABS(LOG10(N(Database!$BE16)/Screener!$D$13))/W_PEHW))</f>
        <v/>
      </c>
      <c r="J16">
        <f>IF(OR(N(Database!$S16)&lt;=0,N(Screener!$D$14)&lt;=0),0,MAX(0,1-ABS(LOG10(Database!$S16/Screener!$D$14))/0.6))</f>
        <v/>
      </c>
      <c r="K16">
        <f>IF(Database!$B16=Screener!$B$5,-999999,IF(ISNUMBER(SEARCH(","&amp;Database!$A16&amp;",",","&amp;SUBSTITUTE(Screener!$D$17," ","")&amp;",")),2000000,IF(IF(OR(Screener!$B$18="All",AND(Screener!$B$18="With A-share",(Database!$BJ16="Y")),AND(Screener!$B$18="Without A-share",NOT((Database!$BJ16="Y")))),1,0)=0,-999999,IF(Screener!$B$16="cornerstone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Database!BD6</f>
        <v/>
      </c>
      <c r="AF16">
        <f>Database!BJ6</f>
        <v/>
      </c>
      <c r="AG16">
        <f>Database!H6</f>
        <v/>
      </c>
      <c r="AH16">
        <f>Database!BE6</f>
        <v/>
      </c>
    </row>
    <row r="17">
      <c r="A17">
        <f>Database!B17</f>
        <v/>
      </c>
      <c r="B17">
        <f>IF(AND(Screener!$D$8&lt;&gt;"",Database!$E17=Screener!$D$8),1,0)</f>
        <v/>
      </c>
      <c r="C17">
        <f>IF(AND(Screener!$D$7&lt;&gt;"",Database!$D17=Screener!$D$7),1,0)</f>
        <v/>
      </c>
      <c r="D17">
        <f>IF(OR(N(Database!$I17)&lt;=0,N(Screener!$D$9)&lt;=0),0,MAX(0,1-ABS(LOG10(N(Database!$I17)/Screener!$D$9))/W_SIZEHW))</f>
        <v/>
      </c>
      <c r="E17">
        <f>IF(OR(Database!$BD17="",Screener!$D$10=""),0,IF(Database!$BD17=Screener!$D$10,1,0))</f>
        <v/>
      </c>
      <c r="F17">
        <f>IF(OR(Database!$BJ17="",Screener!$D$11=""),0,IF(Database!$BJ17=Screener!$D$11,1,0))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IF(OR(N(Database!$BE17)&lt;=0,N(Screener!$D$13)&lt;=0),0,MAX(0,1-ABS(LOG10(N(Database!$BE17)/Screener!$D$13))/W_PEHW))</f>
        <v/>
      </c>
      <c r="J17">
        <f>IF(OR(N(Database!$S17)&lt;=0,N(Screener!$D$14)&lt;=0),0,MAX(0,1-ABS(LOG10(Database!$S17/Screener!$D$14))/0.6))</f>
        <v/>
      </c>
      <c r="K17">
        <f>IF(Database!$B17=Screener!$B$5,-999999,IF(ISNUMBER(SEARCH(","&amp;Database!$A17&amp;",",","&amp;SUBSTITUTE(Screener!$D$17," ","")&amp;",")),2000000,IF(IF(OR(Screener!$B$18="All",AND(Screener!$B$18="With A-share",(Database!$BJ17="Y")),AND(Screener!$B$18="Without A-share",NOT((Database!$BJ17="Y")))),1,0)=0,-999999,IF(Screener!$B$16="cornerstone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Database!BD7</f>
        <v/>
      </c>
      <c r="AF17">
        <f>Database!BJ7</f>
        <v/>
      </c>
      <c r="AG17">
        <f>Database!H7</f>
        <v/>
      </c>
      <c r="AH17">
        <f>Database!BE7</f>
        <v/>
      </c>
    </row>
    <row r="18">
      <c r="A18">
        <f>Database!B18</f>
        <v/>
      </c>
      <c r="B18">
        <f>IF(AND(Screener!$D$8&lt;&gt;"",Database!$E18=Screener!$D$8),1,0)</f>
        <v/>
      </c>
      <c r="C18">
        <f>IF(AND(Screener!$D$7&lt;&gt;"",Database!$D18=Screener!$D$7),1,0)</f>
        <v/>
      </c>
      <c r="D18">
        <f>IF(OR(N(Database!$I18)&lt;=0,N(Screener!$D$9)&lt;=0),0,MAX(0,1-ABS(LOG10(N(Database!$I18)/Screener!$D$9))/W_SIZEHW))</f>
        <v/>
      </c>
      <c r="E18">
        <f>IF(OR(Database!$BD18="",Screener!$D$10=""),0,IF(Database!$BD18=Screener!$D$10,1,0))</f>
        <v/>
      </c>
      <c r="F18">
        <f>IF(OR(Database!$BJ18="",Screener!$D$11=""),0,IF(Database!$BJ18=Screener!$D$11,1,0))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IF(OR(N(Database!$BE18)&lt;=0,N(Screener!$D$13)&lt;=0),0,MAX(0,1-ABS(LOG10(N(Database!$BE18)/Screener!$D$13))/W_PEHW))</f>
        <v/>
      </c>
      <c r="J18">
        <f>IF(OR(N(Database!$S18)&lt;=0,N(Screener!$D$14)&lt;=0),0,MAX(0,1-ABS(LOG10(Database!$S18/Screener!$D$14))/0.6))</f>
        <v/>
      </c>
      <c r="K18">
        <f>IF(Database!$B18=Screener!$B$5,-999999,IF(ISNUMBER(SEARCH(","&amp;Database!$A18&amp;",",","&amp;SUBSTITUTE(Screener!$D$17," ","")&amp;",")),2000000,IF(IF(OR(Screener!$B$18="All",AND(Screener!$B$18="With A-share",(Database!$BJ18="Y")),AND(Screener!$B$18="Without A-share",NOT((Database!$BJ18="Y")))),1,0)=0,-999999,IF(Screener!$B$16="cornerstone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Database!BD8</f>
        <v/>
      </c>
      <c r="AF18">
        <f>Database!BJ8</f>
        <v/>
      </c>
      <c r="AG18">
        <f>Database!H8</f>
        <v/>
      </c>
      <c r="AH18">
        <f>Database!BE8</f>
        <v/>
      </c>
    </row>
    <row r="19">
      <c r="A19">
        <f>Database!B19</f>
        <v/>
      </c>
      <c r="B19">
        <f>IF(AND(Screener!$D$8&lt;&gt;"",Database!$E19=Screener!$D$8),1,0)</f>
        <v/>
      </c>
      <c r="C19">
        <f>IF(AND(Screener!$D$7&lt;&gt;"",Database!$D19=Screener!$D$7),1,0)</f>
        <v/>
      </c>
      <c r="D19">
        <f>IF(OR(N(Database!$I19)&lt;=0,N(Screener!$D$9)&lt;=0),0,MAX(0,1-ABS(LOG10(N(Database!$I19)/Screener!$D$9))/W_SIZEHW))</f>
        <v/>
      </c>
      <c r="E19">
        <f>IF(OR(Database!$BD19="",Screener!$D$10=""),0,IF(Database!$BD19=Screener!$D$10,1,0))</f>
        <v/>
      </c>
      <c r="F19">
        <f>IF(OR(Database!$BJ19="",Screener!$D$11=""),0,IF(Database!$BJ19=Screener!$D$11,1,0))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IF(OR(N(Database!$BE19)&lt;=0,N(Screener!$D$13)&lt;=0),0,MAX(0,1-ABS(LOG10(N(Database!$BE19)/Screener!$D$13))/W_PEHW))</f>
        <v/>
      </c>
      <c r="J19">
        <f>IF(OR(N(Database!$S19)&lt;=0,N(Screener!$D$14)&lt;=0),0,MAX(0,1-ABS(LOG10(Database!$S19/Screener!$D$14))/0.6))</f>
        <v/>
      </c>
      <c r="K19">
        <f>IF(Database!$B19=Screener!$B$5,-999999,IF(ISNUMBER(SEARCH(","&amp;Database!$A19&amp;",",","&amp;SUBSTITUTE(Screener!$D$17," ","")&amp;",")),2000000,IF(IF(OR(Screener!$B$18="All",AND(Screener!$B$18="With A-share",(Database!$BJ19="Y")),AND(Screener!$B$18="Without A-share",NOT((Database!$BJ19="Y")))),1,0)=0,-999999,IF(Screener!$B$16="cornerstone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Database!BD9</f>
        <v/>
      </c>
      <c r="AF19">
        <f>Database!BJ9</f>
        <v/>
      </c>
      <c r="AG19">
        <f>Database!H9</f>
        <v/>
      </c>
      <c r="AH19">
        <f>Database!BE9</f>
        <v/>
      </c>
    </row>
    <row r="20">
      <c r="A20">
        <f>Database!B20</f>
        <v/>
      </c>
      <c r="B20">
        <f>IF(AND(Screener!$D$8&lt;&gt;"",Database!$E20=Screener!$D$8),1,0)</f>
        <v/>
      </c>
      <c r="C20">
        <f>IF(AND(Screener!$D$7&lt;&gt;"",Database!$D20=Screener!$D$7),1,0)</f>
        <v/>
      </c>
      <c r="D20">
        <f>IF(OR(N(Database!$I20)&lt;=0,N(Screener!$D$9)&lt;=0),0,MAX(0,1-ABS(LOG10(N(Database!$I20)/Screener!$D$9))/W_SIZEHW))</f>
        <v/>
      </c>
      <c r="E20">
        <f>IF(OR(Database!$BD20="",Screener!$D$10=""),0,IF(Database!$BD20=Screener!$D$10,1,0))</f>
        <v/>
      </c>
      <c r="F20">
        <f>IF(OR(Database!$BJ20="",Screener!$D$11=""),0,IF(Database!$BJ20=Screener!$D$11,1,0))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IF(OR(N(Database!$BE20)&lt;=0,N(Screener!$D$13)&lt;=0),0,MAX(0,1-ABS(LOG10(N(Database!$BE20)/Screener!$D$13))/W_PEHW))</f>
        <v/>
      </c>
      <c r="J20">
        <f>IF(OR(N(Database!$S20)&lt;=0,N(Screener!$D$14)&lt;=0),0,MAX(0,1-ABS(LOG10(Database!$S20/Screener!$D$14))/0.6))</f>
        <v/>
      </c>
      <c r="K20">
        <f>IF(Database!$B20=Screener!$B$5,-999999,IF(ISNUMBER(SEARCH(","&amp;Database!$A20&amp;",",","&amp;SUBSTITUTE(Screener!$D$17," ","")&amp;",")),2000000,IF(IF(OR(Screener!$B$18="All",AND(Screener!$B$18="With A-share",(Database!$BJ20="Y")),AND(Screener!$B$18="Without A-share",NOT((Database!$BJ20="Y")))),1,0)=0,-999999,IF(Screener!$B$16="cornerstone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Database!BD10</f>
        <v/>
      </c>
      <c r="AF20">
        <f>Database!BJ10</f>
        <v/>
      </c>
      <c r="AG20">
        <f>Database!H10</f>
        <v/>
      </c>
      <c r="AH20">
        <f>Database!BE10</f>
        <v/>
      </c>
    </row>
    <row r="21">
      <c r="A21">
        <f>Database!B21</f>
        <v/>
      </c>
      <c r="B21">
        <f>IF(AND(Screener!$D$8&lt;&gt;"",Database!$E21=Screener!$D$8),1,0)</f>
        <v/>
      </c>
      <c r="C21">
        <f>IF(AND(Screener!$D$7&lt;&gt;"",Database!$D21=Screener!$D$7),1,0)</f>
        <v/>
      </c>
      <c r="D21">
        <f>IF(OR(N(Database!$I21)&lt;=0,N(Screener!$D$9)&lt;=0),0,MAX(0,1-ABS(LOG10(N(Database!$I21)/Screener!$D$9))/W_SIZEHW))</f>
        <v/>
      </c>
      <c r="E21">
        <f>IF(OR(Database!$BD21="",Screener!$D$10=""),0,IF(Database!$BD21=Screener!$D$10,1,0))</f>
        <v/>
      </c>
      <c r="F21">
        <f>IF(OR(Database!$BJ21="",Screener!$D$11=""),0,IF(Database!$BJ21=Screener!$D$11,1,0))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IF(OR(N(Database!$BE21)&lt;=0,N(Screener!$D$13)&lt;=0),0,MAX(0,1-ABS(LOG10(N(Database!$BE21)/Screener!$D$13))/W_PEHW))</f>
        <v/>
      </c>
      <c r="J21">
        <f>IF(OR(N(Database!$S21)&lt;=0,N(Screener!$D$14)&lt;=0),0,MAX(0,1-ABS(LOG10(Database!$S21/Screener!$D$14))/0.6))</f>
        <v/>
      </c>
      <c r="K21">
        <f>IF(Database!$B21=Screener!$B$5,-999999,IF(ISNUMBER(SEARCH(","&amp;Database!$A21&amp;",",","&amp;SUBSTITUTE(Screener!$D$17," ","")&amp;",")),2000000,IF(IF(OR(Screener!$B$18="All",AND(Screener!$B$18="With A-share",(Database!$BJ21="Y")),AND(Screener!$B$18="Without A-share",NOT((Database!$BJ21="Y")))),1,0)=0,-999999,IF(Screener!$B$16="cornerstone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Database!BD11</f>
        <v/>
      </c>
      <c r="AF21">
        <f>Database!BJ11</f>
        <v/>
      </c>
      <c r="AG21">
        <f>Database!H11</f>
        <v/>
      </c>
      <c r="AH21">
        <f>Database!BE11</f>
        <v/>
      </c>
    </row>
    <row r="22">
      <c r="A22">
        <f>Database!B22</f>
        <v/>
      </c>
      <c r="B22">
        <f>IF(AND(Screener!$D$8&lt;&gt;"",Database!$E22=Screener!$D$8),1,0)</f>
        <v/>
      </c>
      <c r="C22">
        <f>IF(AND(Screener!$D$7&lt;&gt;"",Database!$D22=Screener!$D$7),1,0)</f>
        <v/>
      </c>
      <c r="D22">
        <f>IF(OR(N(Database!$I22)&lt;=0,N(Screener!$D$9)&lt;=0),0,MAX(0,1-ABS(LOG10(N(Database!$I22)/Screener!$D$9))/W_SIZEHW))</f>
        <v/>
      </c>
      <c r="E22">
        <f>IF(OR(Database!$BD22="",Screener!$D$10=""),0,IF(Database!$BD22=Screener!$D$10,1,0))</f>
        <v/>
      </c>
      <c r="F22">
        <f>IF(OR(Database!$BJ22="",Screener!$D$11=""),0,IF(Database!$BJ22=Screener!$D$11,1,0))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IF(OR(N(Database!$BE22)&lt;=0,N(Screener!$D$13)&lt;=0),0,MAX(0,1-ABS(LOG10(N(Database!$BE22)/Screener!$D$13))/W_PEHW))</f>
        <v/>
      </c>
      <c r="J22">
        <f>IF(OR(N(Database!$S22)&lt;=0,N(Screener!$D$14)&lt;=0),0,MAX(0,1-ABS(LOG10(Database!$S22/Screener!$D$14))/0.6))</f>
        <v/>
      </c>
      <c r="K22">
        <f>IF(Database!$B22=Screener!$B$5,-999999,IF(ISNUMBER(SEARCH(","&amp;Database!$A22&amp;",",","&amp;SUBSTITUTE(Screener!$D$17," ","")&amp;",")),2000000,IF(IF(OR(Screener!$B$18="All",AND(Screener!$B$18="With A-share",(Database!$BJ22="Y")),AND(Screener!$B$18="Without A-share",NOT((Database!$BJ22="Y")))),1,0)=0,-999999,IF(Screener!$B$16="cornerstone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Database!BD12</f>
        <v/>
      </c>
      <c r="AF22">
        <f>Database!BJ12</f>
        <v/>
      </c>
      <c r="AG22">
        <f>Database!H12</f>
        <v/>
      </c>
      <c r="AH22">
        <f>Database!BE12</f>
        <v/>
      </c>
    </row>
    <row r="23">
      <c r="A23">
        <f>Database!B23</f>
        <v/>
      </c>
      <c r="B23">
        <f>IF(AND(Screener!$D$8&lt;&gt;"",Database!$E23=Screener!$D$8),1,0)</f>
        <v/>
      </c>
      <c r="C23">
        <f>IF(AND(Screener!$D$7&lt;&gt;"",Database!$D23=Screener!$D$7),1,0)</f>
        <v/>
      </c>
      <c r="D23">
        <f>IF(OR(N(Database!$I23)&lt;=0,N(Screener!$D$9)&lt;=0),0,MAX(0,1-ABS(LOG10(N(Database!$I23)/Screener!$D$9))/W_SIZEHW))</f>
        <v/>
      </c>
      <c r="E23">
        <f>IF(OR(Database!$BD23="",Screener!$D$10=""),0,IF(Database!$BD23=Screener!$D$10,1,0))</f>
        <v/>
      </c>
      <c r="F23">
        <f>IF(OR(Database!$BJ23="",Screener!$D$11=""),0,IF(Database!$BJ23=Screener!$D$11,1,0))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IF(OR(N(Database!$BE23)&lt;=0,N(Screener!$D$13)&lt;=0),0,MAX(0,1-ABS(LOG10(N(Database!$BE23)/Screener!$D$13))/W_PEHW))</f>
        <v/>
      </c>
      <c r="J23">
        <f>IF(OR(N(Database!$S23)&lt;=0,N(Screener!$D$14)&lt;=0),0,MAX(0,1-ABS(LOG10(Database!$S23/Screener!$D$14))/0.6))</f>
        <v/>
      </c>
      <c r="K23">
        <f>IF(Database!$B23=Screener!$B$5,-999999,IF(ISNUMBER(SEARCH(","&amp;Database!$A23&amp;",",","&amp;SUBSTITUTE(Screener!$D$17," ","")&amp;",")),2000000,IF(IF(OR(Screener!$B$18="All",AND(Screener!$B$18="With A-share",(Database!$BJ23="Y")),AND(Screener!$B$18="Without A-share",NOT((Database!$BJ23="Y")))),1,0)=0,-999999,IF(Screener!$B$16="cornerstone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Database!BD13</f>
        <v/>
      </c>
      <c r="AF23">
        <f>Database!BJ13</f>
        <v/>
      </c>
      <c r="AG23">
        <f>Database!H13</f>
        <v/>
      </c>
      <c r="AH23">
        <f>Database!BE13</f>
        <v/>
      </c>
    </row>
    <row r="24">
      <c r="A24">
        <f>Database!B24</f>
        <v/>
      </c>
      <c r="B24">
        <f>IF(AND(Screener!$D$8&lt;&gt;"",Database!$E24=Screener!$D$8),1,0)</f>
        <v/>
      </c>
      <c r="C24">
        <f>IF(AND(Screener!$D$7&lt;&gt;"",Database!$D24=Screener!$D$7),1,0)</f>
        <v/>
      </c>
      <c r="D24">
        <f>IF(OR(N(Database!$I24)&lt;=0,N(Screener!$D$9)&lt;=0),0,MAX(0,1-ABS(LOG10(N(Database!$I24)/Screener!$D$9))/W_SIZEHW))</f>
        <v/>
      </c>
      <c r="E24">
        <f>IF(OR(Database!$BD24="",Screener!$D$10=""),0,IF(Database!$BD24=Screener!$D$10,1,0))</f>
        <v/>
      </c>
      <c r="F24">
        <f>IF(OR(Database!$BJ24="",Screener!$D$11=""),0,IF(Database!$BJ24=Screener!$D$11,1,0))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IF(OR(N(Database!$BE24)&lt;=0,N(Screener!$D$13)&lt;=0),0,MAX(0,1-ABS(LOG10(N(Database!$BE24)/Screener!$D$13))/W_PEHW))</f>
        <v/>
      </c>
      <c r="J24">
        <f>IF(OR(N(Database!$S24)&lt;=0,N(Screener!$D$14)&lt;=0),0,MAX(0,1-ABS(LOG10(Database!$S24/Screener!$D$14))/0.6))</f>
        <v/>
      </c>
      <c r="K24">
        <f>IF(Database!$B24=Screener!$B$5,-999999,IF(ISNUMBER(SEARCH(","&amp;Database!$A24&amp;",",","&amp;SUBSTITUTE(Screener!$D$17," ","")&amp;",")),2000000,IF(IF(OR(Screener!$B$18="All",AND(Screener!$B$18="With A-share",(Database!$BJ24="Y")),AND(Screener!$B$18="Without A-share",NOT((Database!$BJ24="Y")))),1,0)=0,-999999,IF(Screener!$B$16="cornerstone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Database!BD14</f>
        <v/>
      </c>
      <c r="AF24">
        <f>Database!BJ14</f>
        <v/>
      </c>
      <c r="AG24">
        <f>Database!H14</f>
        <v/>
      </c>
      <c r="AH24">
        <f>Database!BE14</f>
        <v/>
      </c>
    </row>
    <row r="25">
      <c r="A25">
        <f>Database!B25</f>
        <v/>
      </c>
      <c r="B25">
        <f>IF(AND(Screener!$D$8&lt;&gt;"",Database!$E25=Screener!$D$8),1,0)</f>
        <v/>
      </c>
      <c r="C25">
        <f>IF(AND(Screener!$D$7&lt;&gt;"",Database!$D25=Screener!$D$7),1,0)</f>
        <v/>
      </c>
      <c r="D25">
        <f>IF(OR(N(Database!$I25)&lt;=0,N(Screener!$D$9)&lt;=0),0,MAX(0,1-ABS(LOG10(N(Database!$I25)/Screener!$D$9))/W_SIZEHW))</f>
        <v/>
      </c>
      <c r="E25">
        <f>IF(OR(Database!$BD25="",Screener!$D$10=""),0,IF(Database!$BD25=Screener!$D$10,1,0))</f>
        <v/>
      </c>
      <c r="F25">
        <f>IF(OR(Database!$BJ25="",Screener!$D$11=""),0,IF(Database!$BJ25=Screener!$D$11,1,0))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IF(OR(N(Database!$BE25)&lt;=0,N(Screener!$D$13)&lt;=0),0,MAX(0,1-ABS(LOG10(N(Database!$BE25)/Screener!$D$13))/W_PEHW))</f>
        <v/>
      </c>
      <c r="J25">
        <f>IF(OR(N(Database!$S25)&lt;=0,N(Screener!$D$14)&lt;=0),0,MAX(0,1-ABS(LOG10(Database!$S25/Screener!$D$14))/0.6))</f>
        <v/>
      </c>
      <c r="K25">
        <f>IF(Database!$B25=Screener!$B$5,-999999,IF(ISNUMBER(SEARCH(","&amp;Database!$A25&amp;",",","&amp;SUBSTITUTE(Screener!$D$17," ","")&amp;",")),2000000,IF(IF(OR(Screener!$B$18="All",AND(Screener!$B$18="With A-share",(Database!$BJ25="Y")),AND(Screener!$B$18="Without A-share",NOT((Database!$BJ25="Y")))),1,0)=0,-999999,IF(Screener!$B$16="cornerstone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Database!BD15</f>
        <v/>
      </c>
      <c r="AF25">
        <f>Database!BJ15</f>
        <v/>
      </c>
      <c r="AG25">
        <f>Database!H15</f>
        <v/>
      </c>
      <c r="AH25">
        <f>Database!BE15</f>
        <v/>
      </c>
    </row>
    <row r="26">
      <c r="A26">
        <f>Database!B26</f>
        <v/>
      </c>
      <c r="B26">
        <f>IF(AND(Screener!$D$8&lt;&gt;"",Database!$E26=Screener!$D$8),1,0)</f>
        <v/>
      </c>
      <c r="C26">
        <f>IF(AND(Screener!$D$7&lt;&gt;"",Database!$D26=Screener!$D$7),1,0)</f>
        <v/>
      </c>
      <c r="D26">
        <f>IF(OR(N(Database!$I26)&lt;=0,N(Screener!$D$9)&lt;=0),0,MAX(0,1-ABS(LOG10(N(Database!$I26)/Screener!$D$9))/W_SIZEHW))</f>
        <v/>
      </c>
      <c r="E26">
        <f>IF(OR(Database!$BD26="",Screener!$D$10=""),0,IF(Database!$BD26=Screener!$D$10,1,0))</f>
        <v/>
      </c>
      <c r="F26">
        <f>IF(OR(Database!$BJ26="",Screener!$D$11=""),0,IF(Database!$BJ26=Screener!$D$11,1,0))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IF(OR(N(Database!$BE26)&lt;=0,N(Screener!$D$13)&lt;=0),0,MAX(0,1-ABS(LOG10(N(Database!$BE26)/Screener!$D$13))/W_PEHW))</f>
        <v/>
      </c>
      <c r="J26">
        <f>IF(OR(N(Database!$S26)&lt;=0,N(Screener!$D$14)&lt;=0),0,MAX(0,1-ABS(LOG10(Database!$S26/Screener!$D$14))/0.6))</f>
        <v/>
      </c>
      <c r="K26">
        <f>IF(Database!$B26=Screener!$B$5,-999999,IF(ISNUMBER(SEARCH(","&amp;Database!$A26&amp;",",","&amp;SUBSTITUTE(Screener!$D$17," ","")&amp;",")),2000000,IF(IF(OR(Screener!$B$18="All",AND(Screener!$B$18="With A-share",(Database!$BJ26="Y")),AND(Screener!$B$18="Without A-share",NOT((Database!$BJ26="Y")))),1,0)=0,-999999,IF(Screener!$B$16="cornerstone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Database!BD16</f>
        <v/>
      </c>
      <c r="AF26">
        <f>Database!BJ16</f>
        <v/>
      </c>
      <c r="AG26">
        <f>Database!H16</f>
        <v/>
      </c>
      <c r="AH26">
        <f>Database!BE16</f>
        <v/>
      </c>
    </row>
    <row r="27">
      <c r="A27">
        <f>Database!B27</f>
        <v/>
      </c>
      <c r="B27">
        <f>IF(AND(Screener!$D$8&lt;&gt;"",Database!$E27=Screener!$D$8),1,0)</f>
        <v/>
      </c>
      <c r="C27">
        <f>IF(AND(Screener!$D$7&lt;&gt;"",Database!$D27=Screener!$D$7),1,0)</f>
        <v/>
      </c>
      <c r="D27">
        <f>IF(OR(N(Database!$I27)&lt;=0,N(Screener!$D$9)&lt;=0),0,MAX(0,1-ABS(LOG10(N(Database!$I27)/Screener!$D$9))/W_SIZEHW))</f>
        <v/>
      </c>
      <c r="E27">
        <f>IF(OR(Database!$BD27="",Screener!$D$10=""),0,IF(Database!$BD27=Screener!$D$10,1,0))</f>
        <v/>
      </c>
      <c r="F27">
        <f>IF(OR(Database!$BJ27="",Screener!$D$11=""),0,IF(Database!$BJ27=Screener!$D$11,1,0))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IF(OR(N(Database!$BE27)&lt;=0,N(Screener!$D$13)&lt;=0),0,MAX(0,1-ABS(LOG10(N(Database!$BE27)/Screener!$D$13))/W_PEHW))</f>
        <v/>
      </c>
      <c r="J27">
        <f>IF(OR(N(Database!$S27)&lt;=0,N(Screener!$D$14)&lt;=0),0,MAX(0,1-ABS(LOG10(Database!$S27/Screener!$D$14))/0.6))</f>
        <v/>
      </c>
      <c r="K27">
        <f>IF(Database!$B27=Screener!$B$5,-999999,IF(ISNUMBER(SEARCH(","&amp;Database!$A27&amp;",",","&amp;SUBSTITUTE(Screener!$D$17," ","")&amp;",")),2000000,IF(IF(OR(Screener!$B$18="All",AND(Screener!$B$18="With A-share",(Database!$BJ27="Y")),AND(Screener!$B$18="Without A-share",NOT((Database!$BJ27="Y")))),1,0)=0,-999999,IF(Screener!$B$16="cornerstone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Database!BD17</f>
        <v/>
      </c>
      <c r="AF27">
        <f>Database!BJ17</f>
        <v/>
      </c>
      <c r="AG27">
        <f>Database!H17</f>
        <v/>
      </c>
      <c r="AH27">
        <f>Database!BE17</f>
        <v/>
      </c>
    </row>
    <row r="28">
      <c r="A28">
        <f>Database!B28</f>
        <v/>
      </c>
      <c r="B28">
        <f>IF(AND(Screener!$D$8&lt;&gt;"",Database!$E28=Screener!$D$8),1,0)</f>
        <v/>
      </c>
      <c r="C28">
        <f>IF(AND(Screener!$D$7&lt;&gt;"",Database!$D28=Screener!$D$7),1,0)</f>
        <v/>
      </c>
      <c r="D28">
        <f>IF(OR(N(Database!$I28)&lt;=0,N(Screener!$D$9)&lt;=0),0,MAX(0,1-ABS(LOG10(N(Database!$I28)/Screener!$D$9))/W_SIZEHW))</f>
        <v/>
      </c>
      <c r="E28">
        <f>IF(OR(Database!$BD28="",Screener!$D$10=""),0,IF(Database!$BD28=Screener!$D$10,1,0))</f>
        <v/>
      </c>
      <c r="F28">
        <f>IF(OR(Database!$BJ28="",Screener!$D$11=""),0,IF(Database!$BJ28=Screener!$D$11,1,0))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IF(OR(N(Database!$BE28)&lt;=0,N(Screener!$D$13)&lt;=0),0,MAX(0,1-ABS(LOG10(N(Database!$BE28)/Screener!$D$13))/W_PEHW))</f>
        <v/>
      </c>
      <c r="J28">
        <f>IF(OR(N(Database!$S28)&lt;=0,N(Screener!$D$14)&lt;=0),0,MAX(0,1-ABS(LOG10(Database!$S28/Screener!$D$14))/0.6))</f>
        <v/>
      </c>
      <c r="K28">
        <f>IF(Database!$B28=Screener!$B$5,-999999,IF(ISNUMBER(SEARCH(","&amp;Database!$A28&amp;",",","&amp;SUBSTITUTE(Screener!$D$17," ","")&amp;",")),2000000,IF(IF(OR(Screener!$B$18="All",AND(Screener!$B$18="With A-share",(Database!$BJ28="Y")),AND(Screener!$B$18="Without A-share",NOT((Database!$BJ28="Y")))),1,0)=0,-999999,IF(Screener!$B$16="cornerstone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Database!BD18</f>
        <v/>
      </c>
      <c r="AF28">
        <f>Database!BJ18</f>
        <v/>
      </c>
      <c r="AG28">
        <f>Database!H18</f>
        <v/>
      </c>
      <c r="AH28">
        <f>Database!BE18</f>
        <v/>
      </c>
    </row>
    <row r="29">
      <c r="A29">
        <f>Database!B29</f>
        <v/>
      </c>
      <c r="B29">
        <f>IF(AND(Screener!$D$8&lt;&gt;"",Database!$E29=Screener!$D$8),1,0)</f>
        <v/>
      </c>
      <c r="C29">
        <f>IF(AND(Screener!$D$7&lt;&gt;"",Database!$D29=Screener!$D$7),1,0)</f>
        <v/>
      </c>
      <c r="D29">
        <f>IF(OR(N(Database!$I29)&lt;=0,N(Screener!$D$9)&lt;=0),0,MAX(0,1-ABS(LOG10(N(Database!$I29)/Screener!$D$9))/W_SIZEHW))</f>
        <v/>
      </c>
      <c r="E29">
        <f>IF(OR(Database!$BD29="",Screener!$D$10=""),0,IF(Database!$BD29=Screener!$D$10,1,0))</f>
        <v/>
      </c>
      <c r="F29">
        <f>IF(OR(Database!$BJ29="",Screener!$D$11=""),0,IF(Database!$BJ29=Screener!$D$11,1,0))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IF(OR(N(Database!$BE29)&lt;=0,N(Screener!$D$13)&lt;=0),0,MAX(0,1-ABS(LOG10(N(Database!$BE29)/Screener!$D$13))/W_PEHW))</f>
        <v/>
      </c>
      <c r="J29">
        <f>IF(OR(N(Database!$S29)&lt;=0,N(Screener!$D$14)&lt;=0),0,MAX(0,1-ABS(LOG10(Database!$S29/Screener!$D$14))/0.6))</f>
        <v/>
      </c>
      <c r="K29">
        <f>IF(Database!$B29=Screener!$B$5,-999999,IF(ISNUMBER(SEARCH(","&amp;Database!$A29&amp;",",","&amp;SUBSTITUTE(Screener!$D$17," ","")&amp;",")),2000000,IF(IF(OR(Screener!$B$18="All",AND(Screener!$B$18="With A-share",(Database!$BJ29="Y")),AND(Screener!$B$18="Without A-share",NOT((Database!$BJ29="Y")))),1,0)=0,-999999,IF(Screener!$B$16="cornerstone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Database!BD19</f>
        <v/>
      </c>
      <c r="AF29">
        <f>Database!BJ19</f>
        <v/>
      </c>
      <c r="AG29">
        <f>Database!H19</f>
        <v/>
      </c>
      <c r="AH29">
        <f>Database!BE19</f>
        <v/>
      </c>
    </row>
    <row r="30">
      <c r="A30">
        <f>Database!B30</f>
        <v/>
      </c>
      <c r="B30">
        <f>IF(AND(Screener!$D$8&lt;&gt;"",Database!$E30=Screener!$D$8),1,0)</f>
        <v/>
      </c>
      <c r="C30">
        <f>IF(AND(Screener!$D$7&lt;&gt;"",Database!$D30=Screener!$D$7),1,0)</f>
        <v/>
      </c>
      <c r="D30">
        <f>IF(OR(N(Database!$I30)&lt;=0,N(Screener!$D$9)&lt;=0),0,MAX(0,1-ABS(LOG10(N(Database!$I30)/Screener!$D$9))/W_SIZEHW))</f>
        <v/>
      </c>
      <c r="E30">
        <f>IF(OR(Database!$BD30="",Screener!$D$10=""),0,IF(Database!$BD30=Screener!$D$10,1,0))</f>
        <v/>
      </c>
      <c r="F30">
        <f>IF(OR(Database!$BJ30="",Screener!$D$11=""),0,IF(Database!$BJ30=Screener!$D$11,1,0))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IF(OR(N(Database!$BE30)&lt;=0,N(Screener!$D$13)&lt;=0),0,MAX(0,1-ABS(LOG10(N(Database!$BE30)/Screener!$D$13))/W_PEHW))</f>
        <v/>
      </c>
      <c r="J30">
        <f>IF(OR(N(Database!$S30)&lt;=0,N(Screener!$D$14)&lt;=0),0,MAX(0,1-ABS(LOG10(Database!$S30/Screener!$D$14))/0.6))</f>
        <v/>
      </c>
      <c r="K30">
        <f>IF(Database!$B30=Screener!$B$5,-999999,IF(ISNUMBER(SEARCH(","&amp;Database!$A30&amp;",",","&amp;SUBSTITUTE(Screener!$D$17," ","")&amp;",")),2000000,IF(IF(OR(Screener!$B$18="All",AND(Screener!$B$18="With A-share",(Database!$BJ30="Y")),AND(Screener!$B$18="Without A-share",NOT((Database!$BJ30="Y")))),1,0)=0,-999999,IF(Screener!$B$16="cornerstone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Database!BD20</f>
        <v/>
      </c>
      <c r="AF30">
        <f>Database!BJ20</f>
        <v/>
      </c>
      <c r="AG30">
        <f>Database!H20</f>
        <v/>
      </c>
      <c r="AH30">
        <f>Database!BE20</f>
        <v/>
      </c>
    </row>
    <row r="31">
      <c r="A31">
        <f>Database!B31</f>
        <v/>
      </c>
      <c r="B31">
        <f>IF(AND(Screener!$D$8&lt;&gt;"",Database!$E31=Screener!$D$8),1,0)</f>
        <v/>
      </c>
      <c r="C31">
        <f>IF(AND(Screener!$D$7&lt;&gt;"",Database!$D31=Screener!$D$7),1,0)</f>
        <v/>
      </c>
      <c r="D31">
        <f>IF(OR(N(Database!$I31)&lt;=0,N(Screener!$D$9)&lt;=0),0,MAX(0,1-ABS(LOG10(N(Database!$I31)/Screener!$D$9))/W_SIZEHW))</f>
        <v/>
      </c>
      <c r="E31">
        <f>IF(OR(Database!$BD31="",Screener!$D$10=""),0,IF(Database!$BD31=Screener!$D$10,1,0))</f>
        <v/>
      </c>
      <c r="F31">
        <f>IF(OR(Database!$BJ31="",Screener!$D$11=""),0,IF(Database!$BJ31=Screener!$D$11,1,0))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IF(OR(N(Database!$BE31)&lt;=0,N(Screener!$D$13)&lt;=0),0,MAX(0,1-ABS(LOG10(N(Database!$BE31)/Screener!$D$13))/W_PEHW))</f>
        <v/>
      </c>
      <c r="J31">
        <f>IF(OR(N(Database!$S31)&lt;=0,N(Screener!$D$14)&lt;=0),0,MAX(0,1-ABS(LOG10(Database!$S31/Screener!$D$14))/0.6))</f>
        <v/>
      </c>
      <c r="K31">
        <f>IF(Database!$B31=Screener!$B$5,-999999,IF(ISNUMBER(SEARCH(","&amp;Database!$A31&amp;",",","&amp;SUBSTITUTE(Screener!$D$17," ","")&amp;",")),2000000,IF(IF(OR(Screener!$B$18="All",AND(Screener!$B$18="With A-share",(Database!$BJ31="Y")),AND(Screener!$B$18="Without A-share",NOT((Database!$BJ31="Y")))),1,0)=0,-999999,IF(Screener!$B$16="cornerstone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Database!BD21</f>
        <v/>
      </c>
      <c r="AF31">
        <f>Database!BJ21</f>
        <v/>
      </c>
      <c r="AG31">
        <f>Database!H21</f>
        <v/>
      </c>
      <c r="AH31">
        <f>Database!BE21</f>
        <v/>
      </c>
    </row>
    <row r="32">
      <c r="A32">
        <f>Database!B32</f>
        <v/>
      </c>
      <c r="B32">
        <f>IF(AND(Screener!$D$8&lt;&gt;"",Database!$E32=Screener!$D$8),1,0)</f>
        <v/>
      </c>
      <c r="C32">
        <f>IF(AND(Screener!$D$7&lt;&gt;"",Database!$D32=Screener!$D$7),1,0)</f>
        <v/>
      </c>
      <c r="D32">
        <f>IF(OR(N(Database!$I32)&lt;=0,N(Screener!$D$9)&lt;=0),0,MAX(0,1-ABS(LOG10(N(Database!$I32)/Screener!$D$9))/W_SIZEHW))</f>
        <v/>
      </c>
      <c r="E32">
        <f>IF(OR(Database!$BD32="",Screener!$D$10=""),0,IF(Database!$BD32=Screener!$D$10,1,0))</f>
        <v/>
      </c>
      <c r="F32">
        <f>IF(OR(Database!$BJ32="",Screener!$D$11=""),0,IF(Database!$BJ32=Screener!$D$11,1,0))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IF(OR(N(Database!$BE32)&lt;=0,N(Screener!$D$13)&lt;=0),0,MAX(0,1-ABS(LOG10(N(Database!$BE32)/Screener!$D$13))/W_PEHW))</f>
        <v/>
      </c>
      <c r="J32">
        <f>IF(OR(N(Database!$S32)&lt;=0,N(Screener!$D$14)&lt;=0),0,MAX(0,1-ABS(LOG10(Database!$S32/Screener!$D$14))/0.6))</f>
        <v/>
      </c>
      <c r="K32">
        <f>IF(Database!$B32=Screener!$B$5,-999999,IF(ISNUMBER(SEARCH(","&amp;Database!$A32&amp;",",","&amp;SUBSTITUTE(Screener!$D$17," ","")&amp;",")),2000000,IF(IF(OR(Screener!$B$18="All",AND(Screener!$B$18="With A-share",(Database!$BJ32="Y")),AND(Screener!$B$18="Without A-share",NOT((Database!$BJ32="Y")))),1,0)=0,-999999,IF(Screener!$B$16="cornerstone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Database!BD22</f>
        <v/>
      </c>
      <c r="AF32">
        <f>Database!BJ22</f>
        <v/>
      </c>
      <c r="AG32">
        <f>Database!H22</f>
        <v/>
      </c>
      <c r="AH32">
        <f>Database!BE22</f>
        <v/>
      </c>
    </row>
    <row r="33">
      <c r="A33">
        <f>Database!B33</f>
        <v/>
      </c>
      <c r="B33">
        <f>IF(AND(Screener!$D$8&lt;&gt;"",Database!$E33=Screener!$D$8),1,0)</f>
        <v/>
      </c>
      <c r="C33">
        <f>IF(AND(Screener!$D$7&lt;&gt;"",Database!$D33=Screener!$D$7),1,0)</f>
        <v/>
      </c>
      <c r="D33">
        <f>IF(OR(N(Database!$I33)&lt;=0,N(Screener!$D$9)&lt;=0),0,MAX(0,1-ABS(LOG10(N(Database!$I33)/Screener!$D$9))/W_SIZEHW))</f>
        <v/>
      </c>
      <c r="E33">
        <f>IF(OR(Database!$BD33="",Screener!$D$10=""),0,IF(Database!$BD33=Screener!$D$10,1,0))</f>
        <v/>
      </c>
      <c r="F33">
        <f>IF(OR(Database!$BJ33="",Screener!$D$11=""),0,IF(Database!$BJ33=Screener!$D$11,1,0))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IF(OR(N(Database!$BE33)&lt;=0,N(Screener!$D$13)&lt;=0),0,MAX(0,1-ABS(LOG10(N(Database!$BE33)/Screener!$D$13))/W_PEHW))</f>
        <v/>
      </c>
      <c r="J33">
        <f>IF(OR(N(Database!$S33)&lt;=0,N(Screener!$D$14)&lt;=0),0,MAX(0,1-ABS(LOG10(Database!$S33/Screener!$D$14))/0.6))</f>
        <v/>
      </c>
      <c r="K33">
        <f>IF(Database!$B33=Screener!$B$5,-999999,IF(ISNUMBER(SEARCH(","&amp;Database!$A33&amp;",",","&amp;SUBSTITUTE(Screener!$D$17," ","")&amp;",")),2000000,IF(IF(OR(Screener!$B$18="All",AND(Screener!$B$18="With A-share",(Database!$BJ33="Y")),AND(Screener!$B$18="Without A-share",NOT((Database!$BJ33="Y")))),1,0)=0,-999999,IF(Screener!$B$16="cornerstone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Database!BD23</f>
        <v/>
      </c>
      <c r="AF33">
        <f>Database!BJ23</f>
        <v/>
      </c>
      <c r="AG33">
        <f>Database!H23</f>
        <v/>
      </c>
      <c r="AH33">
        <f>Database!BE23</f>
        <v/>
      </c>
    </row>
    <row r="34">
      <c r="A34">
        <f>Database!B34</f>
        <v/>
      </c>
      <c r="B34">
        <f>IF(AND(Screener!$D$8&lt;&gt;"",Database!$E34=Screener!$D$8),1,0)</f>
        <v/>
      </c>
      <c r="C34">
        <f>IF(AND(Screener!$D$7&lt;&gt;"",Database!$D34=Screener!$D$7),1,0)</f>
        <v/>
      </c>
      <c r="D34">
        <f>IF(OR(N(Database!$I34)&lt;=0,N(Screener!$D$9)&lt;=0),0,MAX(0,1-ABS(LOG10(N(Database!$I34)/Screener!$D$9))/W_SIZEHW))</f>
        <v/>
      </c>
      <c r="E34">
        <f>IF(OR(Database!$BD34="",Screener!$D$10=""),0,IF(Database!$BD34=Screener!$D$10,1,0))</f>
        <v/>
      </c>
      <c r="F34">
        <f>IF(OR(Database!$BJ34="",Screener!$D$11=""),0,IF(Database!$BJ34=Screener!$D$11,1,0))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IF(OR(N(Database!$BE34)&lt;=0,N(Screener!$D$13)&lt;=0),0,MAX(0,1-ABS(LOG10(N(Database!$BE34)/Screener!$D$13))/W_PEHW))</f>
        <v/>
      </c>
      <c r="J34">
        <f>IF(OR(N(Database!$S34)&lt;=0,N(Screener!$D$14)&lt;=0),0,MAX(0,1-ABS(LOG10(Database!$S34/Screener!$D$14))/0.6))</f>
        <v/>
      </c>
      <c r="K34">
        <f>IF(Database!$B34=Screener!$B$5,-999999,IF(ISNUMBER(SEARCH(","&amp;Database!$A34&amp;",",","&amp;SUBSTITUTE(Screener!$D$17," ","")&amp;",")),2000000,IF(IF(OR(Screener!$B$18="All",AND(Screener!$B$18="With A-share",(Database!$BJ34="Y")),AND(Screener!$B$18="Without A-share",NOT((Database!$BJ34="Y")))),1,0)=0,-999999,IF(Screener!$B$16="cornerstone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Database!BD24</f>
        <v/>
      </c>
      <c r="AF34">
        <f>Database!BJ24</f>
        <v/>
      </c>
      <c r="AG34">
        <f>Database!H24</f>
        <v/>
      </c>
      <c r="AH34">
        <f>Database!BE24</f>
        <v/>
      </c>
    </row>
    <row r="35">
      <c r="A35">
        <f>Database!B35</f>
        <v/>
      </c>
      <c r="B35">
        <f>IF(AND(Screener!$D$8&lt;&gt;"",Database!$E35=Screener!$D$8),1,0)</f>
        <v/>
      </c>
      <c r="C35">
        <f>IF(AND(Screener!$D$7&lt;&gt;"",Database!$D35=Screener!$D$7),1,0)</f>
        <v/>
      </c>
      <c r="D35">
        <f>IF(OR(N(Database!$I35)&lt;=0,N(Screener!$D$9)&lt;=0),0,MAX(0,1-ABS(LOG10(N(Database!$I35)/Screener!$D$9))/W_SIZEHW))</f>
        <v/>
      </c>
      <c r="E35">
        <f>IF(OR(Database!$BD35="",Screener!$D$10=""),0,IF(Database!$BD35=Screener!$D$10,1,0))</f>
        <v/>
      </c>
      <c r="F35">
        <f>IF(OR(Database!$BJ35="",Screener!$D$11=""),0,IF(Database!$BJ35=Screener!$D$11,1,0))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IF(OR(N(Database!$BE35)&lt;=0,N(Screener!$D$13)&lt;=0),0,MAX(0,1-ABS(LOG10(N(Database!$BE35)/Screener!$D$13))/W_PEHW))</f>
        <v/>
      </c>
      <c r="J35">
        <f>IF(OR(N(Database!$S35)&lt;=0,N(Screener!$D$14)&lt;=0),0,MAX(0,1-ABS(LOG10(Database!$S35/Screener!$D$14))/0.6))</f>
        <v/>
      </c>
      <c r="K35">
        <f>IF(Database!$B35=Screener!$B$5,-999999,IF(ISNUMBER(SEARCH(","&amp;Database!$A35&amp;",",","&amp;SUBSTITUTE(Screener!$D$17," ","")&amp;",")),2000000,IF(IF(OR(Screener!$B$18="All",AND(Screener!$B$18="With A-share",(Database!$BJ35="Y")),AND(Screener!$B$18="Without A-share",NOT((Database!$BJ35="Y")))),1,0)=0,-999999,IF(Screener!$B$16="cornerstone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Database!BD25</f>
        <v/>
      </c>
      <c r="AF35">
        <f>Database!BJ25</f>
        <v/>
      </c>
      <c r="AG35">
        <f>Database!H25</f>
        <v/>
      </c>
      <c r="AH35">
        <f>Database!BE25</f>
        <v/>
      </c>
    </row>
    <row r="36">
      <c r="A36">
        <f>Database!B36</f>
        <v/>
      </c>
      <c r="B36">
        <f>IF(AND(Screener!$D$8&lt;&gt;"",Database!$E36=Screener!$D$8),1,0)</f>
        <v/>
      </c>
      <c r="C36">
        <f>IF(AND(Screener!$D$7&lt;&gt;"",Database!$D36=Screener!$D$7),1,0)</f>
        <v/>
      </c>
      <c r="D36">
        <f>IF(OR(N(Database!$I36)&lt;=0,N(Screener!$D$9)&lt;=0),0,MAX(0,1-ABS(LOG10(N(Database!$I36)/Screener!$D$9))/W_SIZEHW))</f>
        <v/>
      </c>
      <c r="E36">
        <f>IF(OR(Database!$BD36="",Screener!$D$10=""),0,IF(Database!$BD36=Screener!$D$10,1,0))</f>
        <v/>
      </c>
      <c r="F36">
        <f>IF(OR(Database!$BJ36="",Screener!$D$11=""),0,IF(Database!$BJ36=Screener!$D$11,1,0))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IF(OR(N(Database!$BE36)&lt;=0,N(Screener!$D$13)&lt;=0),0,MAX(0,1-ABS(LOG10(N(Database!$BE36)/Screener!$D$13))/W_PEHW))</f>
        <v/>
      </c>
      <c r="J36">
        <f>IF(OR(N(Database!$S36)&lt;=0,N(Screener!$D$14)&lt;=0),0,MAX(0,1-ABS(LOG10(Database!$S36/Screener!$D$14))/0.6))</f>
        <v/>
      </c>
      <c r="K36">
        <f>IF(Database!$B36=Screener!$B$5,-999999,IF(ISNUMBER(SEARCH(","&amp;Database!$A36&amp;",",","&amp;SUBSTITUTE(Screener!$D$17," ","")&amp;",")),2000000,IF(IF(OR(Screener!$B$18="All",AND(Screener!$B$18="With A-share",(Database!$BJ36="Y")),AND(Screener!$B$18="Without A-share",NOT((Database!$BJ36="Y")))),1,0)=0,-999999,IF(Screener!$B$16="cornerstone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Database!BD26</f>
        <v/>
      </c>
      <c r="AF36">
        <f>Database!BJ26</f>
        <v/>
      </c>
      <c r="AG36">
        <f>Database!H26</f>
        <v/>
      </c>
      <c r="AH36">
        <f>Database!BE26</f>
        <v/>
      </c>
    </row>
    <row r="37">
      <c r="A37">
        <f>Database!B37</f>
        <v/>
      </c>
      <c r="B37">
        <f>IF(AND(Screener!$D$8&lt;&gt;"",Database!$E37=Screener!$D$8),1,0)</f>
        <v/>
      </c>
      <c r="C37">
        <f>IF(AND(Screener!$D$7&lt;&gt;"",Database!$D37=Screener!$D$7),1,0)</f>
        <v/>
      </c>
      <c r="D37">
        <f>IF(OR(N(Database!$I37)&lt;=0,N(Screener!$D$9)&lt;=0),0,MAX(0,1-ABS(LOG10(N(Database!$I37)/Screener!$D$9))/W_SIZEHW))</f>
        <v/>
      </c>
      <c r="E37">
        <f>IF(OR(Database!$BD37="",Screener!$D$10=""),0,IF(Database!$BD37=Screener!$D$10,1,0))</f>
        <v/>
      </c>
      <c r="F37">
        <f>IF(OR(Database!$BJ37="",Screener!$D$11=""),0,IF(Database!$BJ37=Screener!$D$11,1,0))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IF(OR(N(Database!$BE37)&lt;=0,N(Screener!$D$13)&lt;=0),0,MAX(0,1-ABS(LOG10(N(Database!$BE37)/Screener!$D$13))/W_PEHW))</f>
        <v/>
      </c>
      <c r="J37">
        <f>IF(OR(N(Database!$S37)&lt;=0,N(Screener!$D$14)&lt;=0),0,MAX(0,1-ABS(LOG10(Database!$S37/Screener!$D$14))/0.6))</f>
        <v/>
      </c>
      <c r="K37">
        <f>IF(Database!$B37=Screener!$B$5,-999999,IF(ISNUMBER(SEARCH(","&amp;Database!$A37&amp;",",","&amp;SUBSTITUTE(Screener!$D$17," ","")&amp;",")),2000000,IF(IF(OR(Screener!$B$18="All",AND(Screener!$B$18="With A-share",(Database!$BJ37="Y")),AND(Screener!$B$18="Without A-share",NOT((Database!$BJ37="Y")))),1,0)=0,-999999,IF(Screener!$B$16="cornerstone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Database!BD27</f>
        <v/>
      </c>
      <c r="AF37">
        <f>Database!BJ27</f>
        <v/>
      </c>
      <c r="AG37">
        <f>Database!H27</f>
        <v/>
      </c>
      <c r="AH37">
        <f>Database!BE27</f>
        <v/>
      </c>
    </row>
    <row r="38">
      <c r="A38">
        <f>Database!B38</f>
        <v/>
      </c>
      <c r="B38">
        <f>IF(AND(Screener!$D$8&lt;&gt;"",Database!$E38=Screener!$D$8),1,0)</f>
        <v/>
      </c>
      <c r="C38">
        <f>IF(AND(Screener!$D$7&lt;&gt;"",Database!$D38=Screener!$D$7),1,0)</f>
        <v/>
      </c>
      <c r="D38">
        <f>IF(OR(N(Database!$I38)&lt;=0,N(Screener!$D$9)&lt;=0),0,MAX(0,1-ABS(LOG10(N(Database!$I38)/Screener!$D$9))/W_SIZEHW))</f>
        <v/>
      </c>
      <c r="E38">
        <f>IF(OR(Database!$BD38="",Screener!$D$10=""),0,IF(Database!$BD38=Screener!$D$10,1,0))</f>
        <v/>
      </c>
      <c r="F38">
        <f>IF(OR(Database!$BJ38="",Screener!$D$11=""),0,IF(Database!$BJ38=Screener!$D$11,1,0))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IF(OR(N(Database!$BE38)&lt;=0,N(Screener!$D$13)&lt;=0),0,MAX(0,1-ABS(LOG10(N(Database!$BE38)/Screener!$D$13))/W_PEHW))</f>
        <v/>
      </c>
      <c r="J38">
        <f>IF(OR(N(Database!$S38)&lt;=0,N(Screener!$D$14)&lt;=0),0,MAX(0,1-ABS(LOG10(Database!$S38/Screener!$D$14))/0.6))</f>
        <v/>
      </c>
      <c r="K38">
        <f>IF(Database!$B38=Screener!$B$5,-999999,IF(ISNUMBER(SEARCH(","&amp;Database!$A38&amp;",",","&amp;SUBSTITUTE(Screener!$D$17," ","")&amp;",")),2000000,IF(IF(OR(Screener!$B$18="All",AND(Screener!$B$18="With A-share",(Database!$BJ38="Y")),AND(Screener!$B$18="Without A-share",NOT((Database!$BJ38="Y")))),1,0)=0,-999999,IF(Screener!$B$16="cornerstone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Database!BD28</f>
        <v/>
      </c>
      <c r="AF38">
        <f>Database!BJ28</f>
        <v/>
      </c>
      <c r="AG38">
        <f>Database!H28</f>
        <v/>
      </c>
      <c r="AH38">
        <f>Database!BE28</f>
        <v/>
      </c>
    </row>
    <row r="39">
      <c r="A39">
        <f>Database!B39</f>
        <v/>
      </c>
      <c r="B39">
        <f>IF(AND(Screener!$D$8&lt;&gt;"",Database!$E39=Screener!$D$8),1,0)</f>
        <v/>
      </c>
      <c r="C39">
        <f>IF(AND(Screener!$D$7&lt;&gt;"",Database!$D39=Screener!$D$7),1,0)</f>
        <v/>
      </c>
      <c r="D39">
        <f>IF(OR(N(Database!$I39)&lt;=0,N(Screener!$D$9)&lt;=0),0,MAX(0,1-ABS(LOG10(N(Database!$I39)/Screener!$D$9))/W_SIZEHW))</f>
        <v/>
      </c>
      <c r="E39">
        <f>IF(OR(Database!$BD39="",Screener!$D$10=""),0,IF(Database!$BD39=Screener!$D$10,1,0))</f>
        <v/>
      </c>
      <c r="F39">
        <f>IF(OR(Database!$BJ39="",Screener!$D$11=""),0,IF(Database!$BJ39=Screener!$D$11,1,0))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IF(OR(N(Database!$BE39)&lt;=0,N(Screener!$D$13)&lt;=0),0,MAX(0,1-ABS(LOG10(N(Database!$BE39)/Screener!$D$13))/W_PEHW))</f>
        <v/>
      </c>
      <c r="J39">
        <f>IF(OR(N(Database!$S39)&lt;=0,N(Screener!$D$14)&lt;=0),0,MAX(0,1-ABS(LOG10(Database!$S39/Screener!$D$14))/0.6))</f>
        <v/>
      </c>
      <c r="K39">
        <f>IF(Database!$B39=Screener!$B$5,-999999,IF(ISNUMBER(SEARCH(","&amp;Database!$A39&amp;",",","&amp;SUBSTITUTE(Screener!$D$17," ","")&amp;",")),2000000,IF(IF(OR(Screener!$B$18="All",AND(Screener!$B$18="With A-share",(Database!$BJ39="Y")),AND(Screener!$B$18="Without A-share",NOT((Database!$BJ39="Y")))),1,0)=0,-999999,IF(Screener!$B$16="cornerstone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Database!BD29</f>
        <v/>
      </c>
      <c r="AF39">
        <f>Database!BJ29</f>
        <v/>
      </c>
      <c r="AG39">
        <f>Database!H29</f>
        <v/>
      </c>
      <c r="AH39">
        <f>Database!BE29</f>
        <v/>
      </c>
    </row>
    <row r="40">
      <c r="A40">
        <f>Database!B40</f>
        <v/>
      </c>
      <c r="B40">
        <f>IF(AND(Screener!$D$8&lt;&gt;"",Database!$E40=Screener!$D$8),1,0)</f>
        <v/>
      </c>
      <c r="C40">
        <f>IF(AND(Screener!$D$7&lt;&gt;"",Database!$D40=Screener!$D$7),1,0)</f>
        <v/>
      </c>
      <c r="D40">
        <f>IF(OR(N(Database!$I40)&lt;=0,N(Screener!$D$9)&lt;=0),0,MAX(0,1-ABS(LOG10(N(Database!$I40)/Screener!$D$9))/W_SIZEHW))</f>
        <v/>
      </c>
      <c r="E40">
        <f>IF(OR(Database!$BD40="",Screener!$D$10=""),0,IF(Database!$BD40=Screener!$D$10,1,0))</f>
        <v/>
      </c>
      <c r="F40">
        <f>IF(OR(Database!$BJ40="",Screener!$D$11=""),0,IF(Database!$BJ40=Screener!$D$11,1,0))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IF(OR(N(Database!$BE40)&lt;=0,N(Screener!$D$13)&lt;=0),0,MAX(0,1-ABS(LOG10(N(Database!$BE40)/Screener!$D$13))/W_PEHW))</f>
        <v/>
      </c>
      <c r="J40">
        <f>IF(OR(N(Database!$S40)&lt;=0,N(Screener!$D$14)&lt;=0),0,MAX(0,1-ABS(LOG10(Database!$S40/Screener!$D$14))/0.6))</f>
        <v/>
      </c>
      <c r="K40">
        <f>IF(Database!$B40=Screener!$B$5,-999999,IF(ISNUMBER(SEARCH(","&amp;Database!$A40&amp;",",","&amp;SUBSTITUTE(Screener!$D$17," ","")&amp;",")),2000000,IF(IF(OR(Screener!$B$18="All",AND(Screener!$B$18="With A-share",(Database!$BJ40="Y")),AND(Screener!$B$18="Without A-share",NOT((Database!$BJ40="Y")))),1,0)=0,-999999,IF(Screener!$B$16="cornerstone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Database!BD30</f>
        <v/>
      </c>
      <c r="AF40">
        <f>Database!BJ30</f>
        <v/>
      </c>
      <c r="AG40">
        <f>Database!H30</f>
        <v/>
      </c>
      <c r="AH40">
        <f>Database!BE30</f>
        <v/>
      </c>
    </row>
    <row r="41">
      <c r="A41">
        <f>Database!B41</f>
        <v/>
      </c>
      <c r="B41">
        <f>IF(AND(Screener!$D$8&lt;&gt;"",Database!$E41=Screener!$D$8),1,0)</f>
        <v/>
      </c>
      <c r="C41">
        <f>IF(AND(Screener!$D$7&lt;&gt;"",Database!$D41=Screener!$D$7),1,0)</f>
        <v/>
      </c>
      <c r="D41">
        <f>IF(OR(N(Database!$I41)&lt;=0,N(Screener!$D$9)&lt;=0),0,MAX(0,1-ABS(LOG10(N(Database!$I41)/Screener!$D$9))/W_SIZEHW))</f>
        <v/>
      </c>
      <c r="E41">
        <f>IF(OR(Database!$BD41="",Screener!$D$10=""),0,IF(Database!$BD41=Screener!$D$10,1,0))</f>
        <v/>
      </c>
      <c r="F41">
        <f>IF(OR(Database!$BJ41="",Screener!$D$11=""),0,IF(Database!$BJ41=Screener!$D$11,1,0))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IF(OR(N(Database!$BE41)&lt;=0,N(Screener!$D$13)&lt;=0),0,MAX(0,1-ABS(LOG10(N(Database!$BE41)/Screener!$D$13))/W_PEHW))</f>
        <v/>
      </c>
      <c r="J41">
        <f>IF(OR(N(Database!$S41)&lt;=0,N(Screener!$D$14)&lt;=0),0,MAX(0,1-ABS(LOG10(Database!$S41/Screener!$D$14))/0.6))</f>
        <v/>
      </c>
      <c r="K41">
        <f>IF(Database!$B41=Screener!$B$5,-999999,IF(ISNUMBER(SEARCH(","&amp;Database!$A41&amp;",",","&amp;SUBSTITUTE(Screener!$D$17," ","")&amp;",")),2000000,IF(IF(OR(Screener!$B$18="All",AND(Screener!$B$18="With A-share",(Database!$BJ41="Y")),AND(Screener!$B$18="Without A-share",NOT((Database!$BJ41="Y")))),1,0)=0,-999999,IF(Screener!$B$16="cornerstone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Database!BD31</f>
        <v/>
      </c>
      <c r="AF41">
        <f>Database!BJ31</f>
        <v/>
      </c>
      <c r="AG41">
        <f>Database!H31</f>
        <v/>
      </c>
      <c r="AH41">
        <f>Database!BE31</f>
        <v/>
      </c>
    </row>
    <row r="42">
      <c r="A42">
        <f>Database!B42</f>
        <v/>
      </c>
      <c r="B42">
        <f>IF(AND(Screener!$D$8&lt;&gt;"",Database!$E42=Screener!$D$8),1,0)</f>
        <v/>
      </c>
      <c r="C42">
        <f>IF(AND(Screener!$D$7&lt;&gt;"",Database!$D42=Screener!$D$7),1,0)</f>
        <v/>
      </c>
      <c r="D42">
        <f>IF(OR(N(Database!$I42)&lt;=0,N(Screener!$D$9)&lt;=0),0,MAX(0,1-ABS(LOG10(N(Database!$I42)/Screener!$D$9))/W_SIZEHW))</f>
        <v/>
      </c>
      <c r="E42">
        <f>IF(OR(Database!$BD42="",Screener!$D$10=""),0,IF(Database!$BD42=Screener!$D$10,1,0))</f>
        <v/>
      </c>
      <c r="F42">
        <f>IF(OR(Database!$BJ42="",Screener!$D$11=""),0,IF(Database!$BJ42=Screener!$D$11,1,0))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IF(OR(N(Database!$BE42)&lt;=0,N(Screener!$D$13)&lt;=0),0,MAX(0,1-ABS(LOG10(N(Database!$BE42)/Screener!$D$13))/W_PEHW))</f>
        <v/>
      </c>
      <c r="J42">
        <f>IF(OR(N(Database!$S42)&lt;=0,N(Screener!$D$14)&lt;=0),0,MAX(0,1-ABS(LOG10(Database!$S42/Screener!$D$14))/0.6))</f>
        <v/>
      </c>
      <c r="K42">
        <f>IF(Database!$B42=Screener!$B$5,-999999,IF(ISNUMBER(SEARCH(","&amp;Database!$A42&amp;",",","&amp;SUBSTITUTE(Screener!$D$17," ","")&amp;",")),2000000,IF(IF(OR(Screener!$B$18="All",AND(Screener!$B$18="With A-share",(Database!$BJ42="Y")),AND(Screener!$B$18="Without A-share",NOT((Database!$BJ42="Y")))),1,0)=0,-999999,IF(Screener!$B$16="cornerstone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Database!BD32</f>
        <v/>
      </c>
      <c r="AF42">
        <f>Database!BJ32</f>
        <v/>
      </c>
      <c r="AG42">
        <f>Database!H32</f>
        <v/>
      </c>
      <c r="AH42">
        <f>Database!BE32</f>
        <v/>
      </c>
    </row>
    <row r="43">
      <c r="A43">
        <f>Database!B43</f>
        <v/>
      </c>
      <c r="B43">
        <f>IF(AND(Screener!$D$8&lt;&gt;"",Database!$E43=Screener!$D$8),1,0)</f>
        <v/>
      </c>
      <c r="C43">
        <f>IF(AND(Screener!$D$7&lt;&gt;"",Database!$D43=Screener!$D$7),1,0)</f>
        <v/>
      </c>
      <c r="D43">
        <f>IF(OR(N(Database!$I43)&lt;=0,N(Screener!$D$9)&lt;=0),0,MAX(0,1-ABS(LOG10(N(Database!$I43)/Screener!$D$9))/W_SIZEHW))</f>
        <v/>
      </c>
      <c r="E43">
        <f>IF(OR(Database!$BD43="",Screener!$D$10=""),0,IF(Database!$BD43=Screener!$D$10,1,0))</f>
        <v/>
      </c>
      <c r="F43">
        <f>IF(OR(Database!$BJ43="",Screener!$D$11=""),0,IF(Database!$BJ43=Screener!$D$11,1,0))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IF(OR(N(Database!$BE43)&lt;=0,N(Screener!$D$13)&lt;=0),0,MAX(0,1-ABS(LOG10(N(Database!$BE43)/Screener!$D$13))/W_PEHW))</f>
        <v/>
      </c>
      <c r="J43">
        <f>IF(OR(N(Database!$S43)&lt;=0,N(Screener!$D$14)&lt;=0),0,MAX(0,1-ABS(LOG10(Database!$S43/Screener!$D$14))/0.6))</f>
        <v/>
      </c>
      <c r="K43">
        <f>IF(Database!$B43=Screener!$B$5,-999999,IF(ISNUMBER(SEARCH(","&amp;Database!$A43&amp;",",","&amp;SUBSTITUTE(Screener!$D$17," ","")&amp;",")),2000000,IF(IF(OR(Screener!$B$18="All",AND(Screener!$B$18="With A-share",(Database!$BJ43="Y")),AND(Screener!$B$18="Without A-share",NOT((Database!$BJ43="Y")))),1,0)=0,-999999,IF(Screener!$B$16="cornerstone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Database!BD33</f>
        <v/>
      </c>
      <c r="AF43">
        <f>Database!BJ33</f>
        <v/>
      </c>
      <c r="AG43">
        <f>Database!H33</f>
        <v/>
      </c>
      <c r="AH43">
        <f>Database!BE33</f>
        <v/>
      </c>
    </row>
    <row r="44">
      <c r="A44">
        <f>Database!B44</f>
        <v/>
      </c>
      <c r="B44">
        <f>IF(AND(Screener!$D$8&lt;&gt;"",Database!$E44=Screener!$D$8),1,0)</f>
        <v/>
      </c>
      <c r="C44">
        <f>IF(AND(Screener!$D$7&lt;&gt;"",Database!$D44=Screener!$D$7),1,0)</f>
        <v/>
      </c>
      <c r="D44">
        <f>IF(OR(N(Database!$I44)&lt;=0,N(Screener!$D$9)&lt;=0),0,MAX(0,1-ABS(LOG10(N(Database!$I44)/Screener!$D$9))/W_SIZEHW))</f>
        <v/>
      </c>
      <c r="E44">
        <f>IF(OR(Database!$BD44="",Screener!$D$10=""),0,IF(Database!$BD44=Screener!$D$10,1,0))</f>
        <v/>
      </c>
      <c r="F44">
        <f>IF(OR(Database!$BJ44="",Screener!$D$11=""),0,IF(Database!$BJ44=Screener!$D$11,1,0))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IF(OR(N(Database!$BE44)&lt;=0,N(Screener!$D$13)&lt;=0),0,MAX(0,1-ABS(LOG10(N(Database!$BE44)/Screener!$D$13))/W_PEHW))</f>
        <v/>
      </c>
      <c r="J44">
        <f>IF(OR(N(Database!$S44)&lt;=0,N(Screener!$D$14)&lt;=0),0,MAX(0,1-ABS(LOG10(Database!$S44/Screener!$D$14))/0.6))</f>
        <v/>
      </c>
      <c r="K44">
        <f>IF(Database!$B44=Screener!$B$5,-999999,IF(ISNUMBER(SEARCH(","&amp;Database!$A44&amp;",",","&amp;SUBSTITUTE(Screener!$D$17," ","")&amp;",")),2000000,IF(IF(OR(Screener!$B$18="All",AND(Screener!$B$18="With A-share",(Database!$BJ44="Y")),AND(Screener!$B$18="Without A-share",NOT((Database!$BJ44="Y")))),1,0)=0,-999999,IF(Screener!$B$16="cornerstone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Database!BD34</f>
        <v/>
      </c>
      <c r="AF44">
        <f>Database!BJ34</f>
        <v/>
      </c>
      <c r="AG44">
        <f>Database!H34</f>
        <v/>
      </c>
      <c r="AH44">
        <f>Database!BE34</f>
        <v/>
      </c>
    </row>
    <row r="45">
      <c r="A45">
        <f>Database!B45</f>
        <v/>
      </c>
      <c r="B45">
        <f>IF(AND(Screener!$D$8&lt;&gt;"",Database!$E45=Screener!$D$8),1,0)</f>
        <v/>
      </c>
      <c r="C45">
        <f>IF(AND(Screener!$D$7&lt;&gt;"",Database!$D45=Screener!$D$7),1,0)</f>
        <v/>
      </c>
      <c r="D45">
        <f>IF(OR(N(Database!$I45)&lt;=0,N(Screener!$D$9)&lt;=0),0,MAX(0,1-ABS(LOG10(N(Database!$I45)/Screener!$D$9))/W_SIZEHW))</f>
        <v/>
      </c>
      <c r="E45">
        <f>IF(OR(Database!$BD45="",Screener!$D$10=""),0,IF(Database!$BD45=Screener!$D$10,1,0))</f>
        <v/>
      </c>
      <c r="F45">
        <f>IF(OR(Database!$BJ45="",Screener!$D$11=""),0,IF(Database!$BJ45=Screener!$D$11,1,0))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IF(OR(N(Database!$BE45)&lt;=0,N(Screener!$D$13)&lt;=0),0,MAX(0,1-ABS(LOG10(N(Database!$BE45)/Screener!$D$13))/W_PEHW))</f>
        <v/>
      </c>
      <c r="J45">
        <f>IF(OR(N(Database!$S45)&lt;=0,N(Screener!$D$14)&lt;=0),0,MAX(0,1-ABS(LOG10(Database!$S45/Screener!$D$14))/0.6))</f>
        <v/>
      </c>
      <c r="K45">
        <f>IF(Database!$B45=Screener!$B$5,-999999,IF(ISNUMBER(SEARCH(","&amp;Database!$A45&amp;",",","&amp;SUBSTITUTE(Screener!$D$17," ","")&amp;",")),2000000,IF(IF(OR(Screener!$B$18="All",AND(Screener!$B$18="With A-share",(Database!$BJ45="Y")),AND(Screener!$B$18="Without A-share",NOT((Database!$BJ45="Y")))),1,0)=0,-999999,IF(Screener!$B$16="cornerstone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Database!BD35</f>
        <v/>
      </c>
      <c r="AF45">
        <f>Database!BJ35</f>
        <v/>
      </c>
      <c r="AG45">
        <f>Database!H35</f>
        <v/>
      </c>
      <c r="AH45">
        <f>Database!BE35</f>
        <v/>
      </c>
    </row>
    <row r="46">
      <c r="A46">
        <f>Database!B46</f>
        <v/>
      </c>
      <c r="B46">
        <f>IF(AND(Screener!$D$8&lt;&gt;"",Database!$E46=Screener!$D$8),1,0)</f>
        <v/>
      </c>
      <c r="C46">
        <f>IF(AND(Screener!$D$7&lt;&gt;"",Database!$D46=Screener!$D$7),1,0)</f>
        <v/>
      </c>
      <c r="D46">
        <f>IF(OR(N(Database!$I46)&lt;=0,N(Screener!$D$9)&lt;=0),0,MAX(0,1-ABS(LOG10(N(Database!$I46)/Screener!$D$9))/W_SIZEHW))</f>
        <v/>
      </c>
      <c r="E46">
        <f>IF(OR(Database!$BD46="",Screener!$D$10=""),0,IF(Database!$BD46=Screener!$D$10,1,0))</f>
        <v/>
      </c>
      <c r="F46">
        <f>IF(OR(Database!$BJ46="",Screener!$D$11=""),0,IF(Database!$BJ46=Screener!$D$11,1,0))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IF(OR(N(Database!$BE46)&lt;=0,N(Screener!$D$13)&lt;=0),0,MAX(0,1-ABS(LOG10(N(Database!$BE46)/Screener!$D$13))/W_PEHW))</f>
        <v/>
      </c>
      <c r="J46">
        <f>IF(OR(N(Database!$S46)&lt;=0,N(Screener!$D$14)&lt;=0),0,MAX(0,1-ABS(LOG10(Database!$S46/Screener!$D$14))/0.6))</f>
        <v/>
      </c>
      <c r="K46">
        <f>IF(Database!$B46=Screener!$B$5,-999999,IF(ISNUMBER(SEARCH(","&amp;Database!$A46&amp;",",","&amp;SUBSTITUTE(Screener!$D$17," ","")&amp;",")),2000000,IF(IF(OR(Screener!$B$18="All",AND(Screener!$B$18="With A-share",(Database!$BJ46="Y")),AND(Screener!$B$18="Without A-share",NOT((Database!$BJ46="Y")))),1,0)=0,-999999,IF(Screener!$B$16="cornerstone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Database!BD36</f>
        <v/>
      </c>
      <c r="AF46">
        <f>Database!BJ36</f>
        <v/>
      </c>
      <c r="AG46">
        <f>Database!H36</f>
        <v/>
      </c>
      <c r="AH46">
        <f>Database!BE36</f>
        <v/>
      </c>
    </row>
    <row r="47">
      <c r="A47">
        <f>Database!B47</f>
        <v/>
      </c>
      <c r="B47">
        <f>IF(AND(Screener!$D$8&lt;&gt;"",Database!$E47=Screener!$D$8),1,0)</f>
        <v/>
      </c>
      <c r="C47">
        <f>IF(AND(Screener!$D$7&lt;&gt;"",Database!$D47=Screener!$D$7),1,0)</f>
        <v/>
      </c>
      <c r="D47">
        <f>IF(OR(N(Database!$I47)&lt;=0,N(Screener!$D$9)&lt;=0),0,MAX(0,1-ABS(LOG10(N(Database!$I47)/Screener!$D$9))/W_SIZEHW))</f>
        <v/>
      </c>
      <c r="E47">
        <f>IF(OR(Database!$BD47="",Screener!$D$10=""),0,IF(Database!$BD47=Screener!$D$10,1,0))</f>
        <v/>
      </c>
      <c r="F47">
        <f>IF(OR(Database!$BJ47="",Screener!$D$11=""),0,IF(Database!$BJ47=Screener!$D$11,1,0))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IF(OR(N(Database!$BE47)&lt;=0,N(Screener!$D$13)&lt;=0),0,MAX(0,1-ABS(LOG10(N(Database!$BE47)/Screener!$D$13))/W_PEHW))</f>
        <v/>
      </c>
      <c r="J47">
        <f>IF(OR(N(Database!$S47)&lt;=0,N(Screener!$D$14)&lt;=0),0,MAX(0,1-ABS(LOG10(Database!$S47/Screener!$D$14))/0.6))</f>
        <v/>
      </c>
      <c r="K47">
        <f>IF(Database!$B47=Screener!$B$5,-999999,IF(ISNUMBER(SEARCH(","&amp;Database!$A47&amp;",",","&amp;SUBSTITUTE(Screener!$D$17," ","")&amp;",")),2000000,IF(IF(OR(Screener!$B$18="All",AND(Screener!$B$18="With A-share",(Database!$BJ47="Y")),AND(Screener!$B$18="Without A-share",NOT((Database!$BJ47="Y")))),1,0)=0,-999999,IF(Screener!$B$16="cornerstone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Database!BD37</f>
        <v/>
      </c>
      <c r="AF47">
        <f>Database!BJ37</f>
        <v/>
      </c>
      <c r="AG47">
        <f>Database!H37</f>
        <v/>
      </c>
      <c r="AH47">
        <f>Database!BE37</f>
        <v/>
      </c>
    </row>
    <row r="48">
      <c r="A48">
        <f>Database!B48</f>
        <v/>
      </c>
      <c r="B48">
        <f>IF(AND(Screener!$D$8&lt;&gt;"",Database!$E48=Screener!$D$8),1,0)</f>
        <v/>
      </c>
      <c r="C48">
        <f>IF(AND(Screener!$D$7&lt;&gt;"",Database!$D48=Screener!$D$7),1,0)</f>
        <v/>
      </c>
      <c r="D48">
        <f>IF(OR(N(Database!$I48)&lt;=0,N(Screener!$D$9)&lt;=0),0,MAX(0,1-ABS(LOG10(N(Database!$I48)/Screener!$D$9))/W_SIZEHW))</f>
        <v/>
      </c>
      <c r="E48">
        <f>IF(OR(Database!$BD48="",Screener!$D$10=""),0,IF(Database!$BD48=Screener!$D$10,1,0))</f>
        <v/>
      </c>
      <c r="F48">
        <f>IF(OR(Database!$BJ48="",Screener!$D$11=""),0,IF(Database!$BJ48=Screener!$D$11,1,0))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IF(OR(N(Database!$BE48)&lt;=0,N(Screener!$D$13)&lt;=0),0,MAX(0,1-ABS(LOG10(N(Database!$BE48)/Screener!$D$13))/W_PEHW))</f>
        <v/>
      </c>
      <c r="J48">
        <f>IF(OR(N(Database!$S48)&lt;=0,N(Screener!$D$14)&lt;=0),0,MAX(0,1-ABS(LOG10(Database!$S48/Screener!$D$14))/0.6))</f>
        <v/>
      </c>
      <c r="K48">
        <f>IF(Database!$B48=Screener!$B$5,-999999,IF(ISNUMBER(SEARCH(","&amp;Database!$A48&amp;",",","&amp;SUBSTITUTE(Screener!$D$17," ","")&amp;",")),2000000,IF(IF(OR(Screener!$B$18="All",AND(Screener!$B$18="With A-share",(Database!$BJ48="Y")),AND(Screener!$B$18="Without A-share",NOT((Database!$BJ48="Y")))),1,0)=0,-999999,IF(Screener!$B$16="cornerstone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Database!BD38</f>
        <v/>
      </c>
      <c r="AF48">
        <f>Database!BJ38</f>
        <v/>
      </c>
      <c r="AG48">
        <f>Database!H38</f>
        <v/>
      </c>
      <c r="AH48">
        <f>Database!BE38</f>
        <v/>
      </c>
    </row>
    <row r="49">
      <c r="A49">
        <f>Database!B49</f>
        <v/>
      </c>
      <c r="B49">
        <f>IF(AND(Screener!$D$8&lt;&gt;"",Database!$E49=Screener!$D$8),1,0)</f>
        <v/>
      </c>
      <c r="C49">
        <f>IF(AND(Screener!$D$7&lt;&gt;"",Database!$D49=Screener!$D$7),1,0)</f>
        <v/>
      </c>
      <c r="D49">
        <f>IF(OR(N(Database!$I49)&lt;=0,N(Screener!$D$9)&lt;=0),0,MAX(0,1-ABS(LOG10(N(Database!$I49)/Screener!$D$9))/W_SIZEHW))</f>
        <v/>
      </c>
      <c r="E49">
        <f>IF(OR(Database!$BD49="",Screener!$D$10=""),0,IF(Database!$BD49=Screener!$D$10,1,0))</f>
        <v/>
      </c>
      <c r="F49">
        <f>IF(OR(Database!$BJ49="",Screener!$D$11=""),0,IF(Database!$BJ49=Screener!$D$11,1,0))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IF(OR(N(Database!$BE49)&lt;=0,N(Screener!$D$13)&lt;=0),0,MAX(0,1-ABS(LOG10(N(Database!$BE49)/Screener!$D$13))/W_PEHW))</f>
        <v/>
      </c>
      <c r="J49">
        <f>IF(OR(N(Database!$S49)&lt;=0,N(Screener!$D$14)&lt;=0),0,MAX(0,1-ABS(LOG10(Database!$S49/Screener!$D$14))/0.6))</f>
        <v/>
      </c>
      <c r="K49">
        <f>IF(Database!$B49=Screener!$B$5,-999999,IF(ISNUMBER(SEARCH(","&amp;Database!$A49&amp;",",","&amp;SUBSTITUTE(Screener!$D$17," ","")&amp;",")),2000000,IF(IF(OR(Screener!$B$18="All",AND(Screener!$B$18="With A-share",(Database!$BJ49="Y")),AND(Screener!$B$18="Without A-share",NOT((Database!$BJ49="Y")))),1,0)=0,-999999,IF(Screener!$B$16="cornerstone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Database!BD39</f>
        <v/>
      </c>
      <c r="AF49">
        <f>Database!BJ39</f>
        <v/>
      </c>
      <c r="AG49">
        <f>Database!H39</f>
        <v/>
      </c>
      <c r="AH49">
        <f>Database!BE39</f>
        <v/>
      </c>
    </row>
    <row r="50">
      <c r="A50">
        <f>Database!B50</f>
        <v/>
      </c>
      <c r="B50">
        <f>IF(AND(Screener!$D$8&lt;&gt;"",Database!$E50=Screener!$D$8),1,0)</f>
        <v/>
      </c>
      <c r="C50">
        <f>IF(AND(Screener!$D$7&lt;&gt;"",Database!$D50=Screener!$D$7),1,0)</f>
        <v/>
      </c>
      <c r="D50">
        <f>IF(OR(N(Database!$I50)&lt;=0,N(Screener!$D$9)&lt;=0),0,MAX(0,1-ABS(LOG10(N(Database!$I50)/Screener!$D$9))/W_SIZEHW))</f>
        <v/>
      </c>
      <c r="E50">
        <f>IF(OR(Database!$BD50="",Screener!$D$10=""),0,IF(Database!$BD50=Screener!$D$10,1,0))</f>
        <v/>
      </c>
      <c r="F50">
        <f>IF(OR(Database!$BJ50="",Screener!$D$11=""),0,IF(Database!$BJ50=Screener!$D$11,1,0))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IF(OR(N(Database!$BE50)&lt;=0,N(Screener!$D$13)&lt;=0),0,MAX(0,1-ABS(LOG10(N(Database!$BE50)/Screener!$D$13))/W_PEHW))</f>
        <v/>
      </c>
      <c r="J50">
        <f>IF(OR(N(Database!$S50)&lt;=0,N(Screener!$D$14)&lt;=0),0,MAX(0,1-ABS(LOG10(Database!$S50/Screener!$D$14))/0.6))</f>
        <v/>
      </c>
      <c r="K50">
        <f>IF(Database!$B50=Screener!$B$5,-999999,IF(ISNUMBER(SEARCH(","&amp;Database!$A50&amp;",",","&amp;SUBSTITUTE(Screener!$D$17," ","")&amp;",")),2000000,IF(IF(OR(Screener!$B$18="All",AND(Screener!$B$18="With A-share",(Database!$BJ50="Y")),AND(Screener!$B$18="Without A-share",NOT((Database!$BJ50="Y")))),1,0)=0,-999999,IF(Screener!$B$16="cornerstone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Database!BD40</f>
        <v/>
      </c>
      <c r="AF50">
        <f>Database!BJ40</f>
        <v/>
      </c>
      <c r="AG50">
        <f>Database!H40</f>
        <v/>
      </c>
      <c r="AH50">
        <f>Database!BE40</f>
        <v/>
      </c>
    </row>
    <row r="51">
      <c r="A51">
        <f>Database!B51</f>
        <v/>
      </c>
      <c r="B51">
        <f>IF(AND(Screener!$D$8&lt;&gt;"",Database!$E51=Screener!$D$8),1,0)</f>
        <v/>
      </c>
      <c r="C51">
        <f>IF(AND(Screener!$D$7&lt;&gt;"",Database!$D51=Screener!$D$7),1,0)</f>
        <v/>
      </c>
      <c r="D51">
        <f>IF(OR(N(Database!$I51)&lt;=0,N(Screener!$D$9)&lt;=0),0,MAX(0,1-ABS(LOG10(N(Database!$I51)/Screener!$D$9))/W_SIZEHW))</f>
        <v/>
      </c>
      <c r="E51">
        <f>IF(OR(Database!$BD51="",Screener!$D$10=""),0,IF(Database!$BD51=Screener!$D$10,1,0))</f>
        <v/>
      </c>
      <c r="F51">
        <f>IF(OR(Database!$BJ51="",Screener!$D$11=""),0,IF(Database!$BJ51=Screener!$D$11,1,0))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IF(OR(N(Database!$BE51)&lt;=0,N(Screener!$D$13)&lt;=0),0,MAX(0,1-ABS(LOG10(N(Database!$BE51)/Screener!$D$13))/W_PEHW))</f>
        <v/>
      </c>
      <c r="J51">
        <f>IF(OR(N(Database!$S51)&lt;=0,N(Screener!$D$14)&lt;=0),0,MAX(0,1-ABS(LOG10(Database!$S51/Screener!$D$14))/0.6))</f>
        <v/>
      </c>
      <c r="K51">
        <f>IF(Database!$B51=Screener!$B$5,-999999,IF(ISNUMBER(SEARCH(","&amp;Database!$A51&amp;",",","&amp;SUBSTITUTE(Screener!$D$17," ","")&amp;",")),2000000,IF(IF(OR(Screener!$B$18="All",AND(Screener!$B$18="With A-share",(Database!$BJ51="Y")),AND(Screener!$B$18="Without A-share",NOT((Database!$BJ51="Y")))),1,0)=0,-999999,IF(Screener!$B$16="cornerstone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Database!BD41</f>
        <v/>
      </c>
      <c r="AF51">
        <f>Database!BJ41</f>
        <v/>
      </c>
      <c r="AG51">
        <f>Database!H41</f>
        <v/>
      </c>
      <c r="AH51">
        <f>Database!BE41</f>
        <v/>
      </c>
    </row>
    <row r="52">
      <c r="A52">
        <f>Database!B52</f>
        <v/>
      </c>
      <c r="B52">
        <f>IF(AND(Screener!$D$8&lt;&gt;"",Database!$E52=Screener!$D$8),1,0)</f>
        <v/>
      </c>
      <c r="C52">
        <f>IF(AND(Screener!$D$7&lt;&gt;"",Database!$D52=Screener!$D$7),1,0)</f>
        <v/>
      </c>
      <c r="D52">
        <f>IF(OR(N(Database!$I52)&lt;=0,N(Screener!$D$9)&lt;=0),0,MAX(0,1-ABS(LOG10(N(Database!$I52)/Screener!$D$9))/W_SIZEHW))</f>
        <v/>
      </c>
      <c r="E52">
        <f>IF(OR(Database!$BD52="",Screener!$D$10=""),0,IF(Database!$BD52=Screener!$D$10,1,0))</f>
        <v/>
      </c>
      <c r="F52">
        <f>IF(OR(Database!$BJ52="",Screener!$D$11=""),0,IF(Database!$BJ52=Screener!$D$11,1,0))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IF(OR(N(Database!$BE52)&lt;=0,N(Screener!$D$13)&lt;=0),0,MAX(0,1-ABS(LOG10(N(Database!$BE52)/Screener!$D$13))/W_PEHW))</f>
        <v/>
      </c>
      <c r="J52">
        <f>IF(OR(N(Database!$S52)&lt;=0,N(Screener!$D$14)&lt;=0),0,MAX(0,1-ABS(LOG10(Database!$S52/Screener!$D$14))/0.6))</f>
        <v/>
      </c>
      <c r="K52">
        <f>IF(Database!$B52=Screener!$B$5,-999999,IF(ISNUMBER(SEARCH(","&amp;Database!$A52&amp;",",","&amp;SUBSTITUTE(Screener!$D$17," ","")&amp;",")),2000000,IF(IF(OR(Screener!$B$18="All",AND(Screener!$B$18="With A-share",(Database!$BJ52="Y")),AND(Screener!$B$18="Without A-share",NOT((Database!$BJ52="Y")))),1,0)=0,-999999,IF(Screener!$B$16="cornerstone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Database!BD42</f>
        <v/>
      </c>
      <c r="AF52">
        <f>Database!BJ42</f>
        <v/>
      </c>
      <c r="AG52">
        <f>Database!H42</f>
        <v/>
      </c>
      <c r="AH52">
        <f>Database!BE42</f>
        <v/>
      </c>
    </row>
    <row r="53">
      <c r="A53">
        <f>Database!B53</f>
        <v/>
      </c>
      <c r="B53">
        <f>IF(AND(Screener!$D$8&lt;&gt;"",Database!$E53=Screener!$D$8),1,0)</f>
        <v/>
      </c>
      <c r="C53">
        <f>IF(AND(Screener!$D$7&lt;&gt;"",Database!$D53=Screener!$D$7),1,0)</f>
        <v/>
      </c>
      <c r="D53">
        <f>IF(OR(N(Database!$I53)&lt;=0,N(Screener!$D$9)&lt;=0),0,MAX(0,1-ABS(LOG10(N(Database!$I53)/Screener!$D$9))/W_SIZEHW))</f>
        <v/>
      </c>
      <c r="E53">
        <f>IF(OR(Database!$BD53="",Screener!$D$10=""),0,IF(Database!$BD53=Screener!$D$10,1,0))</f>
        <v/>
      </c>
      <c r="F53">
        <f>IF(OR(Database!$BJ53="",Screener!$D$11=""),0,IF(Database!$BJ53=Screener!$D$11,1,0))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IF(OR(N(Database!$BE53)&lt;=0,N(Screener!$D$13)&lt;=0),0,MAX(0,1-ABS(LOG10(N(Database!$BE53)/Screener!$D$13))/W_PEHW))</f>
        <v/>
      </c>
      <c r="J53">
        <f>IF(OR(N(Database!$S53)&lt;=0,N(Screener!$D$14)&lt;=0),0,MAX(0,1-ABS(LOG10(Database!$S53/Screener!$D$14))/0.6))</f>
        <v/>
      </c>
      <c r="K53">
        <f>IF(Database!$B53=Screener!$B$5,-999999,IF(ISNUMBER(SEARCH(","&amp;Database!$A53&amp;",",","&amp;SUBSTITUTE(Screener!$D$17," ","")&amp;",")),2000000,IF(IF(OR(Screener!$B$18="All",AND(Screener!$B$18="With A-share",(Database!$BJ53="Y")),AND(Screener!$B$18="Without A-share",NOT((Database!$BJ53="Y")))),1,0)=0,-999999,IF(Screener!$B$16="cornerstone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Database!BD43</f>
        <v/>
      </c>
      <c r="AF53">
        <f>Database!BJ43</f>
        <v/>
      </c>
      <c r="AG53">
        <f>Database!H43</f>
        <v/>
      </c>
      <c r="AH53">
        <f>Database!BE43</f>
        <v/>
      </c>
    </row>
    <row r="54">
      <c r="A54">
        <f>Database!B54</f>
        <v/>
      </c>
      <c r="B54">
        <f>IF(AND(Screener!$D$8&lt;&gt;"",Database!$E54=Screener!$D$8),1,0)</f>
        <v/>
      </c>
      <c r="C54">
        <f>IF(AND(Screener!$D$7&lt;&gt;"",Database!$D54=Screener!$D$7),1,0)</f>
        <v/>
      </c>
      <c r="D54">
        <f>IF(OR(N(Database!$I54)&lt;=0,N(Screener!$D$9)&lt;=0),0,MAX(0,1-ABS(LOG10(N(Database!$I54)/Screener!$D$9))/W_SIZEHW))</f>
        <v/>
      </c>
      <c r="E54">
        <f>IF(OR(Database!$BD54="",Screener!$D$10=""),0,IF(Database!$BD54=Screener!$D$10,1,0))</f>
        <v/>
      </c>
      <c r="F54">
        <f>IF(OR(Database!$BJ54="",Screener!$D$11=""),0,IF(Database!$BJ54=Screener!$D$11,1,0))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IF(OR(N(Database!$BE54)&lt;=0,N(Screener!$D$13)&lt;=0),0,MAX(0,1-ABS(LOG10(N(Database!$BE54)/Screener!$D$13))/W_PEHW))</f>
        <v/>
      </c>
      <c r="J54">
        <f>IF(OR(N(Database!$S54)&lt;=0,N(Screener!$D$14)&lt;=0),0,MAX(0,1-ABS(LOG10(Database!$S54/Screener!$D$14))/0.6))</f>
        <v/>
      </c>
      <c r="K54">
        <f>IF(Database!$B54=Screener!$B$5,-999999,IF(ISNUMBER(SEARCH(","&amp;Database!$A54&amp;",",","&amp;SUBSTITUTE(Screener!$D$17," ","")&amp;",")),2000000,IF(IF(OR(Screener!$B$18="All",AND(Screener!$B$18="With A-share",(Database!$BJ54="Y")),AND(Screener!$B$18="Without A-share",NOT((Database!$BJ54="Y")))),1,0)=0,-999999,IF(Screener!$B$16="cornerstone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Database!BD44</f>
        <v/>
      </c>
      <c r="AF54">
        <f>Database!BJ44</f>
        <v/>
      </c>
      <c r="AG54">
        <f>Database!H44</f>
        <v/>
      </c>
      <c r="AH54">
        <f>Database!BE44</f>
        <v/>
      </c>
    </row>
    <row r="55">
      <c r="A55">
        <f>Database!B55</f>
        <v/>
      </c>
      <c r="B55">
        <f>IF(AND(Screener!$D$8&lt;&gt;"",Database!$E55=Screener!$D$8),1,0)</f>
        <v/>
      </c>
      <c r="C55">
        <f>IF(AND(Screener!$D$7&lt;&gt;"",Database!$D55=Screener!$D$7),1,0)</f>
        <v/>
      </c>
      <c r="D55">
        <f>IF(OR(N(Database!$I55)&lt;=0,N(Screener!$D$9)&lt;=0),0,MAX(0,1-ABS(LOG10(N(Database!$I55)/Screener!$D$9))/W_SIZEHW))</f>
        <v/>
      </c>
      <c r="E55">
        <f>IF(OR(Database!$BD55="",Screener!$D$10=""),0,IF(Database!$BD55=Screener!$D$10,1,0))</f>
        <v/>
      </c>
      <c r="F55">
        <f>IF(OR(Database!$BJ55="",Screener!$D$11=""),0,IF(Database!$BJ55=Screener!$D$11,1,0))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IF(OR(N(Database!$BE55)&lt;=0,N(Screener!$D$13)&lt;=0),0,MAX(0,1-ABS(LOG10(N(Database!$BE55)/Screener!$D$13))/W_PEHW))</f>
        <v/>
      </c>
      <c r="J55">
        <f>IF(OR(N(Database!$S55)&lt;=0,N(Screener!$D$14)&lt;=0),0,MAX(0,1-ABS(LOG10(Database!$S55/Screener!$D$14))/0.6))</f>
        <v/>
      </c>
      <c r="K55">
        <f>IF(Database!$B55=Screener!$B$5,-999999,IF(ISNUMBER(SEARCH(","&amp;Database!$A55&amp;",",","&amp;SUBSTITUTE(Screener!$D$17," ","")&amp;",")),2000000,IF(IF(OR(Screener!$B$18="All",AND(Screener!$B$18="With A-share",(Database!$BJ55="Y")),AND(Screener!$B$18="Without A-share",NOT((Database!$BJ55="Y")))),1,0)=0,-999999,IF(Screener!$B$16="cornerstone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Database!BD45</f>
        <v/>
      </c>
      <c r="AF55">
        <f>Database!BJ45</f>
        <v/>
      </c>
      <c r="AG55">
        <f>Database!H45</f>
        <v/>
      </c>
      <c r="AH55">
        <f>Database!BE45</f>
        <v/>
      </c>
    </row>
    <row r="56">
      <c r="A56">
        <f>Database!B56</f>
        <v/>
      </c>
      <c r="B56">
        <f>IF(AND(Screener!$D$8&lt;&gt;"",Database!$E56=Screener!$D$8),1,0)</f>
        <v/>
      </c>
      <c r="C56">
        <f>IF(AND(Screener!$D$7&lt;&gt;"",Database!$D56=Screener!$D$7),1,0)</f>
        <v/>
      </c>
      <c r="D56">
        <f>IF(OR(N(Database!$I56)&lt;=0,N(Screener!$D$9)&lt;=0),0,MAX(0,1-ABS(LOG10(N(Database!$I56)/Screener!$D$9))/W_SIZEHW))</f>
        <v/>
      </c>
      <c r="E56">
        <f>IF(OR(Database!$BD56="",Screener!$D$10=""),0,IF(Database!$BD56=Screener!$D$10,1,0))</f>
        <v/>
      </c>
      <c r="F56">
        <f>IF(OR(Database!$BJ56="",Screener!$D$11=""),0,IF(Database!$BJ56=Screener!$D$11,1,0))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IF(OR(N(Database!$BE56)&lt;=0,N(Screener!$D$13)&lt;=0),0,MAX(0,1-ABS(LOG10(N(Database!$BE56)/Screener!$D$13))/W_PEHW))</f>
        <v/>
      </c>
      <c r="J56">
        <f>IF(OR(N(Database!$S56)&lt;=0,N(Screener!$D$14)&lt;=0),0,MAX(0,1-ABS(LOG10(Database!$S56/Screener!$D$14))/0.6))</f>
        <v/>
      </c>
      <c r="K56">
        <f>IF(Database!$B56=Screener!$B$5,-999999,IF(ISNUMBER(SEARCH(","&amp;Database!$A56&amp;",",","&amp;SUBSTITUTE(Screener!$D$17," ","")&amp;",")),2000000,IF(IF(OR(Screener!$B$18="All",AND(Screener!$B$18="With A-share",(Database!$BJ56="Y")),AND(Screener!$B$18="Without A-share",NOT((Database!$BJ56="Y")))),1,0)=0,-999999,IF(Screener!$B$16="cornerstone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Database!BD46</f>
        <v/>
      </c>
      <c r="AF56">
        <f>Database!BJ46</f>
        <v/>
      </c>
      <c r="AG56">
        <f>Database!H46</f>
        <v/>
      </c>
      <c r="AH56">
        <f>Database!BE46</f>
        <v/>
      </c>
    </row>
    <row r="57">
      <c r="A57">
        <f>Database!B57</f>
        <v/>
      </c>
      <c r="B57">
        <f>IF(AND(Screener!$D$8&lt;&gt;"",Database!$E57=Screener!$D$8),1,0)</f>
        <v/>
      </c>
      <c r="C57">
        <f>IF(AND(Screener!$D$7&lt;&gt;"",Database!$D57=Screener!$D$7),1,0)</f>
        <v/>
      </c>
      <c r="D57">
        <f>IF(OR(N(Database!$I57)&lt;=0,N(Screener!$D$9)&lt;=0),0,MAX(0,1-ABS(LOG10(N(Database!$I57)/Screener!$D$9))/W_SIZEHW))</f>
        <v/>
      </c>
      <c r="E57">
        <f>IF(OR(Database!$BD57="",Screener!$D$10=""),0,IF(Database!$BD57=Screener!$D$10,1,0))</f>
        <v/>
      </c>
      <c r="F57">
        <f>IF(OR(Database!$BJ57="",Screener!$D$11=""),0,IF(Database!$BJ57=Screener!$D$11,1,0))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IF(OR(N(Database!$BE57)&lt;=0,N(Screener!$D$13)&lt;=0),0,MAX(0,1-ABS(LOG10(N(Database!$BE57)/Screener!$D$13))/W_PEHW))</f>
        <v/>
      </c>
      <c r="J57">
        <f>IF(OR(N(Database!$S57)&lt;=0,N(Screener!$D$14)&lt;=0),0,MAX(0,1-ABS(LOG10(Database!$S57/Screener!$D$14))/0.6))</f>
        <v/>
      </c>
      <c r="K57">
        <f>IF(Database!$B57=Screener!$B$5,-999999,IF(ISNUMBER(SEARCH(","&amp;Database!$A57&amp;",",","&amp;SUBSTITUTE(Screener!$D$17," ","")&amp;",")),2000000,IF(IF(OR(Screener!$B$18="All",AND(Screener!$B$18="With A-share",(Database!$BJ57="Y")),AND(Screener!$B$18="Without A-share",NOT((Database!$BJ57="Y")))),1,0)=0,-999999,IF(Screener!$B$16="cornerstone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Database!BD47</f>
        <v/>
      </c>
      <c r="AF57">
        <f>Database!BJ47</f>
        <v/>
      </c>
      <c r="AG57">
        <f>Database!H47</f>
        <v/>
      </c>
      <c r="AH57">
        <f>Database!BE47</f>
        <v/>
      </c>
    </row>
    <row r="58">
      <c r="A58">
        <f>Database!B58</f>
        <v/>
      </c>
      <c r="B58">
        <f>IF(AND(Screener!$D$8&lt;&gt;"",Database!$E58=Screener!$D$8),1,0)</f>
        <v/>
      </c>
      <c r="C58">
        <f>IF(AND(Screener!$D$7&lt;&gt;"",Database!$D58=Screener!$D$7),1,0)</f>
        <v/>
      </c>
      <c r="D58">
        <f>IF(OR(N(Database!$I58)&lt;=0,N(Screener!$D$9)&lt;=0),0,MAX(0,1-ABS(LOG10(N(Database!$I58)/Screener!$D$9))/W_SIZEHW))</f>
        <v/>
      </c>
      <c r="E58">
        <f>IF(OR(Database!$BD58="",Screener!$D$10=""),0,IF(Database!$BD58=Screener!$D$10,1,0))</f>
        <v/>
      </c>
      <c r="F58">
        <f>IF(OR(Database!$BJ58="",Screener!$D$11=""),0,IF(Database!$BJ58=Screener!$D$11,1,0))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IF(OR(N(Database!$BE58)&lt;=0,N(Screener!$D$13)&lt;=0),0,MAX(0,1-ABS(LOG10(N(Database!$BE58)/Screener!$D$13))/W_PEHW))</f>
        <v/>
      </c>
      <c r="J58">
        <f>IF(OR(N(Database!$S58)&lt;=0,N(Screener!$D$14)&lt;=0),0,MAX(0,1-ABS(LOG10(Database!$S58/Screener!$D$14))/0.6))</f>
        <v/>
      </c>
      <c r="K58">
        <f>IF(Database!$B58=Screener!$B$5,-999999,IF(ISNUMBER(SEARCH(","&amp;Database!$A58&amp;",",","&amp;SUBSTITUTE(Screener!$D$17," ","")&amp;",")),2000000,IF(IF(OR(Screener!$B$18="All",AND(Screener!$B$18="With A-share",(Database!$BJ58="Y")),AND(Screener!$B$18="Without A-share",NOT((Database!$BJ58="Y")))),1,0)=0,-999999,IF(Screener!$B$16="cornerstone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Database!BD48</f>
        <v/>
      </c>
      <c r="AF58">
        <f>Database!BJ48</f>
        <v/>
      </c>
      <c r="AG58">
        <f>Database!H48</f>
        <v/>
      </c>
      <c r="AH58">
        <f>Database!BE48</f>
        <v/>
      </c>
    </row>
    <row r="59">
      <c r="A59">
        <f>Database!B59</f>
        <v/>
      </c>
      <c r="B59">
        <f>IF(AND(Screener!$D$8&lt;&gt;"",Database!$E59=Screener!$D$8),1,0)</f>
        <v/>
      </c>
      <c r="C59">
        <f>IF(AND(Screener!$D$7&lt;&gt;"",Database!$D59=Screener!$D$7),1,0)</f>
        <v/>
      </c>
      <c r="D59">
        <f>IF(OR(N(Database!$I59)&lt;=0,N(Screener!$D$9)&lt;=0),0,MAX(0,1-ABS(LOG10(N(Database!$I59)/Screener!$D$9))/W_SIZEHW))</f>
        <v/>
      </c>
      <c r="E59">
        <f>IF(OR(Database!$BD59="",Screener!$D$10=""),0,IF(Database!$BD59=Screener!$D$10,1,0))</f>
        <v/>
      </c>
      <c r="F59">
        <f>IF(OR(Database!$BJ59="",Screener!$D$11=""),0,IF(Database!$BJ59=Screener!$D$11,1,0))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IF(OR(N(Database!$BE59)&lt;=0,N(Screener!$D$13)&lt;=0),0,MAX(0,1-ABS(LOG10(N(Database!$BE59)/Screener!$D$13))/W_PEHW))</f>
        <v/>
      </c>
      <c r="J59">
        <f>IF(OR(N(Database!$S59)&lt;=0,N(Screener!$D$14)&lt;=0),0,MAX(0,1-ABS(LOG10(Database!$S59/Screener!$D$14))/0.6))</f>
        <v/>
      </c>
      <c r="K59">
        <f>IF(Database!$B59=Screener!$B$5,-999999,IF(ISNUMBER(SEARCH(","&amp;Database!$A59&amp;",",","&amp;SUBSTITUTE(Screener!$D$17," ","")&amp;",")),2000000,IF(IF(OR(Screener!$B$18="All",AND(Screener!$B$18="With A-share",(Database!$BJ59="Y")),AND(Screener!$B$18="Without A-share",NOT((Database!$BJ59="Y")))),1,0)=0,-999999,IF(Screener!$B$16="cornerstone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Database!BD49</f>
        <v/>
      </c>
      <c r="AF59">
        <f>Database!BJ49</f>
        <v/>
      </c>
      <c r="AG59">
        <f>Database!H49</f>
        <v/>
      </c>
      <c r="AH59">
        <f>Database!BE49</f>
        <v/>
      </c>
    </row>
    <row r="60">
      <c r="A60">
        <f>Database!B60</f>
        <v/>
      </c>
      <c r="B60">
        <f>IF(AND(Screener!$D$8&lt;&gt;"",Database!$E60=Screener!$D$8),1,0)</f>
        <v/>
      </c>
      <c r="C60">
        <f>IF(AND(Screener!$D$7&lt;&gt;"",Database!$D60=Screener!$D$7),1,0)</f>
        <v/>
      </c>
      <c r="D60">
        <f>IF(OR(N(Database!$I60)&lt;=0,N(Screener!$D$9)&lt;=0),0,MAX(0,1-ABS(LOG10(N(Database!$I60)/Screener!$D$9))/W_SIZEHW))</f>
        <v/>
      </c>
      <c r="E60">
        <f>IF(OR(Database!$BD60="",Screener!$D$10=""),0,IF(Database!$BD60=Screener!$D$10,1,0))</f>
        <v/>
      </c>
      <c r="F60">
        <f>IF(OR(Database!$BJ60="",Screener!$D$11=""),0,IF(Database!$BJ60=Screener!$D$11,1,0))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IF(OR(N(Database!$BE60)&lt;=0,N(Screener!$D$13)&lt;=0),0,MAX(0,1-ABS(LOG10(N(Database!$BE60)/Screener!$D$13))/W_PEHW))</f>
        <v/>
      </c>
      <c r="J60">
        <f>IF(OR(N(Database!$S60)&lt;=0,N(Screener!$D$14)&lt;=0),0,MAX(0,1-ABS(LOG10(Database!$S60/Screener!$D$14))/0.6))</f>
        <v/>
      </c>
      <c r="K60">
        <f>IF(Database!$B60=Screener!$B$5,-999999,IF(ISNUMBER(SEARCH(","&amp;Database!$A60&amp;",",","&amp;SUBSTITUTE(Screener!$D$17," ","")&amp;",")),2000000,IF(IF(OR(Screener!$B$18="All",AND(Screener!$B$18="With A-share",(Database!$BJ60="Y")),AND(Screener!$B$18="Without A-share",NOT((Database!$BJ60="Y")))),1,0)=0,-999999,IF(Screener!$B$16="cornerstone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Database!BD50</f>
        <v/>
      </c>
      <c r="AF60">
        <f>Database!BJ50</f>
        <v/>
      </c>
      <c r="AG60">
        <f>Database!H50</f>
        <v/>
      </c>
      <c r="AH60">
        <f>Database!BE50</f>
        <v/>
      </c>
    </row>
    <row r="61">
      <c r="A61">
        <f>Database!B61</f>
        <v/>
      </c>
      <c r="B61">
        <f>IF(AND(Screener!$D$8&lt;&gt;"",Database!$E61=Screener!$D$8),1,0)</f>
        <v/>
      </c>
      <c r="C61">
        <f>IF(AND(Screener!$D$7&lt;&gt;"",Database!$D61=Screener!$D$7),1,0)</f>
        <v/>
      </c>
      <c r="D61">
        <f>IF(OR(N(Database!$I61)&lt;=0,N(Screener!$D$9)&lt;=0),0,MAX(0,1-ABS(LOG10(N(Database!$I61)/Screener!$D$9))/W_SIZEHW))</f>
        <v/>
      </c>
      <c r="E61">
        <f>IF(OR(Database!$BD61="",Screener!$D$10=""),0,IF(Database!$BD61=Screener!$D$10,1,0))</f>
        <v/>
      </c>
      <c r="F61">
        <f>IF(OR(Database!$BJ61="",Screener!$D$11=""),0,IF(Database!$BJ61=Screener!$D$11,1,0))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IF(OR(N(Database!$BE61)&lt;=0,N(Screener!$D$13)&lt;=0),0,MAX(0,1-ABS(LOG10(N(Database!$BE61)/Screener!$D$13))/W_PEHW))</f>
        <v/>
      </c>
      <c r="J61">
        <f>IF(OR(N(Database!$S61)&lt;=0,N(Screener!$D$14)&lt;=0),0,MAX(0,1-ABS(LOG10(Database!$S61/Screener!$D$14))/0.6))</f>
        <v/>
      </c>
      <c r="K61">
        <f>IF(Database!$B61=Screener!$B$5,-999999,IF(ISNUMBER(SEARCH(","&amp;Database!$A61&amp;",",","&amp;SUBSTITUTE(Screener!$D$17," ","")&amp;",")),2000000,IF(IF(OR(Screener!$B$18="All",AND(Screener!$B$18="With A-share",(Database!$BJ61="Y")),AND(Screener!$B$18="Without A-share",NOT((Database!$BJ61="Y")))),1,0)=0,-999999,IF(Screener!$B$16="cornerstone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Database!BD51</f>
        <v/>
      </c>
      <c r="AF61">
        <f>Database!BJ51</f>
        <v/>
      </c>
      <c r="AG61">
        <f>Database!H51</f>
        <v/>
      </c>
      <c r="AH61">
        <f>Database!BE51</f>
        <v/>
      </c>
    </row>
    <row r="62">
      <c r="A62">
        <f>Database!B62</f>
        <v/>
      </c>
      <c r="B62">
        <f>IF(AND(Screener!$D$8&lt;&gt;"",Database!$E62=Screener!$D$8),1,0)</f>
        <v/>
      </c>
      <c r="C62">
        <f>IF(AND(Screener!$D$7&lt;&gt;"",Database!$D62=Screener!$D$7),1,0)</f>
        <v/>
      </c>
      <c r="D62">
        <f>IF(OR(N(Database!$I62)&lt;=0,N(Screener!$D$9)&lt;=0),0,MAX(0,1-ABS(LOG10(N(Database!$I62)/Screener!$D$9))/W_SIZEHW))</f>
        <v/>
      </c>
      <c r="E62">
        <f>IF(OR(Database!$BD62="",Screener!$D$10=""),0,IF(Database!$BD62=Screener!$D$10,1,0))</f>
        <v/>
      </c>
      <c r="F62">
        <f>IF(OR(Database!$BJ62="",Screener!$D$11=""),0,IF(Database!$BJ62=Screener!$D$11,1,0))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IF(OR(N(Database!$BE62)&lt;=0,N(Screener!$D$13)&lt;=0),0,MAX(0,1-ABS(LOG10(N(Database!$BE62)/Screener!$D$13))/W_PEHW))</f>
        <v/>
      </c>
      <c r="J62">
        <f>IF(OR(N(Database!$S62)&lt;=0,N(Screener!$D$14)&lt;=0),0,MAX(0,1-ABS(LOG10(Database!$S62/Screener!$D$14))/0.6))</f>
        <v/>
      </c>
      <c r="K62">
        <f>IF(Database!$B62=Screener!$B$5,-999999,IF(ISNUMBER(SEARCH(","&amp;Database!$A62&amp;",",","&amp;SUBSTITUTE(Screener!$D$17," ","")&amp;",")),2000000,IF(IF(OR(Screener!$B$18="All",AND(Screener!$B$18="With A-share",(Database!$BJ62="Y")),AND(Screener!$B$18="Without A-share",NOT((Database!$BJ62="Y")))),1,0)=0,-999999,IF(Screener!$B$16="cornerstone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Database!BD52</f>
        <v/>
      </c>
      <c r="AF62">
        <f>Database!BJ52</f>
        <v/>
      </c>
      <c r="AG62">
        <f>Database!H52</f>
        <v/>
      </c>
      <c r="AH62">
        <f>Database!BE52</f>
        <v/>
      </c>
    </row>
    <row r="63">
      <c r="A63">
        <f>Database!B63</f>
        <v/>
      </c>
      <c r="B63">
        <f>IF(AND(Screener!$D$8&lt;&gt;"",Database!$E63=Screener!$D$8),1,0)</f>
        <v/>
      </c>
      <c r="C63">
        <f>IF(AND(Screener!$D$7&lt;&gt;"",Database!$D63=Screener!$D$7),1,0)</f>
        <v/>
      </c>
      <c r="D63">
        <f>IF(OR(N(Database!$I63)&lt;=0,N(Screener!$D$9)&lt;=0),0,MAX(0,1-ABS(LOG10(N(Database!$I63)/Screener!$D$9))/W_SIZEHW))</f>
        <v/>
      </c>
      <c r="E63">
        <f>IF(OR(Database!$BD63="",Screener!$D$10=""),0,IF(Database!$BD63=Screener!$D$10,1,0))</f>
        <v/>
      </c>
      <c r="F63">
        <f>IF(OR(Database!$BJ63="",Screener!$D$11=""),0,IF(Database!$BJ63=Screener!$D$11,1,0))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IF(OR(N(Database!$BE63)&lt;=0,N(Screener!$D$13)&lt;=0),0,MAX(0,1-ABS(LOG10(N(Database!$BE63)/Screener!$D$13))/W_PEHW))</f>
        <v/>
      </c>
      <c r="J63">
        <f>IF(OR(N(Database!$S63)&lt;=0,N(Screener!$D$14)&lt;=0),0,MAX(0,1-ABS(LOG10(Database!$S63/Screener!$D$14))/0.6))</f>
        <v/>
      </c>
      <c r="K63">
        <f>IF(Database!$B63=Screener!$B$5,-999999,IF(ISNUMBER(SEARCH(","&amp;Database!$A63&amp;",",","&amp;SUBSTITUTE(Screener!$D$17," ","")&amp;",")),2000000,IF(IF(OR(Screener!$B$18="All",AND(Screener!$B$18="With A-share",(Database!$BJ63="Y")),AND(Screener!$B$18="Without A-share",NOT((Database!$BJ63="Y")))),1,0)=0,-999999,IF(Screener!$B$16="cornerstone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Database!BD53</f>
        <v/>
      </c>
      <c r="AF63">
        <f>Database!BJ53</f>
        <v/>
      </c>
      <c r="AG63">
        <f>Database!H53</f>
        <v/>
      </c>
      <c r="AH63">
        <f>Database!BE53</f>
        <v/>
      </c>
    </row>
    <row r="64">
      <c r="A64">
        <f>Database!B64</f>
        <v/>
      </c>
      <c r="B64">
        <f>IF(AND(Screener!$D$8&lt;&gt;"",Database!$E64=Screener!$D$8),1,0)</f>
        <v/>
      </c>
      <c r="C64">
        <f>IF(AND(Screener!$D$7&lt;&gt;"",Database!$D64=Screener!$D$7),1,0)</f>
        <v/>
      </c>
      <c r="D64">
        <f>IF(OR(N(Database!$I64)&lt;=0,N(Screener!$D$9)&lt;=0),0,MAX(0,1-ABS(LOG10(N(Database!$I64)/Screener!$D$9))/W_SIZEHW))</f>
        <v/>
      </c>
      <c r="E64">
        <f>IF(OR(Database!$BD64="",Screener!$D$10=""),0,IF(Database!$BD64=Screener!$D$10,1,0))</f>
        <v/>
      </c>
      <c r="F64">
        <f>IF(OR(Database!$BJ64="",Screener!$D$11=""),0,IF(Database!$BJ64=Screener!$D$11,1,0))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IF(OR(N(Database!$BE64)&lt;=0,N(Screener!$D$13)&lt;=0),0,MAX(0,1-ABS(LOG10(N(Database!$BE64)/Screener!$D$13))/W_PEHW))</f>
        <v/>
      </c>
      <c r="J64">
        <f>IF(OR(N(Database!$S64)&lt;=0,N(Screener!$D$14)&lt;=0),0,MAX(0,1-ABS(LOG10(Database!$S64/Screener!$D$14))/0.6))</f>
        <v/>
      </c>
      <c r="K64">
        <f>IF(Database!$B64=Screener!$B$5,-999999,IF(ISNUMBER(SEARCH(","&amp;Database!$A64&amp;",",","&amp;SUBSTITUTE(Screener!$D$17," ","")&amp;",")),2000000,IF(IF(OR(Screener!$B$18="All",AND(Screener!$B$18="With A-share",(Database!$BJ64="Y")),AND(Screener!$B$18="Without A-share",NOT((Database!$BJ64="Y")))),1,0)=0,-999999,IF(Screener!$B$16="cornerstone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Database!BD54</f>
        <v/>
      </c>
      <c r="AF64">
        <f>Database!BJ54</f>
        <v/>
      </c>
      <c r="AG64">
        <f>Database!H54</f>
        <v/>
      </c>
      <c r="AH64">
        <f>Database!BE54</f>
        <v/>
      </c>
    </row>
    <row r="65">
      <c r="A65">
        <f>Database!B65</f>
        <v/>
      </c>
      <c r="B65">
        <f>IF(AND(Screener!$D$8&lt;&gt;"",Database!$E65=Screener!$D$8),1,0)</f>
        <v/>
      </c>
      <c r="C65">
        <f>IF(AND(Screener!$D$7&lt;&gt;"",Database!$D65=Screener!$D$7),1,0)</f>
        <v/>
      </c>
      <c r="D65">
        <f>IF(OR(N(Database!$I65)&lt;=0,N(Screener!$D$9)&lt;=0),0,MAX(0,1-ABS(LOG10(N(Database!$I65)/Screener!$D$9))/W_SIZEHW))</f>
        <v/>
      </c>
      <c r="E65">
        <f>IF(OR(Database!$BD65="",Screener!$D$10=""),0,IF(Database!$BD65=Screener!$D$10,1,0))</f>
        <v/>
      </c>
      <c r="F65">
        <f>IF(OR(Database!$BJ65="",Screener!$D$11=""),0,IF(Database!$BJ65=Screener!$D$11,1,0))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IF(OR(N(Database!$BE65)&lt;=0,N(Screener!$D$13)&lt;=0),0,MAX(0,1-ABS(LOG10(N(Database!$BE65)/Screener!$D$13))/W_PEHW))</f>
        <v/>
      </c>
      <c r="J65">
        <f>IF(OR(N(Database!$S65)&lt;=0,N(Screener!$D$14)&lt;=0),0,MAX(0,1-ABS(LOG10(Database!$S65/Screener!$D$14))/0.6))</f>
        <v/>
      </c>
      <c r="K65">
        <f>IF(Database!$B65=Screener!$B$5,-999999,IF(ISNUMBER(SEARCH(","&amp;Database!$A65&amp;",",","&amp;SUBSTITUTE(Screener!$D$17," ","")&amp;",")),2000000,IF(IF(OR(Screener!$B$18="All",AND(Screener!$B$18="With A-share",(Database!$BJ65="Y")),AND(Screener!$B$18="Without A-share",NOT((Database!$BJ65="Y")))),1,0)=0,-999999,IF(Screener!$B$16="cornerstone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Database!BD55</f>
        <v/>
      </c>
      <c r="AF65">
        <f>Database!BJ55</f>
        <v/>
      </c>
      <c r="AG65">
        <f>Database!H55</f>
        <v/>
      </c>
      <c r="AH65">
        <f>Database!BE55</f>
        <v/>
      </c>
    </row>
    <row r="66">
      <c r="A66">
        <f>Database!B66</f>
        <v/>
      </c>
      <c r="B66">
        <f>IF(AND(Screener!$D$8&lt;&gt;"",Database!$E66=Screener!$D$8),1,0)</f>
        <v/>
      </c>
      <c r="C66">
        <f>IF(AND(Screener!$D$7&lt;&gt;"",Database!$D66=Screener!$D$7),1,0)</f>
        <v/>
      </c>
      <c r="D66">
        <f>IF(OR(N(Database!$I66)&lt;=0,N(Screener!$D$9)&lt;=0),0,MAX(0,1-ABS(LOG10(N(Database!$I66)/Screener!$D$9))/W_SIZEHW))</f>
        <v/>
      </c>
      <c r="E66">
        <f>IF(OR(Database!$BD66="",Screener!$D$10=""),0,IF(Database!$BD66=Screener!$D$10,1,0))</f>
        <v/>
      </c>
      <c r="F66">
        <f>IF(OR(Database!$BJ66="",Screener!$D$11=""),0,IF(Database!$BJ66=Screener!$D$11,1,0))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IF(OR(N(Database!$BE66)&lt;=0,N(Screener!$D$13)&lt;=0),0,MAX(0,1-ABS(LOG10(N(Database!$BE66)/Screener!$D$13))/W_PEHW))</f>
        <v/>
      </c>
      <c r="J66">
        <f>IF(OR(N(Database!$S66)&lt;=0,N(Screener!$D$14)&lt;=0),0,MAX(0,1-ABS(LOG10(Database!$S66/Screener!$D$14))/0.6))</f>
        <v/>
      </c>
      <c r="K66">
        <f>IF(Database!$B66=Screener!$B$5,-999999,IF(ISNUMBER(SEARCH(","&amp;Database!$A66&amp;",",","&amp;SUBSTITUTE(Screener!$D$17," ","")&amp;",")),2000000,IF(IF(OR(Screener!$B$18="All",AND(Screener!$B$18="With A-share",(Database!$BJ66="Y")),AND(Screener!$B$18="Without A-share",NOT((Database!$BJ66="Y")))),1,0)=0,-999999,IF(Screener!$B$16="cornerstone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Database!BD56</f>
        <v/>
      </c>
      <c r="AF66">
        <f>Database!BJ56</f>
        <v/>
      </c>
      <c r="AG66">
        <f>Database!H56</f>
        <v/>
      </c>
      <c r="AH66">
        <f>Database!BE56</f>
        <v/>
      </c>
    </row>
    <row r="67">
      <c r="A67">
        <f>Database!B67</f>
        <v/>
      </c>
      <c r="B67">
        <f>IF(AND(Screener!$D$8&lt;&gt;"",Database!$E67=Screener!$D$8),1,0)</f>
        <v/>
      </c>
      <c r="C67">
        <f>IF(AND(Screener!$D$7&lt;&gt;"",Database!$D67=Screener!$D$7),1,0)</f>
        <v/>
      </c>
      <c r="D67">
        <f>IF(OR(N(Database!$I67)&lt;=0,N(Screener!$D$9)&lt;=0),0,MAX(0,1-ABS(LOG10(N(Database!$I67)/Screener!$D$9))/W_SIZEHW))</f>
        <v/>
      </c>
      <c r="E67">
        <f>IF(OR(Database!$BD67="",Screener!$D$10=""),0,IF(Database!$BD67=Screener!$D$10,1,0))</f>
        <v/>
      </c>
      <c r="F67">
        <f>IF(OR(Database!$BJ67="",Screener!$D$11=""),0,IF(Database!$BJ67=Screener!$D$11,1,0))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IF(OR(N(Database!$BE67)&lt;=0,N(Screener!$D$13)&lt;=0),0,MAX(0,1-ABS(LOG10(N(Database!$BE67)/Screener!$D$13))/W_PEHW))</f>
        <v/>
      </c>
      <c r="J67">
        <f>IF(OR(N(Database!$S67)&lt;=0,N(Screener!$D$14)&lt;=0),0,MAX(0,1-ABS(LOG10(Database!$S67/Screener!$D$14))/0.6))</f>
        <v/>
      </c>
      <c r="K67">
        <f>IF(Database!$B67=Screener!$B$5,-999999,IF(ISNUMBER(SEARCH(","&amp;Database!$A67&amp;",",","&amp;SUBSTITUTE(Screener!$D$17," ","")&amp;",")),2000000,IF(IF(OR(Screener!$B$18="All",AND(Screener!$B$18="With A-share",(Database!$BJ67="Y")),AND(Screener!$B$18="Without A-share",NOT((Database!$BJ67="Y")))),1,0)=0,-999999,IF(Screener!$B$16="cornerstone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Database!BD57</f>
        <v/>
      </c>
      <c r="AF67">
        <f>Database!BJ57</f>
        <v/>
      </c>
      <c r="AG67">
        <f>Database!H57</f>
        <v/>
      </c>
      <c r="AH67">
        <f>Database!BE57</f>
        <v/>
      </c>
    </row>
    <row r="68">
      <c r="A68">
        <f>Database!B68</f>
        <v/>
      </c>
      <c r="B68">
        <f>IF(AND(Screener!$D$8&lt;&gt;"",Database!$E68=Screener!$D$8),1,0)</f>
        <v/>
      </c>
      <c r="C68">
        <f>IF(AND(Screener!$D$7&lt;&gt;"",Database!$D68=Screener!$D$7),1,0)</f>
        <v/>
      </c>
      <c r="D68">
        <f>IF(OR(N(Database!$I68)&lt;=0,N(Screener!$D$9)&lt;=0),0,MAX(0,1-ABS(LOG10(N(Database!$I68)/Screener!$D$9))/W_SIZEHW))</f>
        <v/>
      </c>
      <c r="E68">
        <f>IF(OR(Database!$BD68="",Screener!$D$10=""),0,IF(Database!$BD68=Screener!$D$10,1,0))</f>
        <v/>
      </c>
      <c r="F68">
        <f>IF(OR(Database!$BJ68="",Screener!$D$11=""),0,IF(Database!$BJ68=Screener!$D$11,1,0))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IF(OR(N(Database!$BE68)&lt;=0,N(Screener!$D$13)&lt;=0),0,MAX(0,1-ABS(LOG10(N(Database!$BE68)/Screener!$D$13))/W_PEHW))</f>
        <v/>
      </c>
      <c r="J68">
        <f>IF(OR(N(Database!$S68)&lt;=0,N(Screener!$D$14)&lt;=0),0,MAX(0,1-ABS(LOG10(Database!$S68/Screener!$D$14))/0.6))</f>
        <v/>
      </c>
      <c r="K68">
        <f>IF(Database!$B68=Screener!$B$5,-999999,IF(ISNUMBER(SEARCH(","&amp;Database!$A68&amp;",",","&amp;SUBSTITUTE(Screener!$D$17," ","")&amp;",")),2000000,IF(IF(OR(Screener!$B$18="All",AND(Screener!$B$18="With A-share",(Database!$BJ68="Y")),AND(Screener!$B$18="Without A-share",NOT((Database!$BJ68="Y")))),1,0)=0,-999999,IF(Screener!$B$16="cornerstone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Database!BD58</f>
        <v/>
      </c>
      <c r="AF68">
        <f>Database!BJ58</f>
        <v/>
      </c>
      <c r="AG68">
        <f>Database!H58</f>
        <v/>
      </c>
      <c r="AH68">
        <f>Database!BE58</f>
        <v/>
      </c>
    </row>
    <row r="69">
      <c r="A69">
        <f>Database!B69</f>
        <v/>
      </c>
      <c r="B69">
        <f>IF(AND(Screener!$D$8&lt;&gt;"",Database!$E69=Screener!$D$8),1,0)</f>
        <v/>
      </c>
      <c r="C69">
        <f>IF(AND(Screener!$D$7&lt;&gt;"",Database!$D69=Screener!$D$7),1,0)</f>
        <v/>
      </c>
      <c r="D69">
        <f>IF(OR(N(Database!$I69)&lt;=0,N(Screener!$D$9)&lt;=0),0,MAX(0,1-ABS(LOG10(N(Database!$I69)/Screener!$D$9))/W_SIZEHW))</f>
        <v/>
      </c>
      <c r="E69">
        <f>IF(OR(Database!$BD69="",Screener!$D$10=""),0,IF(Database!$BD69=Screener!$D$10,1,0))</f>
        <v/>
      </c>
      <c r="F69">
        <f>IF(OR(Database!$BJ69="",Screener!$D$11=""),0,IF(Database!$BJ69=Screener!$D$11,1,0))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IF(OR(N(Database!$BE69)&lt;=0,N(Screener!$D$13)&lt;=0),0,MAX(0,1-ABS(LOG10(N(Database!$BE69)/Screener!$D$13))/W_PEHW))</f>
        <v/>
      </c>
      <c r="J69">
        <f>IF(OR(N(Database!$S69)&lt;=0,N(Screener!$D$14)&lt;=0),0,MAX(0,1-ABS(LOG10(Database!$S69/Screener!$D$14))/0.6))</f>
        <v/>
      </c>
      <c r="K69">
        <f>IF(Database!$B69=Screener!$B$5,-999999,IF(ISNUMBER(SEARCH(","&amp;Database!$A69&amp;",",","&amp;SUBSTITUTE(Screener!$D$17," ","")&amp;",")),2000000,IF(IF(OR(Screener!$B$18="All",AND(Screener!$B$18="With A-share",(Database!$BJ69="Y")),AND(Screener!$B$18="Without A-share",NOT((Database!$BJ69="Y")))),1,0)=0,-999999,IF(Screener!$B$16="cornerstone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Database!BD59</f>
        <v/>
      </c>
      <c r="AF69">
        <f>Database!BJ59</f>
        <v/>
      </c>
      <c r="AG69">
        <f>Database!H59</f>
        <v/>
      </c>
      <c r="AH69">
        <f>Database!BE59</f>
        <v/>
      </c>
    </row>
    <row r="70">
      <c r="A70">
        <f>Database!B70</f>
        <v/>
      </c>
      <c r="B70">
        <f>IF(AND(Screener!$D$8&lt;&gt;"",Database!$E70=Screener!$D$8),1,0)</f>
        <v/>
      </c>
      <c r="C70">
        <f>IF(AND(Screener!$D$7&lt;&gt;"",Database!$D70=Screener!$D$7),1,0)</f>
        <v/>
      </c>
      <c r="D70">
        <f>IF(OR(N(Database!$I70)&lt;=0,N(Screener!$D$9)&lt;=0),0,MAX(0,1-ABS(LOG10(N(Database!$I70)/Screener!$D$9))/W_SIZEHW))</f>
        <v/>
      </c>
      <c r="E70">
        <f>IF(OR(Database!$BD70="",Screener!$D$10=""),0,IF(Database!$BD70=Screener!$D$10,1,0))</f>
        <v/>
      </c>
      <c r="F70">
        <f>IF(OR(Database!$BJ70="",Screener!$D$11=""),0,IF(Database!$BJ70=Screener!$D$11,1,0))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IF(OR(N(Database!$BE70)&lt;=0,N(Screener!$D$13)&lt;=0),0,MAX(0,1-ABS(LOG10(N(Database!$BE70)/Screener!$D$13))/W_PEHW))</f>
        <v/>
      </c>
      <c r="J70">
        <f>IF(OR(N(Database!$S70)&lt;=0,N(Screener!$D$14)&lt;=0),0,MAX(0,1-ABS(LOG10(Database!$S70/Screener!$D$14))/0.6))</f>
        <v/>
      </c>
      <c r="K70">
        <f>IF(Database!$B70=Screener!$B$5,-999999,IF(ISNUMBER(SEARCH(","&amp;Database!$A70&amp;",",","&amp;SUBSTITUTE(Screener!$D$17," ","")&amp;",")),2000000,IF(IF(OR(Screener!$B$18="All",AND(Screener!$B$18="With A-share",(Database!$BJ70="Y")),AND(Screener!$B$18="Without A-share",NOT((Database!$BJ70="Y")))),1,0)=0,-999999,IF(Screener!$B$16="cornerstone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Database!BD60</f>
        <v/>
      </c>
      <c r="AF70">
        <f>Database!BJ60</f>
        <v/>
      </c>
      <c r="AG70">
        <f>Database!H60</f>
        <v/>
      </c>
      <c r="AH70">
        <f>Database!BE60</f>
        <v/>
      </c>
    </row>
    <row r="71">
      <c r="A71">
        <f>Database!B71</f>
        <v/>
      </c>
      <c r="B71">
        <f>IF(AND(Screener!$D$8&lt;&gt;"",Database!$E71=Screener!$D$8),1,0)</f>
        <v/>
      </c>
      <c r="C71">
        <f>IF(AND(Screener!$D$7&lt;&gt;"",Database!$D71=Screener!$D$7),1,0)</f>
        <v/>
      </c>
      <c r="D71">
        <f>IF(OR(N(Database!$I71)&lt;=0,N(Screener!$D$9)&lt;=0),0,MAX(0,1-ABS(LOG10(N(Database!$I71)/Screener!$D$9))/W_SIZEHW))</f>
        <v/>
      </c>
      <c r="E71">
        <f>IF(OR(Database!$BD71="",Screener!$D$10=""),0,IF(Database!$BD71=Screener!$D$10,1,0))</f>
        <v/>
      </c>
      <c r="F71">
        <f>IF(OR(Database!$BJ71="",Screener!$D$11=""),0,IF(Database!$BJ71=Screener!$D$11,1,0))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IF(OR(N(Database!$BE71)&lt;=0,N(Screener!$D$13)&lt;=0),0,MAX(0,1-ABS(LOG10(N(Database!$BE71)/Screener!$D$13))/W_PEHW))</f>
        <v/>
      </c>
      <c r="J71">
        <f>IF(OR(N(Database!$S71)&lt;=0,N(Screener!$D$14)&lt;=0),0,MAX(0,1-ABS(LOG10(Database!$S71/Screener!$D$14))/0.6))</f>
        <v/>
      </c>
      <c r="K71">
        <f>IF(Database!$B71=Screener!$B$5,-999999,IF(ISNUMBER(SEARCH(","&amp;Database!$A71&amp;",",","&amp;SUBSTITUTE(Screener!$D$17," ","")&amp;",")),2000000,IF(IF(OR(Screener!$B$18="All",AND(Screener!$B$18="With A-share",(Database!$BJ71="Y")),AND(Screener!$B$18="Without A-share",NOT((Database!$BJ71="Y")))),1,0)=0,-999999,IF(Screener!$B$16="cornerstone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Database!BD61</f>
        <v/>
      </c>
      <c r="AF71">
        <f>Database!BJ61</f>
        <v/>
      </c>
      <c r="AG71">
        <f>Database!H61</f>
        <v/>
      </c>
      <c r="AH71">
        <f>Database!BE61</f>
        <v/>
      </c>
    </row>
    <row r="72">
      <c r="A72">
        <f>Database!B72</f>
        <v/>
      </c>
      <c r="B72">
        <f>IF(AND(Screener!$D$8&lt;&gt;"",Database!$E72=Screener!$D$8),1,0)</f>
        <v/>
      </c>
      <c r="C72">
        <f>IF(AND(Screener!$D$7&lt;&gt;"",Database!$D72=Screener!$D$7),1,0)</f>
        <v/>
      </c>
      <c r="D72">
        <f>IF(OR(N(Database!$I72)&lt;=0,N(Screener!$D$9)&lt;=0),0,MAX(0,1-ABS(LOG10(N(Database!$I72)/Screener!$D$9))/W_SIZEHW))</f>
        <v/>
      </c>
      <c r="E72">
        <f>IF(OR(Database!$BD72="",Screener!$D$10=""),0,IF(Database!$BD72=Screener!$D$10,1,0))</f>
        <v/>
      </c>
      <c r="F72">
        <f>IF(OR(Database!$BJ72="",Screener!$D$11=""),0,IF(Database!$BJ72=Screener!$D$11,1,0))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IF(OR(N(Database!$BE72)&lt;=0,N(Screener!$D$13)&lt;=0),0,MAX(0,1-ABS(LOG10(N(Database!$BE72)/Screener!$D$13))/W_PEHW))</f>
        <v/>
      </c>
      <c r="J72">
        <f>IF(OR(N(Database!$S72)&lt;=0,N(Screener!$D$14)&lt;=0),0,MAX(0,1-ABS(LOG10(Database!$S72/Screener!$D$14))/0.6))</f>
        <v/>
      </c>
      <c r="K72">
        <f>IF(Database!$B72=Screener!$B$5,-999999,IF(ISNUMBER(SEARCH(","&amp;Database!$A72&amp;",",","&amp;SUBSTITUTE(Screener!$D$17," ","")&amp;",")),2000000,IF(IF(OR(Screener!$B$18="All",AND(Screener!$B$18="With A-share",(Database!$BJ72="Y")),AND(Screener!$B$18="Without A-share",NOT((Database!$BJ72="Y")))),1,0)=0,-999999,IF(Screener!$B$16="cornerstone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Database!BD62</f>
        <v/>
      </c>
      <c r="AF72">
        <f>Database!BJ62</f>
        <v/>
      </c>
      <c r="AG72">
        <f>Database!H62</f>
        <v/>
      </c>
      <c r="AH72">
        <f>Database!BE62</f>
        <v/>
      </c>
    </row>
    <row r="73">
      <c r="A73">
        <f>Database!B73</f>
        <v/>
      </c>
      <c r="B73">
        <f>IF(AND(Screener!$D$8&lt;&gt;"",Database!$E73=Screener!$D$8),1,0)</f>
        <v/>
      </c>
      <c r="C73">
        <f>IF(AND(Screener!$D$7&lt;&gt;"",Database!$D73=Screener!$D$7),1,0)</f>
        <v/>
      </c>
      <c r="D73">
        <f>IF(OR(N(Database!$I73)&lt;=0,N(Screener!$D$9)&lt;=0),0,MAX(0,1-ABS(LOG10(N(Database!$I73)/Screener!$D$9))/W_SIZEHW))</f>
        <v/>
      </c>
      <c r="E73">
        <f>IF(OR(Database!$BD73="",Screener!$D$10=""),0,IF(Database!$BD73=Screener!$D$10,1,0))</f>
        <v/>
      </c>
      <c r="F73">
        <f>IF(OR(Database!$BJ73="",Screener!$D$11=""),0,IF(Database!$BJ73=Screener!$D$11,1,0))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IF(OR(N(Database!$BE73)&lt;=0,N(Screener!$D$13)&lt;=0),0,MAX(0,1-ABS(LOG10(N(Database!$BE73)/Screener!$D$13))/W_PEHW))</f>
        <v/>
      </c>
      <c r="J73">
        <f>IF(OR(N(Database!$S73)&lt;=0,N(Screener!$D$14)&lt;=0),0,MAX(0,1-ABS(LOG10(Database!$S73/Screener!$D$14))/0.6))</f>
        <v/>
      </c>
      <c r="K73">
        <f>IF(Database!$B73=Screener!$B$5,-999999,IF(ISNUMBER(SEARCH(","&amp;Database!$A73&amp;",",","&amp;SUBSTITUTE(Screener!$D$17," ","")&amp;",")),2000000,IF(IF(OR(Screener!$B$18="All",AND(Screener!$B$18="With A-share",(Database!$BJ73="Y")),AND(Screener!$B$18="Without A-share",NOT((Database!$BJ73="Y")))),1,0)=0,-999999,IF(Screener!$B$16="cornerstone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Database!BD63</f>
        <v/>
      </c>
      <c r="AF73">
        <f>Database!BJ63</f>
        <v/>
      </c>
      <c r="AG73">
        <f>Database!H63</f>
        <v/>
      </c>
      <c r="AH73">
        <f>Database!BE63</f>
        <v/>
      </c>
    </row>
    <row r="74">
      <c r="A74">
        <f>Database!B74</f>
        <v/>
      </c>
      <c r="B74">
        <f>IF(AND(Screener!$D$8&lt;&gt;"",Database!$E74=Screener!$D$8),1,0)</f>
        <v/>
      </c>
      <c r="C74">
        <f>IF(AND(Screener!$D$7&lt;&gt;"",Database!$D74=Screener!$D$7),1,0)</f>
        <v/>
      </c>
      <c r="D74">
        <f>IF(OR(N(Database!$I74)&lt;=0,N(Screener!$D$9)&lt;=0),0,MAX(0,1-ABS(LOG10(N(Database!$I74)/Screener!$D$9))/W_SIZEHW))</f>
        <v/>
      </c>
      <c r="E74">
        <f>IF(OR(Database!$BD74="",Screener!$D$10=""),0,IF(Database!$BD74=Screener!$D$10,1,0))</f>
        <v/>
      </c>
      <c r="F74">
        <f>IF(OR(Database!$BJ74="",Screener!$D$11=""),0,IF(Database!$BJ74=Screener!$D$11,1,0))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IF(OR(N(Database!$BE74)&lt;=0,N(Screener!$D$13)&lt;=0),0,MAX(0,1-ABS(LOG10(N(Database!$BE74)/Screener!$D$13))/W_PEHW))</f>
        <v/>
      </c>
      <c r="J74">
        <f>IF(OR(N(Database!$S74)&lt;=0,N(Screener!$D$14)&lt;=0),0,MAX(0,1-ABS(LOG10(Database!$S74/Screener!$D$14))/0.6))</f>
        <v/>
      </c>
      <c r="K74">
        <f>IF(Database!$B74=Screener!$B$5,-999999,IF(ISNUMBER(SEARCH(","&amp;Database!$A74&amp;",",","&amp;SUBSTITUTE(Screener!$D$17," ","")&amp;",")),2000000,IF(IF(OR(Screener!$B$18="All",AND(Screener!$B$18="With A-share",(Database!$BJ74="Y")),AND(Screener!$B$18="Without A-share",NOT((Database!$BJ74="Y")))),1,0)=0,-999999,IF(Screener!$B$16="cornerstone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Database!BD64</f>
        <v/>
      </c>
      <c r="AF74">
        <f>Database!BJ64</f>
        <v/>
      </c>
      <c r="AG74">
        <f>Database!H64</f>
        <v/>
      </c>
      <c r="AH74">
        <f>Database!BE64</f>
        <v/>
      </c>
    </row>
    <row r="75">
      <c r="A75">
        <f>Database!B75</f>
        <v/>
      </c>
      <c r="B75">
        <f>IF(AND(Screener!$D$8&lt;&gt;"",Database!$E75=Screener!$D$8),1,0)</f>
        <v/>
      </c>
      <c r="C75">
        <f>IF(AND(Screener!$D$7&lt;&gt;"",Database!$D75=Screener!$D$7),1,0)</f>
        <v/>
      </c>
      <c r="D75">
        <f>IF(OR(N(Database!$I75)&lt;=0,N(Screener!$D$9)&lt;=0),0,MAX(0,1-ABS(LOG10(N(Database!$I75)/Screener!$D$9))/W_SIZEHW))</f>
        <v/>
      </c>
      <c r="E75">
        <f>IF(OR(Database!$BD75="",Screener!$D$10=""),0,IF(Database!$BD75=Screener!$D$10,1,0))</f>
        <v/>
      </c>
      <c r="F75">
        <f>IF(OR(Database!$BJ75="",Screener!$D$11=""),0,IF(Database!$BJ75=Screener!$D$11,1,0))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IF(OR(N(Database!$BE75)&lt;=0,N(Screener!$D$13)&lt;=0),0,MAX(0,1-ABS(LOG10(N(Database!$BE75)/Screener!$D$13))/W_PEHW))</f>
        <v/>
      </c>
      <c r="J75">
        <f>IF(OR(N(Database!$S75)&lt;=0,N(Screener!$D$14)&lt;=0),0,MAX(0,1-ABS(LOG10(Database!$S75/Screener!$D$14))/0.6))</f>
        <v/>
      </c>
      <c r="K75">
        <f>IF(Database!$B75=Screener!$B$5,-999999,IF(ISNUMBER(SEARCH(","&amp;Database!$A75&amp;",",","&amp;SUBSTITUTE(Screener!$D$17," ","")&amp;",")),2000000,IF(IF(OR(Screener!$B$18="All",AND(Screener!$B$18="With A-share",(Database!$BJ75="Y")),AND(Screener!$B$18="Without A-share",NOT((Database!$BJ75="Y")))),1,0)=0,-999999,IF(Screener!$B$16="cornerstone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Database!BD65</f>
        <v/>
      </c>
      <c r="AF75">
        <f>Database!BJ65</f>
        <v/>
      </c>
      <c r="AG75">
        <f>Database!H65</f>
        <v/>
      </c>
      <c r="AH75">
        <f>Database!BE65</f>
        <v/>
      </c>
    </row>
    <row r="76">
      <c r="A76">
        <f>Database!B76</f>
        <v/>
      </c>
      <c r="B76">
        <f>IF(AND(Screener!$D$8&lt;&gt;"",Database!$E76=Screener!$D$8),1,0)</f>
        <v/>
      </c>
      <c r="C76">
        <f>IF(AND(Screener!$D$7&lt;&gt;"",Database!$D76=Screener!$D$7),1,0)</f>
        <v/>
      </c>
      <c r="D76">
        <f>IF(OR(N(Database!$I76)&lt;=0,N(Screener!$D$9)&lt;=0),0,MAX(0,1-ABS(LOG10(N(Database!$I76)/Screener!$D$9))/W_SIZEHW))</f>
        <v/>
      </c>
      <c r="E76">
        <f>IF(OR(Database!$BD76="",Screener!$D$10=""),0,IF(Database!$BD76=Screener!$D$10,1,0))</f>
        <v/>
      </c>
      <c r="F76">
        <f>IF(OR(Database!$BJ76="",Screener!$D$11=""),0,IF(Database!$BJ76=Screener!$D$11,1,0))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IF(OR(N(Database!$BE76)&lt;=0,N(Screener!$D$13)&lt;=0),0,MAX(0,1-ABS(LOG10(N(Database!$BE76)/Screener!$D$13))/W_PEHW))</f>
        <v/>
      </c>
      <c r="J76">
        <f>IF(OR(N(Database!$S76)&lt;=0,N(Screener!$D$14)&lt;=0),0,MAX(0,1-ABS(LOG10(Database!$S76/Screener!$D$14))/0.6))</f>
        <v/>
      </c>
      <c r="K76">
        <f>IF(Database!$B76=Screener!$B$5,-999999,IF(ISNUMBER(SEARCH(","&amp;Database!$A76&amp;",",","&amp;SUBSTITUTE(Screener!$D$17," ","")&amp;",")),2000000,IF(IF(OR(Screener!$B$18="All",AND(Screener!$B$18="With A-share",(Database!$BJ76="Y")),AND(Screener!$B$18="Without A-share",NOT((Database!$BJ76="Y")))),1,0)=0,-999999,IF(Screener!$B$16="cornerstone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Database!BD66</f>
        <v/>
      </c>
      <c r="AF76">
        <f>Database!BJ66</f>
        <v/>
      </c>
      <c r="AG76">
        <f>Database!H66</f>
        <v/>
      </c>
      <c r="AH76">
        <f>Database!BE66</f>
        <v/>
      </c>
    </row>
    <row r="77">
      <c r="A77">
        <f>Database!B77</f>
        <v/>
      </c>
      <c r="B77">
        <f>IF(AND(Screener!$D$8&lt;&gt;"",Database!$E77=Screener!$D$8),1,0)</f>
        <v/>
      </c>
      <c r="C77">
        <f>IF(AND(Screener!$D$7&lt;&gt;"",Database!$D77=Screener!$D$7),1,0)</f>
        <v/>
      </c>
      <c r="D77">
        <f>IF(OR(N(Database!$I77)&lt;=0,N(Screener!$D$9)&lt;=0),0,MAX(0,1-ABS(LOG10(N(Database!$I77)/Screener!$D$9))/W_SIZEHW))</f>
        <v/>
      </c>
      <c r="E77">
        <f>IF(OR(Database!$BD77="",Screener!$D$10=""),0,IF(Database!$BD77=Screener!$D$10,1,0))</f>
        <v/>
      </c>
      <c r="F77">
        <f>IF(OR(Database!$BJ77="",Screener!$D$11=""),0,IF(Database!$BJ77=Screener!$D$11,1,0))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IF(OR(N(Database!$BE77)&lt;=0,N(Screener!$D$13)&lt;=0),0,MAX(0,1-ABS(LOG10(N(Database!$BE77)/Screener!$D$13))/W_PEHW))</f>
        <v/>
      </c>
      <c r="J77">
        <f>IF(OR(N(Database!$S77)&lt;=0,N(Screener!$D$14)&lt;=0),0,MAX(0,1-ABS(LOG10(Database!$S77/Screener!$D$14))/0.6))</f>
        <v/>
      </c>
      <c r="K77">
        <f>IF(Database!$B77=Screener!$B$5,-999999,IF(ISNUMBER(SEARCH(","&amp;Database!$A77&amp;",",","&amp;SUBSTITUTE(Screener!$D$17," ","")&amp;",")),2000000,IF(IF(OR(Screener!$B$18="All",AND(Screener!$B$18="With A-share",(Database!$BJ77="Y")),AND(Screener!$B$18="Without A-share",NOT((Database!$BJ77="Y")))),1,0)=0,-999999,IF(Screener!$B$16="cornerstone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Database!BD67</f>
        <v/>
      </c>
      <c r="AF77">
        <f>Database!BJ67</f>
        <v/>
      </c>
      <c r="AG77">
        <f>Database!H67</f>
        <v/>
      </c>
      <c r="AH77">
        <f>Database!BE67</f>
        <v/>
      </c>
    </row>
    <row r="78">
      <c r="A78">
        <f>Database!B78</f>
        <v/>
      </c>
      <c r="B78">
        <f>IF(AND(Screener!$D$8&lt;&gt;"",Database!$E78=Screener!$D$8),1,0)</f>
        <v/>
      </c>
      <c r="C78">
        <f>IF(AND(Screener!$D$7&lt;&gt;"",Database!$D78=Screener!$D$7),1,0)</f>
        <v/>
      </c>
      <c r="D78">
        <f>IF(OR(N(Database!$I78)&lt;=0,N(Screener!$D$9)&lt;=0),0,MAX(0,1-ABS(LOG10(N(Database!$I78)/Screener!$D$9))/W_SIZEHW))</f>
        <v/>
      </c>
      <c r="E78">
        <f>IF(OR(Database!$BD78="",Screener!$D$10=""),0,IF(Database!$BD78=Screener!$D$10,1,0))</f>
        <v/>
      </c>
      <c r="F78">
        <f>IF(OR(Database!$BJ78="",Screener!$D$11=""),0,IF(Database!$BJ78=Screener!$D$11,1,0))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IF(OR(N(Database!$BE78)&lt;=0,N(Screener!$D$13)&lt;=0),0,MAX(0,1-ABS(LOG10(N(Database!$BE78)/Screener!$D$13))/W_PEHW))</f>
        <v/>
      </c>
      <c r="J78">
        <f>IF(OR(N(Database!$S78)&lt;=0,N(Screener!$D$14)&lt;=0),0,MAX(0,1-ABS(LOG10(Database!$S78/Screener!$D$14))/0.6))</f>
        <v/>
      </c>
      <c r="K78">
        <f>IF(Database!$B78=Screener!$B$5,-999999,IF(ISNUMBER(SEARCH(","&amp;Database!$A78&amp;",",","&amp;SUBSTITUTE(Screener!$D$17," ","")&amp;",")),2000000,IF(IF(OR(Screener!$B$18="All",AND(Screener!$B$18="With A-share",(Database!$BJ78="Y")),AND(Screener!$B$18="Without A-share",NOT((Database!$BJ78="Y")))),1,0)=0,-999999,IF(Screener!$B$16="cornerstone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Database!BD68</f>
        <v/>
      </c>
      <c r="AF78">
        <f>Database!BJ68</f>
        <v/>
      </c>
      <c r="AG78">
        <f>Database!H68</f>
        <v/>
      </c>
      <c r="AH78">
        <f>Database!BE68</f>
        <v/>
      </c>
    </row>
    <row r="79">
      <c r="A79">
        <f>Database!B79</f>
        <v/>
      </c>
      <c r="B79">
        <f>IF(AND(Screener!$D$8&lt;&gt;"",Database!$E79=Screener!$D$8),1,0)</f>
        <v/>
      </c>
      <c r="C79">
        <f>IF(AND(Screener!$D$7&lt;&gt;"",Database!$D79=Screener!$D$7),1,0)</f>
        <v/>
      </c>
      <c r="D79">
        <f>IF(OR(N(Database!$I79)&lt;=0,N(Screener!$D$9)&lt;=0),0,MAX(0,1-ABS(LOG10(N(Database!$I79)/Screener!$D$9))/W_SIZEHW))</f>
        <v/>
      </c>
      <c r="E79">
        <f>IF(OR(Database!$BD79="",Screener!$D$10=""),0,IF(Database!$BD79=Screener!$D$10,1,0))</f>
        <v/>
      </c>
      <c r="F79">
        <f>IF(OR(Database!$BJ79="",Screener!$D$11=""),0,IF(Database!$BJ79=Screener!$D$11,1,0))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IF(OR(N(Database!$BE79)&lt;=0,N(Screener!$D$13)&lt;=0),0,MAX(0,1-ABS(LOG10(N(Database!$BE79)/Screener!$D$13))/W_PEHW))</f>
        <v/>
      </c>
      <c r="J79">
        <f>IF(OR(N(Database!$S79)&lt;=0,N(Screener!$D$14)&lt;=0),0,MAX(0,1-ABS(LOG10(Database!$S79/Screener!$D$14))/0.6))</f>
        <v/>
      </c>
      <c r="K79">
        <f>IF(Database!$B79=Screener!$B$5,-999999,IF(ISNUMBER(SEARCH(","&amp;Database!$A79&amp;",",","&amp;SUBSTITUTE(Screener!$D$17," ","")&amp;",")),2000000,IF(IF(OR(Screener!$B$18="All",AND(Screener!$B$18="With A-share",(Database!$BJ79="Y")),AND(Screener!$B$18="Without A-share",NOT((Database!$BJ79="Y")))),1,0)=0,-999999,IF(Screener!$B$16="cornerstone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Database!BD69</f>
        <v/>
      </c>
      <c r="AF79">
        <f>Database!BJ69</f>
        <v/>
      </c>
      <c r="AG79">
        <f>Database!H69</f>
        <v/>
      </c>
      <c r="AH79">
        <f>Database!BE69</f>
        <v/>
      </c>
    </row>
    <row r="80">
      <c r="A80">
        <f>Database!B80</f>
        <v/>
      </c>
      <c r="B80">
        <f>IF(AND(Screener!$D$8&lt;&gt;"",Database!$E80=Screener!$D$8),1,0)</f>
        <v/>
      </c>
      <c r="C80">
        <f>IF(AND(Screener!$D$7&lt;&gt;"",Database!$D80=Screener!$D$7),1,0)</f>
        <v/>
      </c>
      <c r="D80">
        <f>IF(OR(N(Database!$I80)&lt;=0,N(Screener!$D$9)&lt;=0),0,MAX(0,1-ABS(LOG10(N(Database!$I80)/Screener!$D$9))/W_SIZEHW))</f>
        <v/>
      </c>
      <c r="E80">
        <f>IF(OR(Database!$BD80="",Screener!$D$10=""),0,IF(Database!$BD80=Screener!$D$10,1,0))</f>
        <v/>
      </c>
      <c r="F80">
        <f>IF(OR(Database!$BJ80="",Screener!$D$11=""),0,IF(Database!$BJ80=Screener!$D$11,1,0))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IF(OR(N(Database!$BE80)&lt;=0,N(Screener!$D$13)&lt;=0),0,MAX(0,1-ABS(LOG10(N(Database!$BE80)/Screener!$D$13))/W_PEHW))</f>
        <v/>
      </c>
      <c r="J80">
        <f>IF(OR(N(Database!$S80)&lt;=0,N(Screener!$D$14)&lt;=0),0,MAX(0,1-ABS(LOG10(Database!$S80/Screener!$D$14))/0.6))</f>
        <v/>
      </c>
      <c r="K80">
        <f>IF(Database!$B80=Screener!$B$5,-999999,IF(ISNUMBER(SEARCH(","&amp;Database!$A80&amp;",",","&amp;SUBSTITUTE(Screener!$D$17," ","")&amp;",")),2000000,IF(IF(OR(Screener!$B$18="All",AND(Screener!$B$18="With A-share",(Database!$BJ80="Y")),AND(Screener!$B$18="Without A-share",NOT((Database!$BJ80="Y")))),1,0)=0,-999999,IF(Screener!$B$16="cornerstone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Database!BD70</f>
        <v/>
      </c>
      <c r="AF80">
        <f>Database!BJ70</f>
        <v/>
      </c>
      <c r="AG80">
        <f>Database!H70</f>
        <v/>
      </c>
      <c r="AH80">
        <f>Database!BE70</f>
        <v/>
      </c>
    </row>
    <row r="81">
      <c r="A81">
        <f>Database!B81</f>
        <v/>
      </c>
      <c r="B81">
        <f>IF(AND(Screener!$D$8&lt;&gt;"",Database!$E81=Screener!$D$8),1,0)</f>
        <v/>
      </c>
      <c r="C81">
        <f>IF(AND(Screener!$D$7&lt;&gt;"",Database!$D81=Screener!$D$7),1,0)</f>
        <v/>
      </c>
      <c r="D81">
        <f>IF(OR(N(Database!$I81)&lt;=0,N(Screener!$D$9)&lt;=0),0,MAX(0,1-ABS(LOG10(N(Database!$I81)/Screener!$D$9))/W_SIZEHW))</f>
        <v/>
      </c>
      <c r="E81">
        <f>IF(OR(Database!$BD81="",Screener!$D$10=""),0,IF(Database!$BD81=Screener!$D$10,1,0))</f>
        <v/>
      </c>
      <c r="F81">
        <f>IF(OR(Database!$BJ81="",Screener!$D$11=""),0,IF(Database!$BJ81=Screener!$D$11,1,0))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IF(OR(N(Database!$BE81)&lt;=0,N(Screener!$D$13)&lt;=0),0,MAX(0,1-ABS(LOG10(N(Database!$BE81)/Screener!$D$13))/W_PEHW))</f>
        <v/>
      </c>
      <c r="J81">
        <f>IF(OR(N(Database!$S81)&lt;=0,N(Screener!$D$14)&lt;=0),0,MAX(0,1-ABS(LOG10(Database!$S81/Screener!$D$14))/0.6))</f>
        <v/>
      </c>
      <c r="K81">
        <f>IF(Database!$B81=Screener!$B$5,-999999,IF(ISNUMBER(SEARCH(","&amp;Database!$A81&amp;",",","&amp;SUBSTITUTE(Screener!$D$17," ","")&amp;",")),2000000,IF(IF(OR(Screener!$B$18="All",AND(Screener!$B$18="With A-share",(Database!$BJ81="Y")),AND(Screener!$B$18="Without A-share",NOT((Database!$BJ81="Y")))),1,0)=0,-999999,IF(Screener!$B$16="cornerstone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Database!BD71</f>
        <v/>
      </c>
      <c r="AF81">
        <f>Database!BJ71</f>
        <v/>
      </c>
      <c r="AG81">
        <f>Database!H71</f>
        <v/>
      </c>
      <c r="AH81">
        <f>Database!BE71</f>
        <v/>
      </c>
    </row>
    <row r="82">
      <c r="A82">
        <f>Database!B82</f>
        <v/>
      </c>
      <c r="B82">
        <f>IF(AND(Screener!$D$8&lt;&gt;"",Database!$E82=Screener!$D$8),1,0)</f>
        <v/>
      </c>
      <c r="C82">
        <f>IF(AND(Screener!$D$7&lt;&gt;"",Database!$D82=Screener!$D$7),1,0)</f>
        <v/>
      </c>
      <c r="D82">
        <f>IF(OR(N(Database!$I82)&lt;=0,N(Screener!$D$9)&lt;=0),0,MAX(0,1-ABS(LOG10(N(Database!$I82)/Screener!$D$9))/W_SIZEHW))</f>
        <v/>
      </c>
      <c r="E82">
        <f>IF(OR(Database!$BD82="",Screener!$D$10=""),0,IF(Database!$BD82=Screener!$D$10,1,0))</f>
        <v/>
      </c>
      <c r="F82">
        <f>IF(OR(Database!$BJ82="",Screener!$D$11=""),0,IF(Database!$BJ82=Screener!$D$11,1,0))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IF(OR(N(Database!$BE82)&lt;=0,N(Screener!$D$13)&lt;=0),0,MAX(0,1-ABS(LOG10(N(Database!$BE82)/Screener!$D$13))/W_PEHW))</f>
        <v/>
      </c>
      <c r="J82">
        <f>IF(OR(N(Database!$S82)&lt;=0,N(Screener!$D$14)&lt;=0),0,MAX(0,1-ABS(LOG10(Database!$S82/Screener!$D$14))/0.6))</f>
        <v/>
      </c>
      <c r="K82">
        <f>IF(Database!$B82=Screener!$B$5,-999999,IF(ISNUMBER(SEARCH(","&amp;Database!$A82&amp;",",","&amp;SUBSTITUTE(Screener!$D$17," ","")&amp;",")),2000000,IF(IF(OR(Screener!$B$18="All",AND(Screener!$B$18="With A-share",(Database!$BJ82="Y")),AND(Screener!$B$18="Without A-share",NOT((Database!$BJ82="Y")))),1,0)=0,-999999,IF(Screener!$B$16="cornerstone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Database!BD72</f>
        <v/>
      </c>
      <c r="AF82">
        <f>Database!BJ72</f>
        <v/>
      </c>
      <c r="AG82">
        <f>Database!H72</f>
        <v/>
      </c>
      <c r="AH82">
        <f>Database!BE72</f>
        <v/>
      </c>
    </row>
    <row r="83">
      <c r="A83">
        <f>Database!B83</f>
        <v/>
      </c>
      <c r="B83">
        <f>IF(AND(Screener!$D$8&lt;&gt;"",Database!$E83=Screener!$D$8),1,0)</f>
        <v/>
      </c>
      <c r="C83">
        <f>IF(AND(Screener!$D$7&lt;&gt;"",Database!$D83=Screener!$D$7),1,0)</f>
        <v/>
      </c>
      <c r="D83">
        <f>IF(OR(N(Database!$I83)&lt;=0,N(Screener!$D$9)&lt;=0),0,MAX(0,1-ABS(LOG10(N(Database!$I83)/Screener!$D$9))/W_SIZEHW))</f>
        <v/>
      </c>
      <c r="E83">
        <f>IF(OR(Database!$BD83="",Screener!$D$10=""),0,IF(Database!$BD83=Screener!$D$10,1,0))</f>
        <v/>
      </c>
      <c r="F83">
        <f>IF(OR(Database!$BJ83="",Screener!$D$11=""),0,IF(Database!$BJ83=Screener!$D$11,1,0))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IF(OR(N(Database!$BE83)&lt;=0,N(Screener!$D$13)&lt;=0),0,MAX(0,1-ABS(LOG10(N(Database!$BE83)/Screener!$D$13))/W_PEHW))</f>
        <v/>
      </c>
      <c r="J83">
        <f>IF(OR(N(Database!$S83)&lt;=0,N(Screener!$D$14)&lt;=0),0,MAX(0,1-ABS(LOG10(Database!$S83/Screener!$D$14))/0.6))</f>
        <v/>
      </c>
      <c r="K83">
        <f>IF(Database!$B83=Screener!$B$5,-999999,IF(ISNUMBER(SEARCH(","&amp;Database!$A83&amp;",",","&amp;SUBSTITUTE(Screener!$D$17," ","")&amp;",")),2000000,IF(IF(OR(Screener!$B$18="All",AND(Screener!$B$18="With A-share",(Database!$BJ83="Y")),AND(Screener!$B$18="Without A-share",NOT((Database!$BJ83="Y")))),1,0)=0,-999999,IF(Screener!$B$16="cornerstone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Database!BD73</f>
        <v/>
      </c>
      <c r="AF83">
        <f>Database!BJ73</f>
        <v/>
      </c>
      <c r="AG83">
        <f>Database!H73</f>
        <v/>
      </c>
      <c r="AH83">
        <f>Database!BE73</f>
        <v/>
      </c>
    </row>
    <row r="84">
      <c r="A84">
        <f>Database!B84</f>
        <v/>
      </c>
      <c r="B84">
        <f>IF(AND(Screener!$D$8&lt;&gt;"",Database!$E84=Screener!$D$8),1,0)</f>
        <v/>
      </c>
      <c r="C84">
        <f>IF(AND(Screener!$D$7&lt;&gt;"",Database!$D84=Screener!$D$7),1,0)</f>
        <v/>
      </c>
      <c r="D84">
        <f>IF(OR(N(Database!$I84)&lt;=0,N(Screener!$D$9)&lt;=0),0,MAX(0,1-ABS(LOG10(N(Database!$I84)/Screener!$D$9))/W_SIZEHW))</f>
        <v/>
      </c>
      <c r="E84">
        <f>IF(OR(Database!$BD84="",Screener!$D$10=""),0,IF(Database!$BD84=Screener!$D$10,1,0))</f>
        <v/>
      </c>
      <c r="F84">
        <f>IF(OR(Database!$BJ84="",Screener!$D$11=""),0,IF(Database!$BJ84=Screener!$D$11,1,0))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IF(OR(N(Database!$BE84)&lt;=0,N(Screener!$D$13)&lt;=0),0,MAX(0,1-ABS(LOG10(N(Database!$BE84)/Screener!$D$13))/W_PEHW))</f>
        <v/>
      </c>
      <c r="J84">
        <f>IF(OR(N(Database!$S84)&lt;=0,N(Screener!$D$14)&lt;=0),0,MAX(0,1-ABS(LOG10(Database!$S84/Screener!$D$14))/0.6))</f>
        <v/>
      </c>
      <c r="K84">
        <f>IF(Database!$B84=Screener!$B$5,-999999,IF(ISNUMBER(SEARCH(","&amp;Database!$A84&amp;",",","&amp;SUBSTITUTE(Screener!$D$17," ","")&amp;",")),2000000,IF(IF(OR(Screener!$B$18="All",AND(Screener!$B$18="With A-share",(Database!$BJ84="Y")),AND(Screener!$B$18="Without A-share",NOT((Database!$BJ84="Y")))),1,0)=0,-999999,IF(Screener!$B$16="cornerstone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Database!BD74</f>
        <v/>
      </c>
      <c r="AF84">
        <f>Database!BJ74</f>
        <v/>
      </c>
      <c r="AG84">
        <f>Database!H74</f>
        <v/>
      </c>
      <c r="AH84">
        <f>Database!BE74</f>
        <v/>
      </c>
    </row>
    <row r="85">
      <c r="A85">
        <f>Database!B85</f>
        <v/>
      </c>
      <c r="B85">
        <f>IF(AND(Screener!$D$8&lt;&gt;"",Database!$E85=Screener!$D$8),1,0)</f>
        <v/>
      </c>
      <c r="C85">
        <f>IF(AND(Screener!$D$7&lt;&gt;"",Database!$D85=Screener!$D$7),1,0)</f>
        <v/>
      </c>
      <c r="D85">
        <f>IF(OR(N(Database!$I85)&lt;=0,N(Screener!$D$9)&lt;=0),0,MAX(0,1-ABS(LOG10(N(Database!$I85)/Screener!$D$9))/W_SIZEHW))</f>
        <v/>
      </c>
      <c r="E85">
        <f>IF(OR(Database!$BD85="",Screener!$D$10=""),0,IF(Database!$BD85=Screener!$D$10,1,0))</f>
        <v/>
      </c>
      <c r="F85">
        <f>IF(OR(Database!$BJ85="",Screener!$D$11=""),0,IF(Database!$BJ85=Screener!$D$11,1,0))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IF(OR(N(Database!$BE85)&lt;=0,N(Screener!$D$13)&lt;=0),0,MAX(0,1-ABS(LOG10(N(Database!$BE85)/Screener!$D$13))/W_PEHW))</f>
        <v/>
      </c>
      <c r="J85">
        <f>IF(OR(N(Database!$S85)&lt;=0,N(Screener!$D$14)&lt;=0),0,MAX(0,1-ABS(LOG10(Database!$S85/Screener!$D$14))/0.6))</f>
        <v/>
      </c>
      <c r="K85">
        <f>IF(Database!$B85=Screener!$B$5,-999999,IF(ISNUMBER(SEARCH(","&amp;Database!$A85&amp;",",","&amp;SUBSTITUTE(Screener!$D$17," ","")&amp;",")),2000000,IF(IF(OR(Screener!$B$18="All",AND(Screener!$B$18="With A-share",(Database!$BJ85="Y")),AND(Screener!$B$18="Without A-share",NOT((Database!$BJ85="Y")))),1,0)=0,-999999,IF(Screener!$B$16="cornerstone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Database!BD75</f>
        <v/>
      </c>
      <c r="AF85">
        <f>Database!BJ75</f>
        <v/>
      </c>
      <c r="AG85">
        <f>Database!H75</f>
        <v/>
      </c>
      <c r="AH85">
        <f>Database!BE75</f>
        <v/>
      </c>
    </row>
    <row r="86">
      <c r="A86">
        <f>Database!B86</f>
        <v/>
      </c>
      <c r="B86">
        <f>IF(AND(Screener!$D$8&lt;&gt;"",Database!$E86=Screener!$D$8),1,0)</f>
        <v/>
      </c>
      <c r="C86">
        <f>IF(AND(Screener!$D$7&lt;&gt;"",Database!$D86=Screener!$D$7),1,0)</f>
        <v/>
      </c>
      <c r="D86">
        <f>IF(OR(N(Database!$I86)&lt;=0,N(Screener!$D$9)&lt;=0),0,MAX(0,1-ABS(LOG10(N(Database!$I86)/Screener!$D$9))/W_SIZEHW))</f>
        <v/>
      </c>
      <c r="E86">
        <f>IF(OR(Database!$BD86="",Screener!$D$10=""),0,IF(Database!$BD86=Screener!$D$10,1,0))</f>
        <v/>
      </c>
      <c r="F86">
        <f>IF(OR(Database!$BJ86="",Screener!$D$11=""),0,IF(Database!$BJ86=Screener!$D$11,1,0))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IF(OR(N(Database!$BE86)&lt;=0,N(Screener!$D$13)&lt;=0),0,MAX(0,1-ABS(LOG10(N(Database!$BE86)/Screener!$D$13))/W_PEHW))</f>
        <v/>
      </c>
      <c r="J86">
        <f>IF(OR(N(Database!$S86)&lt;=0,N(Screener!$D$14)&lt;=0),0,MAX(0,1-ABS(LOG10(Database!$S86/Screener!$D$14))/0.6))</f>
        <v/>
      </c>
      <c r="K86">
        <f>IF(Database!$B86=Screener!$B$5,-999999,IF(ISNUMBER(SEARCH(","&amp;Database!$A86&amp;",",","&amp;SUBSTITUTE(Screener!$D$17," ","")&amp;",")),2000000,IF(IF(OR(Screener!$B$18="All",AND(Screener!$B$18="With A-share",(Database!$BJ86="Y")),AND(Screener!$B$18="Without A-share",NOT((Database!$BJ86="Y")))),1,0)=0,-999999,IF(Screener!$B$16="cornerstone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Database!BD76</f>
        <v/>
      </c>
      <c r="AF86">
        <f>Database!BJ76</f>
        <v/>
      </c>
      <c r="AG86">
        <f>Database!H76</f>
        <v/>
      </c>
      <c r="AH86">
        <f>Database!BE76</f>
        <v/>
      </c>
    </row>
    <row r="87">
      <c r="A87">
        <f>Database!B87</f>
        <v/>
      </c>
      <c r="B87">
        <f>IF(AND(Screener!$D$8&lt;&gt;"",Database!$E87=Screener!$D$8),1,0)</f>
        <v/>
      </c>
      <c r="C87">
        <f>IF(AND(Screener!$D$7&lt;&gt;"",Database!$D87=Screener!$D$7),1,0)</f>
        <v/>
      </c>
      <c r="D87">
        <f>IF(OR(N(Database!$I87)&lt;=0,N(Screener!$D$9)&lt;=0),0,MAX(0,1-ABS(LOG10(N(Database!$I87)/Screener!$D$9))/W_SIZEHW))</f>
        <v/>
      </c>
      <c r="E87">
        <f>IF(OR(Database!$BD87="",Screener!$D$10=""),0,IF(Database!$BD87=Screener!$D$10,1,0))</f>
        <v/>
      </c>
      <c r="F87">
        <f>IF(OR(Database!$BJ87="",Screener!$D$11=""),0,IF(Database!$BJ87=Screener!$D$11,1,0))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IF(OR(N(Database!$BE87)&lt;=0,N(Screener!$D$13)&lt;=0),0,MAX(0,1-ABS(LOG10(N(Database!$BE87)/Screener!$D$13))/W_PEHW))</f>
        <v/>
      </c>
      <c r="J87">
        <f>IF(OR(N(Database!$S87)&lt;=0,N(Screener!$D$14)&lt;=0),0,MAX(0,1-ABS(LOG10(Database!$S87/Screener!$D$14))/0.6))</f>
        <v/>
      </c>
      <c r="K87">
        <f>IF(Database!$B87=Screener!$B$5,-999999,IF(ISNUMBER(SEARCH(","&amp;Database!$A87&amp;",",","&amp;SUBSTITUTE(Screener!$D$17," ","")&amp;",")),2000000,IF(IF(OR(Screener!$B$18="All",AND(Screener!$B$18="With A-share",(Database!$BJ87="Y")),AND(Screener!$B$18="Without A-share",NOT((Database!$BJ87="Y")))),1,0)=0,-999999,IF(Screener!$B$16="cornerstone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Database!BD77</f>
        <v/>
      </c>
      <c r="AF87">
        <f>Database!BJ77</f>
        <v/>
      </c>
      <c r="AG87">
        <f>Database!H77</f>
        <v/>
      </c>
      <c r="AH87">
        <f>Database!BE77</f>
        <v/>
      </c>
    </row>
    <row r="88">
      <c r="A88">
        <f>Database!B88</f>
        <v/>
      </c>
      <c r="B88">
        <f>IF(AND(Screener!$D$8&lt;&gt;"",Database!$E88=Screener!$D$8),1,0)</f>
        <v/>
      </c>
      <c r="C88">
        <f>IF(AND(Screener!$D$7&lt;&gt;"",Database!$D88=Screener!$D$7),1,0)</f>
        <v/>
      </c>
      <c r="D88">
        <f>IF(OR(N(Database!$I88)&lt;=0,N(Screener!$D$9)&lt;=0),0,MAX(0,1-ABS(LOG10(N(Database!$I88)/Screener!$D$9))/W_SIZEHW))</f>
        <v/>
      </c>
      <c r="E88">
        <f>IF(OR(Database!$BD88="",Screener!$D$10=""),0,IF(Database!$BD88=Screener!$D$10,1,0))</f>
        <v/>
      </c>
      <c r="F88">
        <f>IF(OR(Database!$BJ88="",Screener!$D$11=""),0,IF(Database!$BJ88=Screener!$D$11,1,0))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IF(OR(N(Database!$BE88)&lt;=0,N(Screener!$D$13)&lt;=0),0,MAX(0,1-ABS(LOG10(N(Database!$BE88)/Screener!$D$13))/W_PEHW))</f>
        <v/>
      </c>
      <c r="J88">
        <f>IF(OR(N(Database!$S88)&lt;=0,N(Screener!$D$14)&lt;=0),0,MAX(0,1-ABS(LOG10(Database!$S88/Screener!$D$14))/0.6))</f>
        <v/>
      </c>
      <c r="K88">
        <f>IF(Database!$B88=Screener!$B$5,-999999,IF(ISNUMBER(SEARCH(","&amp;Database!$A88&amp;",",","&amp;SUBSTITUTE(Screener!$D$17," ","")&amp;",")),2000000,IF(IF(OR(Screener!$B$18="All",AND(Screener!$B$18="With A-share",(Database!$BJ88="Y")),AND(Screener!$B$18="Without A-share",NOT((Database!$BJ88="Y")))),1,0)=0,-999999,IF(Screener!$B$16="cornerstone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Database!BD78</f>
        <v/>
      </c>
      <c r="AF88">
        <f>Database!BJ78</f>
        <v/>
      </c>
      <c r="AG88">
        <f>Database!H78</f>
        <v/>
      </c>
      <c r="AH88">
        <f>Database!BE78</f>
        <v/>
      </c>
    </row>
    <row r="89">
      <c r="A89">
        <f>Database!B89</f>
        <v/>
      </c>
      <c r="B89">
        <f>IF(AND(Screener!$D$8&lt;&gt;"",Database!$E89=Screener!$D$8),1,0)</f>
        <v/>
      </c>
      <c r="C89">
        <f>IF(AND(Screener!$D$7&lt;&gt;"",Database!$D89=Screener!$D$7),1,0)</f>
        <v/>
      </c>
      <c r="D89">
        <f>IF(OR(N(Database!$I89)&lt;=0,N(Screener!$D$9)&lt;=0),0,MAX(0,1-ABS(LOG10(N(Database!$I89)/Screener!$D$9))/W_SIZEHW))</f>
        <v/>
      </c>
      <c r="E89">
        <f>IF(OR(Database!$BD89="",Screener!$D$10=""),0,IF(Database!$BD89=Screener!$D$10,1,0))</f>
        <v/>
      </c>
      <c r="F89">
        <f>IF(OR(Database!$BJ89="",Screener!$D$11=""),0,IF(Database!$BJ89=Screener!$D$11,1,0))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IF(OR(N(Database!$BE89)&lt;=0,N(Screener!$D$13)&lt;=0),0,MAX(0,1-ABS(LOG10(N(Database!$BE89)/Screener!$D$13))/W_PEHW))</f>
        <v/>
      </c>
      <c r="J89">
        <f>IF(OR(N(Database!$S89)&lt;=0,N(Screener!$D$14)&lt;=0),0,MAX(0,1-ABS(LOG10(Database!$S89/Screener!$D$14))/0.6))</f>
        <v/>
      </c>
      <c r="K89">
        <f>IF(Database!$B89=Screener!$B$5,-999999,IF(ISNUMBER(SEARCH(","&amp;Database!$A89&amp;",",","&amp;SUBSTITUTE(Screener!$D$17," ","")&amp;",")),2000000,IF(IF(OR(Screener!$B$18="All",AND(Screener!$B$18="With A-share",(Database!$BJ89="Y")),AND(Screener!$B$18="Without A-share",NOT((Database!$BJ89="Y")))),1,0)=0,-999999,IF(Screener!$B$16="cornerstone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Database!BD79</f>
        <v/>
      </c>
      <c r="AF89">
        <f>Database!BJ79</f>
        <v/>
      </c>
      <c r="AG89">
        <f>Database!H79</f>
        <v/>
      </c>
      <c r="AH89">
        <f>Database!BE79</f>
        <v/>
      </c>
    </row>
    <row r="90">
      <c r="A90">
        <f>Database!B90</f>
        <v/>
      </c>
      <c r="B90">
        <f>IF(AND(Screener!$D$8&lt;&gt;"",Database!$E90=Screener!$D$8),1,0)</f>
        <v/>
      </c>
      <c r="C90">
        <f>IF(AND(Screener!$D$7&lt;&gt;"",Database!$D90=Screener!$D$7),1,0)</f>
        <v/>
      </c>
      <c r="D90">
        <f>IF(OR(N(Database!$I90)&lt;=0,N(Screener!$D$9)&lt;=0),0,MAX(0,1-ABS(LOG10(N(Database!$I90)/Screener!$D$9))/W_SIZEHW))</f>
        <v/>
      </c>
      <c r="E90">
        <f>IF(OR(Database!$BD90="",Screener!$D$10=""),0,IF(Database!$BD90=Screener!$D$10,1,0))</f>
        <v/>
      </c>
      <c r="F90">
        <f>IF(OR(Database!$BJ90="",Screener!$D$11=""),0,IF(Database!$BJ90=Screener!$D$11,1,0))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IF(OR(N(Database!$BE90)&lt;=0,N(Screener!$D$13)&lt;=0),0,MAX(0,1-ABS(LOG10(N(Database!$BE90)/Screener!$D$13))/W_PEHW))</f>
        <v/>
      </c>
      <c r="J90">
        <f>IF(OR(N(Database!$S90)&lt;=0,N(Screener!$D$14)&lt;=0),0,MAX(0,1-ABS(LOG10(Database!$S90/Screener!$D$14))/0.6))</f>
        <v/>
      </c>
      <c r="K90">
        <f>IF(Database!$B90=Screener!$B$5,-999999,IF(ISNUMBER(SEARCH(","&amp;Database!$A90&amp;",",","&amp;SUBSTITUTE(Screener!$D$17," ","")&amp;",")),2000000,IF(IF(OR(Screener!$B$18="All",AND(Screener!$B$18="With A-share",(Database!$BJ90="Y")),AND(Screener!$B$18="Without A-share",NOT((Database!$BJ90="Y")))),1,0)=0,-999999,IF(Screener!$B$16="cornerstone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Database!BD80</f>
        <v/>
      </c>
      <c r="AF90">
        <f>Database!BJ80</f>
        <v/>
      </c>
      <c r="AG90">
        <f>Database!H80</f>
        <v/>
      </c>
      <c r="AH90">
        <f>Database!BE80</f>
        <v/>
      </c>
    </row>
    <row r="91">
      <c r="A91">
        <f>Database!B91</f>
        <v/>
      </c>
      <c r="B91">
        <f>IF(AND(Screener!$D$8&lt;&gt;"",Database!$E91=Screener!$D$8),1,0)</f>
        <v/>
      </c>
      <c r="C91">
        <f>IF(AND(Screener!$D$7&lt;&gt;"",Database!$D91=Screener!$D$7),1,0)</f>
        <v/>
      </c>
      <c r="D91">
        <f>IF(OR(N(Database!$I91)&lt;=0,N(Screener!$D$9)&lt;=0),0,MAX(0,1-ABS(LOG10(N(Database!$I91)/Screener!$D$9))/W_SIZEHW))</f>
        <v/>
      </c>
      <c r="E91">
        <f>IF(OR(Database!$BD91="",Screener!$D$10=""),0,IF(Database!$BD91=Screener!$D$10,1,0))</f>
        <v/>
      </c>
      <c r="F91">
        <f>IF(OR(Database!$BJ91="",Screener!$D$11=""),0,IF(Database!$BJ91=Screener!$D$11,1,0))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IF(OR(N(Database!$BE91)&lt;=0,N(Screener!$D$13)&lt;=0),0,MAX(0,1-ABS(LOG10(N(Database!$BE91)/Screener!$D$13))/W_PEHW))</f>
        <v/>
      </c>
      <c r="J91">
        <f>IF(OR(N(Database!$S91)&lt;=0,N(Screener!$D$14)&lt;=0),0,MAX(0,1-ABS(LOG10(Database!$S91/Screener!$D$14))/0.6))</f>
        <v/>
      </c>
      <c r="K91">
        <f>IF(Database!$B91=Screener!$B$5,-999999,IF(ISNUMBER(SEARCH(","&amp;Database!$A91&amp;",",","&amp;SUBSTITUTE(Screener!$D$17," ","")&amp;",")),2000000,IF(IF(OR(Screener!$B$18="All",AND(Screener!$B$18="With A-share",(Database!$BJ91="Y")),AND(Screener!$B$18="Without A-share",NOT((Database!$BJ91="Y")))),1,0)=0,-999999,IF(Screener!$B$16="cornerstone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Database!BD81</f>
        <v/>
      </c>
      <c r="AF91">
        <f>Database!BJ81</f>
        <v/>
      </c>
      <c r="AG91">
        <f>Database!H81</f>
        <v/>
      </c>
      <c r="AH91">
        <f>Database!BE81</f>
        <v/>
      </c>
    </row>
    <row r="92">
      <c r="A92">
        <f>Database!B92</f>
        <v/>
      </c>
      <c r="B92">
        <f>IF(AND(Screener!$D$8&lt;&gt;"",Database!$E92=Screener!$D$8),1,0)</f>
        <v/>
      </c>
      <c r="C92">
        <f>IF(AND(Screener!$D$7&lt;&gt;"",Database!$D92=Screener!$D$7),1,0)</f>
        <v/>
      </c>
      <c r="D92">
        <f>IF(OR(N(Database!$I92)&lt;=0,N(Screener!$D$9)&lt;=0),0,MAX(0,1-ABS(LOG10(N(Database!$I92)/Screener!$D$9))/W_SIZEHW))</f>
        <v/>
      </c>
      <c r="E92">
        <f>IF(OR(Database!$BD92="",Screener!$D$10=""),0,IF(Database!$BD92=Screener!$D$10,1,0))</f>
        <v/>
      </c>
      <c r="F92">
        <f>IF(OR(Database!$BJ92="",Screener!$D$11=""),0,IF(Database!$BJ92=Screener!$D$11,1,0))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IF(OR(N(Database!$BE92)&lt;=0,N(Screener!$D$13)&lt;=0),0,MAX(0,1-ABS(LOG10(N(Database!$BE92)/Screener!$D$13))/W_PEHW))</f>
        <v/>
      </c>
      <c r="J92">
        <f>IF(OR(N(Database!$S92)&lt;=0,N(Screener!$D$14)&lt;=0),0,MAX(0,1-ABS(LOG10(Database!$S92/Screener!$D$14))/0.6))</f>
        <v/>
      </c>
      <c r="K92">
        <f>IF(Database!$B92=Screener!$B$5,-999999,IF(ISNUMBER(SEARCH(","&amp;Database!$A92&amp;",",","&amp;SUBSTITUTE(Screener!$D$17," ","")&amp;",")),2000000,IF(IF(OR(Screener!$B$18="All",AND(Screener!$B$18="With A-share",(Database!$BJ92="Y")),AND(Screener!$B$18="Without A-share",NOT((Database!$BJ92="Y")))),1,0)=0,-999999,IF(Screener!$B$16="cornerstone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Database!BD82</f>
        <v/>
      </c>
      <c r="AF92">
        <f>Database!BJ82</f>
        <v/>
      </c>
      <c r="AG92">
        <f>Database!H82</f>
        <v/>
      </c>
      <c r="AH92">
        <f>Database!BE82</f>
        <v/>
      </c>
    </row>
    <row r="93">
      <c r="A93">
        <f>Database!B93</f>
        <v/>
      </c>
      <c r="B93">
        <f>IF(AND(Screener!$D$8&lt;&gt;"",Database!$E93=Screener!$D$8),1,0)</f>
        <v/>
      </c>
      <c r="C93">
        <f>IF(AND(Screener!$D$7&lt;&gt;"",Database!$D93=Screener!$D$7),1,0)</f>
        <v/>
      </c>
      <c r="D93">
        <f>IF(OR(N(Database!$I93)&lt;=0,N(Screener!$D$9)&lt;=0),0,MAX(0,1-ABS(LOG10(N(Database!$I93)/Screener!$D$9))/W_SIZEHW))</f>
        <v/>
      </c>
      <c r="E93">
        <f>IF(OR(Database!$BD93="",Screener!$D$10=""),0,IF(Database!$BD93=Screener!$D$10,1,0))</f>
        <v/>
      </c>
      <c r="F93">
        <f>IF(OR(Database!$BJ93="",Screener!$D$11=""),0,IF(Database!$BJ93=Screener!$D$11,1,0))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IF(OR(N(Database!$BE93)&lt;=0,N(Screener!$D$13)&lt;=0),0,MAX(0,1-ABS(LOG10(N(Database!$BE93)/Screener!$D$13))/W_PEHW))</f>
        <v/>
      </c>
      <c r="J93">
        <f>IF(OR(N(Database!$S93)&lt;=0,N(Screener!$D$14)&lt;=0),0,MAX(0,1-ABS(LOG10(Database!$S93/Screener!$D$14))/0.6))</f>
        <v/>
      </c>
      <c r="K93">
        <f>IF(Database!$B93=Screener!$B$5,-999999,IF(ISNUMBER(SEARCH(","&amp;Database!$A93&amp;",",","&amp;SUBSTITUTE(Screener!$D$17," ","")&amp;",")),2000000,IF(IF(OR(Screener!$B$18="All",AND(Screener!$B$18="With A-share",(Database!$BJ93="Y")),AND(Screener!$B$18="Without A-share",NOT((Database!$BJ93="Y")))),1,0)=0,-999999,IF(Screener!$B$16="cornerstone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Database!BD83</f>
        <v/>
      </c>
      <c r="AF93">
        <f>Database!BJ83</f>
        <v/>
      </c>
      <c r="AG93">
        <f>Database!H83</f>
        <v/>
      </c>
      <c r="AH93">
        <f>Database!BE83</f>
        <v/>
      </c>
    </row>
    <row r="94">
      <c r="A94">
        <f>Database!B94</f>
        <v/>
      </c>
      <c r="B94">
        <f>IF(AND(Screener!$D$8&lt;&gt;"",Database!$E94=Screener!$D$8),1,0)</f>
        <v/>
      </c>
      <c r="C94">
        <f>IF(AND(Screener!$D$7&lt;&gt;"",Database!$D94=Screener!$D$7),1,0)</f>
        <v/>
      </c>
      <c r="D94">
        <f>IF(OR(N(Database!$I94)&lt;=0,N(Screener!$D$9)&lt;=0),0,MAX(0,1-ABS(LOG10(N(Database!$I94)/Screener!$D$9))/W_SIZEHW))</f>
        <v/>
      </c>
      <c r="E94">
        <f>IF(OR(Database!$BD94="",Screener!$D$10=""),0,IF(Database!$BD94=Screener!$D$10,1,0))</f>
        <v/>
      </c>
      <c r="F94">
        <f>IF(OR(Database!$BJ94="",Screener!$D$11=""),0,IF(Database!$BJ94=Screener!$D$11,1,0))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IF(OR(N(Database!$BE94)&lt;=0,N(Screener!$D$13)&lt;=0),0,MAX(0,1-ABS(LOG10(N(Database!$BE94)/Screener!$D$13))/W_PEHW))</f>
        <v/>
      </c>
      <c r="J94">
        <f>IF(OR(N(Database!$S94)&lt;=0,N(Screener!$D$14)&lt;=0),0,MAX(0,1-ABS(LOG10(Database!$S94/Screener!$D$14))/0.6))</f>
        <v/>
      </c>
      <c r="K94">
        <f>IF(Database!$B94=Screener!$B$5,-999999,IF(ISNUMBER(SEARCH(","&amp;Database!$A94&amp;",",","&amp;SUBSTITUTE(Screener!$D$17," ","")&amp;",")),2000000,IF(IF(OR(Screener!$B$18="All",AND(Screener!$B$18="With A-share",(Database!$BJ94="Y")),AND(Screener!$B$18="Without A-share",NOT((Database!$BJ94="Y")))),1,0)=0,-999999,IF(Screener!$B$16="cornerstone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Database!BD84</f>
        <v/>
      </c>
      <c r="AF94">
        <f>Database!BJ84</f>
        <v/>
      </c>
      <c r="AG94">
        <f>Database!H84</f>
        <v/>
      </c>
      <c r="AH94">
        <f>Database!BE84</f>
        <v/>
      </c>
    </row>
    <row r="95">
      <c r="A95">
        <f>Database!B95</f>
        <v/>
      </c>
      <c r="B95">
        <f>IF(AND(Screener!$D$8&lt;&gt;"",Database!$E95=Screener!$D$8),1,0)</f>
        <v/>
      </c>
      <c r="C95">
        <f>IF(AND(Screener!$D$7&lt;&gt;"",Database!$D95=Screener!$D$7),1,0)</f>
        <v/>
      </c>
      <c r="D95">
        <f>IF(OR(N(Database!$I95)&lt;=0,N(Screener!$D$9)&lt;=0),0,MAX(0,1-ABS(LOG10(N(Database!$I95)/Screener!$D$9))/W_SIZEHW))</f>
        <v/>
      </c>
      <c r="E95">
        <f>IF(OR(Database!$BD95="",Screener!$D$10=""),0,IF(Database!$BD95=Screener!$D$10,1,0))</f>
        <v/>
      </c>
      <c r="F95">
        <f>IF(OR(Database!$BJ95="",Screener!$D$11=""),0,IF(Database!$BJ95=Screener!$D$11,1,0))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IF(OR(N(Database!$BE95)&lt;=0,N(Screener!$D$13)&lt;=0),0,MAX(0,1-ABS(LOG10(N(Database!$BE95)/Screener!$D$13))/W_PEHW))</f>
        <v/>
      </c>
      <c r="J95">
        <f>IF(OR(N(Database!$S95)&lt;=0,N(Screener!$D$14)&lt;=0),0,MAX(0,1-ABS(LOG10(Database!$S95/Screener!$D$14))/0.6))</f>
        <v/>
      </c>
      <c r="K95">
        <f>IF(Database!$B95=Screener!$B$5,-999999,IF(ISNUMBER(SEARCH(","&amp;Database!$A95&amp;",",","&amp;SUBSTITUTE(Screener!$D$17," ","")&amp;",")),2000000,IF(IF(OR(Screener!$B$18="All",AND(Screener!$B$18="With A-share",(Database!$BJ95="Y")),AND(Screener!$B$18="Without A-share",NOT((Database!$BJ95="Y")))),1,0)=0,-999999,IF(Screener!$B$16="cornerstone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Database!BD85</f>
        <v/>
      </c>
      <c r="AF95">
        <f>Database!BJ85</f>
        <v/>
      </c>
      <c r="AG95">
        <f>Database!H85</f>
        <v/>
      </c>
      <c r="AH95">
        <f>Database!BE85</f>
        <v/>
      </c>
    </row>
    <row r="96">
      <c r="A96">
        <f>Database!B96</f>
        <v/>
      </c>
      <c r="B96">
        <f>IF(AND(Screener!$D$8&lt;&gt;"",Database!$E96=Screener!$D$8),1,0)</f>
        <v/>
      </c>
      <c r="C96">
        <f>IF(AND(Screener!$D$7&lt;&gt;"",Database!$D96=Screener!$D$7),1,0)</f>
        <v/>
      </c>
      <c r="D96">
        <f>IF(OR(N(Database!$I96)&lt;=0,N(Screener!$D$9)&lt;=0),0,MAX(0,1-ABS(LOG10(N(Database!$I96)/Screener!$D$9))/W_SIZEHW))</f>
        <v/>
      </c>
      <c r="E96">
        <f>IF(OR(Database!$BD96="",Screener!$D$10=""),0,IF(Database!$BD96=Screener!$D$10,1,0))</f>
        <v/>
      </c>
      <c r="F96">
        <f>IF(OR(Database!$BJ96="",Screener!$D$11=""),0,IF(Database!$BJ96=Screener!$D$11,1,0))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IF(OR(N(Database!$BE96)&lt;=0,N(Screener!$D$13)&lt;=0),0,MAX(0,1-ABS(LOG10(N(Database!$BE96)/Screener!$D$13))/W_PEHW))</f>
        <v/>
      </c>
      <c r="J96">
        <f>IF(OR(N(Database!$S96)&lt;=0,N(Screener!$D$14)&lt;=0),0,MAX(0,1-ABS(LOG10(Database!$S96/Screener!$D$14))/0.6))</f>
        <v/>
      </c>
      <c r="K96">
        <f>IF(Database!$B96=Screener!$B$5,-999999,IF(ISNUMBER(SEARCH(","&amp;Database!$A96&amp;",",","&amp;SUBSTITUTE(Screener!$D$17," ","")&amp;",")),2000000,IF(IF(OR(Screener!$B$18="All",AND(Screener!$B$18="With A-share",(Database!$BJ96="Y")),AND(Screener!$B$18="Without A-share",NOT((Database!$BJ96="Y")))),1,0)=0,-999999,IF(Screener!$B$16="cornerstone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Database!BD86</f>
        <v/>
      </c>
      <c r="AF96">
        <f>Database!BJ86</f>
        <v/>
      </c>
      <c r="AG96">
        <f>Database!H86</f>
        <v/>
      </c>
      <c r="AH96">
        <f>Database!BE86</f>
        <v/>
      </c>
    </row>
    <row r="97">
      <c r="A97">
        <f>Database!B97</f>
        <v/>
      </c>
      <c r="B97">
        <f>IF(AND(Screener!$D$8&lt;&gt;"",Database!$E97=Screener!$D$8),1,0)</f>
        <v/>
      </c>
      <c r="C97">
        <f>IF(AND(Screener!$D$7&lt;&gt;"",Database!$D97=Screener!$D$7),1,0)</f>
        <v/>
      </c>
      <c r="D97">
        <f>IF(OR(N(Database!$I97)&lt;=0,N(Screener!$D$9)&lt;=0),0,MAX(0,1-ABS(LOG10(N(Database!$I97)/Screener!$D$9))/W_SIZEHW))</f>
        <v/>
      </c>
      <c r="E97">
        <f>IF(OR(Database!$BD97="",Screener!$D$10=""),0,IF(Database!$BD97=Screener!$D$10,1,0))</f>
        <v/>
      </c>
      <c r="F97">
        <f>IF(OR(Database!$BJ97="",Screener!$D$11=""),0,IF(Database!$BJ97=Screener!$D$11,1,0))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IF(OR(N(Database!$BE97)&lt;=0,N(Screener!$D$13)&lt;=0),0,MAX(0,1-ABS(LOG10(N(Database!$BE97)/Screener!$D$13))/W_PEHW))</f>
        <v/>
      </c>
      <c r="J97">
        <f>IF(OR(N(Database!$S97)&lt;=0,N(Screener!$D$14)&lt;=0),0,MAX(0,1-ABS(LOG10(Database!$S97/Screener!$D$14))/0.6))</f>
        <v/>
      </c>
      <c r="K97">
        <f>IF(Database!$B97=Screener!$B$5,-999999,IF(ISNUMBER(SEARCH(","&amp;Database!$A97&amp;",",","&amp;SUBSTITUTE(Screener!$D$17," ","")&amp;",")),2000000,IF(IF(OR(Screener!$B$18="All",AND(Screener!$B$18="With A-share",(Database!$BJ97="Y")),AND(Screener!$B$18="Without A-share",NOT((Database!$BJ97="Y")))),1,0)=0,-999999,IF(Screener!$B$16="cornerstone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Database!BD87</f>
        <v/>
      </c>
      <c r="AF97">
        <f>Database!BJ87</f>
        <v/>
      </c>
      <c r="AG97">
        <f>Database!H87</f>
        <v/>
      </c>
      <c r="AH97">
        <f>Database!BE87</f>
        <v/>
      </c>
    </row>
    <row r="98">
      <c r="A98">
        <f>Database!B98</f>
        <v/>
      </c>
      <c r="B98">
        <f>IF(AND(Screener!$D$8&lt;&gt;"",Database!$E98=Screener!$D$8),1,0)</f>
        <v/>
      </c>
      <c r="C98">
        <f>IF(AND(Screener!$D$7&lt;&gt;"",Database!$D98=Screener!$D$7),1,0)</f>
        <v/>
      </c>
      <c r="D98">
        <f>IF(OR(N(Database!$I98)&lt;=0,N(Screener!$D$9)&lt;=0),0,MAX(0,1-ABS(LOG10(N(Database!$I98)/Screener!$D$9))/W_SIZEHW))</f>
        <v/>
      </c>
      <c r="E98">
        <f>IF(OR(Database!$BD98="",Screener!$D$10=""),0,IF(Database!$BD98=Screener!$D$10,1,0))</f>
        <v/>
      </c>
      <c r="F98">
        <f>IF(OR(Database!$BJ98="",Screener!$D$11=""),0,IF(Database!$BJ98=Screener!$D$11,1,0))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IF(OR(N(Database!$BE98)&lt;=0,N(Screener!$D$13)&lt;=0),0,MAX(0,1-ABS(LOG10(N(Database!$BE98)/Screener!$D$13))/W_PEHW))</f>
        <v/>
      </c>
      <c r="J98">
        <f>IF(OR(N(Database!$S98)&lt;=0,N(Screener!$D$14)&lt;=0),0,MAX(0,1-ABS(LOG10(Database!$S98/Screener!$D$14))/0.6))</f>
        <v/>
      </c>
      <c r="K98">
        <f>IF(Database!$B98=Screener!$B$5,-999999,IF(ISNUMBER(SEARCH(","&amp;Database!$A98&amp;",",","&amp;SUBSTITUTE(Screener!$D$17," ","")&amp;",")),2000000,IF(IF(OR(Screener!$B$18="All",AND(Screener!$B$18="With A-share",(Database!$BJ98="Y")),AND(Screener!$B$18="Without A-share",NOT((Database!$BJ98="Y")))),1,0)=0,-999999,IF(Screener!$B$16="cornerstone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Database!BD88</f>
        <v/>
      </c>
      <c r="AF98">
        <f>Database!BJ88</f>
        <v/>
      </c>
      <c r="AG98">
        <f>Database!H88</f>
        <v/>
      </c>
      <c r="AH98">
        <f>Database!BE88</f>
        <v/>
      </c>
    </row>
    <row r="99">
      <c r="A99">
        <f>Database!B99</f>
        <v/>
      </c>
      <c r="B99">
        <f>IF(AND(Screener!$D$8&lt;&gt;"",Database!$E99=Screener!$D$8),1,0)</f>
        <v/>
      </c>
      <c r="C99">
        <f>IF(AND(Screener!$D$7&lt;&gt;"",Database!$D99=Screener!$D$7),1,0)</f>
        <v/>
      </c>
      <c r="D99">
        <f>IF(OR(N(Database!$I99)&lt;=0,N(Screener!$D$9)&lt;=0),0,MAX(0,1-ABS(LOG10(N(Database!$I99)/Screener!$D$9))/W_SIZEHW))</f>
        <v/>
      </c>
      <c r="E99">
        <f>IF(OR(Database!$BD99="",Screener!$D$10=""),0,IF(Database!$BD99=Screener!$D$10,1,0))</f>
        <v/>
      </c>
      <c r="F99">
        <f>IF(OR(Database!$BJ99="",Screener!$D$11=""),0,IF(Database!$BJ99=Screener!$D$11,1,0))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IF(OR(N(Database!$BE99)&lt;=0,N(Screener!$D$13)&lt;=0),0,MAX(0,1-ABS(LOG10(N(Database!$BE99)/Screener!$D$13))/W_PEHW))</f>
        <v/>
      </c>
      <c r="J99">
        <f>IF(OR(N(Database!$S99)&lt;=0,N(Screener!$D$14)&lt;=0),0,MAX(0,1-ABS(LOG10(Database!$S99/Screener!$D$14))/0.6))</f>
        <v/>
      </c>
      <c r="K99">
        <f>IF(Database!$B99=Screener!$B$5,-999999,IF(ISNUMBER(SEARCH(","&amp;Database!$A99&amp;",",","&amp;SUBSTITUTE(Screener!$D$17," ","")&amp;",")),2000000,IF(IF(OR(Screener!$B$18="All",AND(Screener!$B$18="With A-share",(Database!$BJ99="Y")),AND(Screener!$B$18="Without A-share",NOT((Database!$BJ99="Y")))),1,0)=0,-999999,IF(Screener!$B$16="cornerstone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Database!BD89</f>
        <v/>
      </c>
      <c r="AF99">
        <f>Database!BJ89</f>
        <v/>
      </c>
      <c r="AG99">
        <f>Database!H89</f>
        <v/>
      </c>
      <c r="AH99">
        <f>Database!BE89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IF(OR(Database!$BD100="",Screener!$D$10=""),0,IF(Database!$BD100=Screener!$D$10,1,0))</f>
        <v/>
      </c>
      <c r="F100">
        <f>IF(OR(Database!$BJ100="",Screener!$D$11=""),0,IF(Database!$BJ100=Screener!$D$11,1,0))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IF(OR(N(Database!$BE100)&lt;=0,N(Screener!$D$13)&lt;=0),0,MAX(0,1-ABS(LOG10(N(Database!$BE100)/Screener!$D$13))/W_PEHW))</f>
        <v/>
      </c>
      <c r="J100">
        <f>IF(OR(N(Database!$S100)&lt;=0,N(Screener!$D$14)&lt;=0),0,MAX(0,1-ABS(LOG10(Database!$S100/Screener!$D$14))/0.6))</f>
        <v/>
      </c>
      <c r="K100">
        <f>IF(Database!$B100=Screener!$B$5,-999999,IF(ISNUMBER(SEARCH(","&amp;Database!$A100&amp;",",","&amp;SUBSTITUTE(Screener!$D$17," ","")&amp;",")),2000000,IF(IF(OR(Screener!$B$18="All",AND(Screener!$B$18="With A-share",(Database!$BJ100="Y")),AND(Screener!$B$18="Without A-share",NOT((Database!$BJ100="Y")))),1,0)=0,-999999,IF(Screener!$B$16="cornerstone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Database!BD90</f>
        <v/>
      </c>
      <c r="AF100">
        <f>Database!BJ90</f>
        <v/>
      </c>
      <c r="AG100">
        <f>Database!H90</f>
        <v/>
      </c>
      <c r="AH100">
        <f>Database!BE90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IF(OR(Database!$BD101="",Screener!$D$10=""),0,IF(Database!$BD101=Screener!$D$10,1,0))</f>
        <v/>
      </c>
      <c r="F101">
        <f>IF(OR(Database!$BJ101="",Screener!$D$11=""),0,IF(Database!$BJ101=Screener!$D$11,1,0))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IF(OR(N(Database!$BE101)&lt;=0,N(Screener!$D$13)&lt;=0),0,MAX(0,1-ABS(LOG10(N(Database!$BE101)/Screener!$D$13))/W_PEHW))</f>
        <v/>
      </c>
      <c r="J101">
        <f>IF(OR(N(Database!$S101)&lt;=0,N(Screener!$D$14)&lt;=0),0,MAX(0,1-ABS(LOG10(Database!$S101/Screener!$D$14))/0.6))</f>
        <v/>
      </c>
      <c r="K101">
        <f>IF(Database!$B101=Screener!$B$5,-999999,IF(ISNUMBER(SEARCH(","&amp;Database!$A101&amp;",",","&amp;SUBSTITUTE(Screener!$D$17," ","")&amp;",")),2000000,IF(IF(OR(Screener!$B$18="All",AND(Screener!$B$18="With A-share",(Database!$BJ101="Y")),AND(Screener!$B$18="Without A-share",NOT((Database!$BJ101="Y")))),1,0)=0,-999999,IF(Screener!$B$16="cornerstone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Database!BD91</f>
        <v/>
      </c>
      <c r="AF101">
        <f>Database!BJ91</f>
        <v/>
      </c>
      <c r="AG101">
        <f>Database!H91</f>
        <v/>
      </c>
      <c r="AH101">
        <f>Database!BE91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IF(OR(Database!$BD102="",Screener!$D$10=""),0,IF(Database!$BD102=Screener!$D$10,1,0))</f>
        <v/>
      </c>
      <c r="F102">
        <f>IF(OR(Database!$BJ102="",Screener!$D$11=""),0,IF(Database!$BJ102=Screener!$D$11,1,0))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IF(OR(N(Database!$BE102)&lt;=0,N(Screener!$D$13)&lt;=0),0,MAX(0,1-ABS(LOG10(N(Database!$BE102)/Screener!$D$13))/W_PEHW))</f>
        <v/>
      </c>
      <c r="J102">
        <f>IF(OR(N(Database!$S102)&lt;=0,N(Screener!$D$14)&lt;=0),0,MAX(0,1-ABS(LOG10(Database!$S102/Screener!$D$14))/0.6))</f>
        <v/>
      </c>
      <c r="K102">
        <f>IF(Database!$B102=Screener!$B$5,-999999,IF(ISNUMBER(SEARCH(","&amp;Database!$A102&amp;",",","&amp;SUBSTITUTE(Screener!$D$17," ","")&amp;",")),2000000,IF(IF(OR(Screener!$B$18="All",AND(Screener!$B$18="With A-share",(Database!$BJ102="Y")),AND(Screener!$B$18="Without A-share",NOT((Database!$BJ102="Y")))),1,0)=0,-999999,IF(Screener!$B$16="cornerstone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Database!BD92</f>
        <v/>
      </c>
      <c r="AF102">
        <f>Database!BJ92</f>
        <v/>
      </c>
      <c r="AG102">
        <f>Database!H92</f>
        <v/>
      </c>
      <c r="AH102">
        <f>Database!BE92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IF(OR(Database!$BD103="",Screener!$D$10=""),0,IF(Database!$BD103=Screener!$D$10,1,0))</f>
        <v/>
      </c>
      <c r="F103">
        <f>IF(OR(Database!$BJ103="",Screener!$D$11=""),0,IF(Database!$BJ103=Screener!$D$11,1,0))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IF(OR(N(Database!$BE103)&lt;=0,N(Screener!$D$13)&lt;=0),0,MAX(0,1-ABS(LOG10(N(Database!$BE103)/Screener!$D$13))/W_PEHW))</f>
        <v/>
      </c>
      <c r="J103">
        <f>IF(OR(N(Database!$S103)&lt;=0,N(Screener!$D$14)&lt;=0),0,MAX(0,1-ABS(LOG10(Database!$S103/Screener!$D$14))/0.6))</f>
        <v/>
      </c>
      <c r="K103">
        <f>IF(Database!$B103=Screener!$B$5,-999999,IF(ISNUMBER(SEARCH(","&amp;Database!$A103&amp;",",","&amp;SUBSTITUTE(Screener!$D$17," ","")&amp;",")),2000000,IF(IF(OR(Screener!$B$18="All",AND(Screener!$B$18="With A-share",(Database!$BJ103="Y")),AND(Screener!$B$18="Without A-share",NOT((Database!$BJ103="Y")))),1,0)=0,-999999,IF(Screener!$B$16="cornerstone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Database!BD93</f>
        <v/>
      </c>
      <c r="AF103">
        <f>Database!BJ93</f>
        <v/>
      </c>
      <c r="AG103">
        <f>Database!H93</f>
        <v/>
      </c>
      <c r="AH103">
        <f>Database!BE93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IF(OR(Database!$BD104="",Screener!$D$10=""),0,IF(Database!$BD104=Screener!$D$10,1,0))</f>
        <v/>
      </c>
      <c r="F104">
        <f>IF(OR(Database!$BJ104="",Screener!$D$11=""),0,IF(Database!$BJ104=Screener!$D$11,1,0))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IF(OR(N(Database!$BE104)&lt;=0,N(Screener!$D$13)&lt;=0),0,MAX(0,1-ABS(LOG10(N(Database!$BE104)/Screener!$D$13))/W_PEHW))</f>
        <v/>
      </c>
      <c r="J104">
        <f>IF(OR(N(Database!$S104)&lt;=0,N(Screener!$D$14)&lt;=0),0,MAX(0,1-ABS(LOG10(Database!$S104/Screener!$D$14))/0.6))</f>
        <v/>
      </c>
      <c r="K104">
        <f>IF(Database!$B104=Screener!$B$5,-999999,IF(ISNUMBER(SEARCH(","&amp;Database!$A104&amp;",",","&amp;SUBSTITUTE(Screener!$D$17," ","")&amp;",")),2000000,IF(IF(OR(Screener!$B$18="All",AND(Screener!$B$18="With A-share",(Database!$BJ104="Y")),AND(Screener!$B$18="Without A-share",NOT((Database!$BJ104="Y")))),1,0)=0,-999999,IF(Screener!$B$16="cornerstone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Database!BD94</f>
        <v/>
      </c>
      <c r="AF104">
        <f>Database!BJ94</f>
        <v/>
      </c>
      <c r="AG104">
        <f>Database!H94</f>
        <v/>
      </c>
      <c r="AH104">
        <f>Database!BE94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IF(OR(Database!$BD105="",Screener!$D$10=""),0,IF(Database!$BD105=Screener!$D$10,1,0))</f>
        <v/>
      </c>
      <c r="F105">
        <f>IF(OR(Database!$BJ105="",Screener!$D$11=""),0,IF(Database!$BJ105=Screener!$D$11,1,0))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IF(OR(N(Database!$BE105)&lt;=0,N(Screener!$D$13)&lt;=0),0,MAX(0,1-ABS(LOG10(N(Database!$BE105)/Screener!$D$13))/W_PEHW))</f>
        <v/>
      </c>
      <c r="J105">
        <f>IF(OR(N(Database!$S105)&lt;=0,N(Screener!$D$14)&lt;=0),0,MAX(0,1-ABS(LOG10(Database!$S105/Screener!$D$14))/0.6))</f>
        <v/>
      </c>
      <c r="K105">
        <f>IF(Database!$B105=Screener!$B$5,-999999,IF(ISNUMBER(SEARCH(","&amp;Database!$A105&amp;",",","&amp;SUBSTITUTE(Screener!$D$17," ","")&amp;",")),2000000,IF(IF(OR(Screener!$B$18="All",AND(Screener!$B$18="With A-share",(Database!$BJ105="Y")),AND(Screener!$B$18="Without A-share",NOT((Database!$BJ105="Y")))),1,0)=0,-999999,IF(Screener!$B$16="cornerstone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Database!BD95</f>
        <v/>
      </c>
      <c r="AF105">
        <f>Database!BJ95</f>
        <v/>
      </c>
      <c r="AG105">
        <f>Database!H95</f>
        <v/>
      </c>
      <c r="AH105">
        <f>Database!BE95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IF(OR(Database!$BD106="",Screener!$D$10=""),0,IF(Database!$BD106=Screener!$D$10,1,0))</f>
        <v/>
      </c>
      <c r="F106">
        <f>IF(OR(Database!$BJ106="",Screener!$D$11=""),0,IF(Database!$BJ106=Screener!$D$11,1,0))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IF(OR(N(Database!$BE106)&lt;=0,N(Screener!$D$13)&lt;=0),0,MAX(0,1-ABS(LOG10(N(Database!$BE106)/Screener!$D$13))/W_PEHW))</f>
        <v/>
      </c>
      <c r="J106">
        <f>IF(OR(N(Database!$S106)&lt;=0,N(Screener!$D$14)&lt;=0),0,MAX(0,1-ABS(LOG10(Database!$S106/Screener!$D$14))/0.6))</f>
        <v/>
      </c>
      <c r="K106">
        <f>IF(Database!$B106=Screener!$B$5,-999999,IF(ISNUMBER(SEARCH(","&amp;Database!$A106&amp;",",","&amp;SUBSTITUTE(Screener!$D$17," ","")&amp;",")),2000000,IF(IF(OR(Screener!$B$18="All",AND(Screener!$B$18="With A-share",(Database!$BJ106="Y")),AND(Screener!$B$18="Without A-share",NOT((Database!$BJ106="Y")))),1,0)=0,-999999,IF(Screener!$B$16="cornerstone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Database!BD96</f>
        <v/>
      </c>
      <c r="AF106">
        <f>Database!BJ96</f>
        <v/>
      </c>
      <c r="AG106">
        <f>Database!H96</f>
        <v/>
      </c>
      <c r="AH106">
        <f>Database!BE96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IF(OR(Database!$BD107="",Screener!$D$10=""),0,IF(Database!$BD107=Screener!$D$10,1,0))</f>
        <v/>
      </c>
      <c r="F107">
        <f>IF(OR(Database!$BJ107="",Screener!$D$11=""),0,IF(Database!$BJ107=Screener!$D$11,1,0))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IF(OR(N(Database!$BE107)&lt;=0,N(Screener!$D$13)&lt;=0),0,MAX(0,1-ABS(LOG10(N(Database!$BE107)/Screener!$D$13))/W_PEHW))</f>
        <v/>
      </c>
      <c r="J107">
        <f>IF(OR(N(Database!$S107)&lt;=0,N(Screener!$D$14)&lt;=0),0,MAX(0,1-ABS(LOG10(Database!$S107/Screener!$D$14))/0.6))</f>
        <v/>
      </c>
      <c r="K107">
        <f>IF(Database!$B107=Screener!$B$5,-999999,IF(ISNUMBER(SEARCH(","&amp;Database!$A107&amp;",",","&amp;SUBSTITUTE(Screener!$D$17," ","")&amp;",")),2000000,IF(IF(OR(Screener!$B$18="All",AND(Screener!$B$18="With A-share",(Database!$BJ107="Y")),AND(Screener!$B$18="Without A-share",NOT((Database!$BJ107="Y")))),1,0)=0,-999999,IF(Screener!$B$16="cornerstone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Database!BD97</f>
        <v/>
      </c>
      <c r="AF107">
        <f>Database!BJ97</f>
        <v/>
      </c>
      <c r="AG107">
        <f>Database!H97</f>
        <v/>
      </c>
      <c r="AH107">
        <f>Database!BE97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IF(OR(Database!$BD108="",Screener!$D$10=""),0,IF(Database!$BD108=Screener!$D$10,1,0))</f>
        <v/>
      </c>
      <c r="F108">
        <f>IF(OR(Database!$BJ108="",Screener!$D$11=""),0,IF(Database!$BJ108=Screener!$D$11,1,0))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IF(OR(N(Database!$BE108)&lt;=0,N(Screener!$D$13)&lt;=0),0,MAX(0,1-ABS(LOG10(N(Database!$BE108)/Screener!$D$13))/W_PEHW))</f>
        <v/>
      </c>
      <c r="J108">
        <f>IF(OR(N(Database!$S108)&lt;=0,N(Screener!$D$14)&lt;=0),0,MAX(0,1-ABS(LOG10(Database!$S108/Screener!$D$14))/0.6))</f>
        <v/>
      </c>
      <c r="K108">
        <f>IF(Database!$B108=Screener!$B$5,-999999,IF(ISNUMBER(SEARCH(","&amp;Database!$A108&amp;",",","&amp;SUBSTITUTE(Screener!$D$17," ","")&amp;",")),2000000,IF(IF(OR(Screener!$B$18="All",AND(Screener!$B$18="With A-share",(Database!$BJ108="Y")),AND(Screener!$B$18="Without A-share",NOT((Database!$BJ108="Y")))),1,0)=0,-999999,IF(Screener!$B$16="cornerstone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Database!BD98</f>
        <v/>
      </c>
      <c r="AF108">
        <f>Database!BJ98</f>
        <v/>
      </c>
      <c r="AG108">
        <f>Database!H98</f>
        <v/>
      </c>
      <c r="AH108">
        <f>Database!BE98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IF(OR(Database!$BD109="",Screener!$D$10=""),0,IF(Database!$BD109=Screener!$D$10,1,0))</f>
        <v/>
      </c>
      <c r="F109">
        <f>IF(OR(Database!$BJ109="",Screener!$D$11=""),0,IF(Database!$BJ109=Screener!$D$11,1,0))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IF(OR(N(Database!$BE109)&lt;=0,N(Screener!$D$13)&lt;=0),0,MAX(0,1-ABS(LOG10(N(Database!$BE109)/Screener!$D$13))/W_PEHW))</f>
        <v/>
      </c>
      <c r="J109">
        <f>IF(OR(N(Database!$S109)&lt;=0,N(Screener!$D$14)&lt;=0),0,MAX(0,1-ABS(LOG10(Database!$S109/Screener!$D$14))/0.6))</f>
        <v/>
      </c>
      <c r="K109">
        <f>IF(Database!$B109=Screener!$B$5,-999999,IF(ISNUMBER(SEARCH(","&amp;Database!$A109&amp;",",","&amp;SUBSTITUTE(Screener!$D$17," ","")&amp;",")),2000000,IF(IF(OR(Screener!$B$18="All",AND(Screener!$B$18="With A-share",(Database!$BJ109="Y")),AND(Screener!$B$18="Without A-share",NOT((Database!$BJ109="Y")))),1,0)=0,-999999,IF(Screener!$B$16="cornerstone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Database!BD99</f>
        <v/>
      </c>
      <c r="AF109">
        <f>Database!BJ99</f>
        <v/>
      </c>
      <c r="AG109">
        <f>Database!H99</f>
        <v/>
      </c>
      <c r="AH109">
        <f>Database!BE99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IF(OR(Database!$BD110="",Screener!$D$10=""),0,IF(Database!$BD110=Screener!$D$10,1,0))</f>
        <v/>
      </c>
      <c r="F110">
        <f>IF(OR(Database!$BJ110="",Screener!$D$11=""),0,IF(Database!$BJ110=Screener!$D$11,1,0))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IF(OR(N(Database!$BE110)&lt;=0,N(Screener!$D$13)&lt;=0),0,MAX(0,1-ABS(LOG10(N(Database!$BE110)/Screener!$D$13))/W_PEHW))</f>
        <v/>
      </c>
      <c r="J110">
        <f>IF(OR(N(Database!$S110)&lt;=0,N(Screener!$D$14)&lt;=0),0,MAX(0,1-ABS(LOG10(Database!$S110/Screener!$D$14))/0.6))</f>
        <v/>
      </c>
      <c r="K110">
        <f>IF(Database!$B110=Screener!$B$5,-999999,IF(ISNUMBER(SEARCH(","&amp;Database!$A110&amp;",",","&amp;SUBSTITUTE(Screener!$D$17," ","")&amp;",")),2000000,IF(IF(OR(Screener!$B$18="All",AND(Screener!$B$18="With A-share",(Database!$BJ110="Y")),AND(Screener!$B$18="Without A-share",NOT((Database!$BJ110="Y")))),1,0)=0,-999999,IF(Screener!$B$16="cornerstone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Database!BD100</f>
        <v/>
      </c>
      <c r="AF110">
        <f>Database!BJ100</f>
        <v/>
      </c>
      <c r="AG110">
        <f>Database!H100</f>
        <v/>
      </c>
      <c r="AH110">
        <f>Database!BE100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IF(OR(Database!$BD111="",Screener!$D$10=""),0,IF(Database!$BD111=Screener!$D$10,1,0))</f>
        <v/>
      </c>
      <c r="F111">
        <f>IF(OR(Database!$BJ111="",Screener!$D$11=""),0,IF(Database!$BJ111=Screener!$D$11,1,0))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IF(OR(N(Database!$BE111)&lt;=0,N(Screener!$D$13)&lt;=0),0,MAX(0,1-ABS(LOG10(N(Database!$BE111)/Screener!$D$13))/W_PEHW))</f>
        <v/>
      </c>
      <c r="J111">
        <f>IF(OR(N(Database!$S111)&lt;=0,N(Screener!$D$14)&lt;=0),0,MAX(0,1-ABS(LOG10(Database!$S111/Screener!$D$14))/0.6))</f>
        <v/>
      </c>
      <c r="K111">
        <f>IF(Database!$B111=Screener!$B$5,-999999,IF(ISNUMBER(SEARCH(","&amp;Database!$A111&amp;",",","&amp;SUBSTITUTE(Screener!$D$17," ","")&amp;",")),2000000,IF(IF(OR(Screener!$B$18="All",AND(Screener!$B$18="With A-share",(Database!$BJ111="Y")),AND(Screener!$B$18="Without A-share",NOT((Database!$BJ111="Y")))),1,0)=0,-999999,IF(Screener!$B$16="cornerstone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Database!BD101</f>
        <v/>
      </c>
      <c r="AF111">
        <f>Database!BJ101</f>
        <v/>
      </c>
      <c r="AG111">
        <f>Database!H101</f>
        <v/>
      </c>
      <c r="AH111">
        <f>Database!BE101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IF(OR(Database!$BD112="",Screener!$D$10=""),0,IF(Database!$BD112=Screener!$D$10,1,0))</f>
        <v/>
      </c>
      <c r="F112">
        <f>IF(OR(Database!$BJ112="",Screener!$D$11=""),0,IF(Database!$BJ112=Screener!$D$11,1,0))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IF(OR(N(Database!$BE112)&lt;=0,N(Screener!$D$13)&lt;=0),0,MAX(0,1-ABS(LOG10(N(Database!$BE112)/Screener!$D$13))/W_PEHW))</f>
        <v/>
      </c>
      <c r="J112">
        <f>IF(OR(N(Database!$S112)&lt;=0,N(Screener!$D$14)&lt;=0),0,MAX(0,1-ABS(LOG10(Database!$S112/Screener!$D$14))/0.6))</f>
        <v/>
      </c>
      <c r="K112">
        <f>IF(Database!$B112=Screener!$B$5,-999999,IF(ISNUMBER(SEARCH(","&amp;Database!$A112&amp;",",","&amp;SUBSTITUTE(Screener!$D$17," ","")&amp;",")),2000000,IF(IF(OR(Screener!$B$18="All",AND(Screener!$B$18="With A-share",(Database!$BJ112="Y")),AND(Screener!$B$18="Without A-share",NOT((Database!$BJ112="Y")))),1,0)=0,-999999,IF(Screener!$B$16="cornerstone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Database!BD102</f>
        <v/>
      </c>
      <c r="AF112">
        <f>Database!BJ102</f>
        <v/>
      </c>
      <c r="AG112">
        <f>Database!H102</f>
        <v/>
      </c>
      <c r="AH112">
        <f>Database!BE102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IF(OR(Database!$BD113="",Screener!$D$10=""),0,IF(Database!$BD113=Screener!$D$10,1,0))</f>
        <v/>
      </c>
      <c r="F113">
        <f>IF(OR(Database!$BJ113="",Screener!$D$11=""),0,IF(Database!$BJ113=Screener!$D$11,1,0))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IF(OR(N(Database!$BE113)&lt;=0,N(Screener!$D$13)&lt;=0),0,MAX(0,1-ABS(LOG10(N(Database!$BE113)/Screener!$D$13))/W_PEHW))</f>
        <v/>
      </c>
      <c r="J113">
        <f>IF(OR(N(Database!$S113)&lt;=0,N(Screener!$D$14)&lt;=0),0,MAX(0,1-ABS(LOG10(Database!$S113/Screener!$D$14))/0.6))</f>
        <v/>
      </c>
      <c r="K113">
        <f>IF(Database!$B113=Screener!$B$5,-999999,IF(ISNUMBER(SEARCH(","&amp;Database!$A113&amp;",",","&amp;SUBSTITUTE(Screener!$D$17," ","")&amp;",")),2000000,IF(IF(OR(Screener!$B$18="All",AND(Screener!$B$18="With A-share",(Database!$BJ113="Y")),AND(Screener!$B$18="Without A-share",NOT((Database!$BJ113="Y")))),1,0)=0,-999999,IF(Screener!$B$16="cornerstone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Database!BD103</f>
        <v/>
      </c>
      <c r="AF113">
        <f>Database!BJ103</f>
        <v/>
      </c>
      <c r="AG113">
        <f>Database!H103</f>
        <v/>
      </c>
      <c r="AH113">
        <f>Database!BE103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IF(OR(Database!$BD114="",Screener!$D$10=""),0,IF(Database!$BD114=Screener!$D$10,1,0))</f>
        <v/>
      </c>
      <c r="F114">
        <f>IF(OR(Database!$BJ114="",Screener!$D$11=""),0,IF(Database!$BJ114=Screener!$D$11,1,0))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IF(OR(N(Database!$BE114)&lt;=0,N(Screener!$D$13)&lt;=0),0,MAX(0,1-ABS(LOG10(N(Database!$BE114)/Screener!$D$13))/W_PEHW))</f>
        <v/>
      </c>
      <c r="J114">
        <f>IF(OR(N(Database!$S114)&lt;=0,N(Screener!$D$14)&lt;=0),0,MAX(0,1-ABS(LOG10(Database!$S114/Screener!$D$14))/0.6))</f>
        <v/>
      </c>
      <c r="K114">
        <f>IF(Database!$B114=Screener!$B$5,-999999,IF(ISNUMBER(SEARCH(","&amp;Database!$A114&amp;",",","&amp;SUBSTITUTE(Screener!$D$17," ","")&amp;",")),2000000,IF(IF(OR(Screener!$B$18="All",AND(Screener!$B$18="With A-share",(Database!$BJ114="Y")),AND(Screener!$B$18="Without A-share",NOT((Database!$BJ114="Y")))),1,0)=0,-999999,IF(Screener!$B$16="cornerstone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Database!BD104</f>
        <v/>
      </c>
      <c r="AF114">
        <f>Database!BJ104</f>
        <v/>
      </c>
      <c r="AG114">
        <f>Database!H104</f>
        <v/>
      </c>
      <c r="AH114">
        <f>Database!BE104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IF(OR(Database!$BD115="",Screener!$D$10=""),0,IF(Database!$BD115=Screener!$D$10,1,0))</f>
        <v/>
      </c>
      <c r="F115">
        <f>IF(OR(Database!$BJ115="",Screener!$D$11=""),0,IF(Database!$BJ115=Screener!$D$11,1,0))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IF(OR(N(Database!$BE115)&lt;=0,N(Screener!$D$13)&lt;=0),0,MAX(0,1-ABS(LOG10(N(Database!$BE115)/Screener!$D$13))/W_PEHW))</f>
        <v/>
      </c>
      <c r="J115">
        <f>IF(OR(N(Database!$S115)&lt;=0,N(Screener!$D$14)&lt;=0),0,MAX(0,1-ABS(LOG10(Database!$S115/Screener!$D$14))/0.6))</f>
        <v/>
      </c>
      <c r="K115">
        <f>IF(Database!$B115=Screener!$B$5,-999999,IF(ISNUMBER(SEARCH(","&amp;Database!$A115&amp;",",","&amp;SUBSTITUTE(Screener!$D$17," ","")&amp;",")),2000000,IF(IF(OR(Screener!$B$18="All",AND(Screener!$B$18="With A-share",(Database!$BJ115="Y")),AND(Screener!$B$18="Without A-share",NOT((Database!$BJ115="Y")))),1,0)=0,-999999,IF(Screener!$B$16="cornerstone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Database!BD105</f>
        <v/>
      </c>
      <c r="AF115">
        <f>Database!BJ105</f>
        <v/>
      </c>
      <c r="AG115">
        <f>Database!H105</f>
        <v/>
      </c>
      <c r="AH115">
        <f>Database!BE105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IF(OR(Database!$BD116="",Screener!$D$10=""),0,IF(Database!$BD116=Screener!$D$10,1,0))</f>
        <v/>
      </c>
      <c r="F116">
        <f>IF(OR(Database!$BJ116="",Screener!$D$11=""),0,IF(Database!$BJ116=Screener!$D$11,1,0))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IF(OR(N(Database!$BE116)&lt;=0,N(Screener!$D$13)&lt;=0),0,MAX(0,1-ABS(LOG10(N(Database!$BE116)/Screener!$D$13))/W_PEHW))</f>
        <v/>
      </c>
      <c r="J116">
        <f>IF(OR(N(Database!$S116)&lt;=0,N(Screener!$D$14)&lt;=0),0,MAX(0,1-ABS(LOG10(Database!$S116/Screener!$D$14))/0.6))</f>
        <v/>
      </c>
      <c r="K116">
        <f>IF(Database!$B116=Screener!$B$5,-999999,IF(ISNUMBER(SEARCH(","&amp;Database!$A116&amp;",",","&amp;SUBSTITUTE(Screener!$D$17," ","")&amp;",")),2000000,IF(IF(OR(Screener!$B$18="All",AND(Screener!$B$18="With A-share",(Database!$BJ116="Y")),AND(Screener!$B$18="Without A-share",NOT((Database!$BJ116="Y")))),1,0)=0,-999999,IF(Screener!$B$16="cornerstone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Database!BD106</f>
        <v/>
      </c>
      <c r="AF116">
        <f>Database!BJ106</f>
        <v/>
      </c>
      <c r="AG116">
        <f>Database!H106</f>
        <v/>
      </c>
      <c r="AH116">
        <f>Database!BE106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IF(OR(Database!$BD117="",Screener!$D$10=""),0,IF(Database!$BD117=Screener!$D$10,1,0))</f>
        <v/>
      </c>
      <c r="F117">
        <f>IF(OR(Database!$BJ117="",Screener!$D$11=""),0,IF(Database!$BJ117=Screener!$D$11,1,0))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IF(OR(N(Database!$BE117)&lt;=0,N(Screener!$D$13)&lt;=0),0,MAX(0,1-ABS(LOG10(N(Database!$BE117)/Screener!$D$13))/W_PEHW))</f>
        <v/>
      </c>
      <c r="J117">
        <f>IF(OR(N(Database!$S117)&lt;=0,N(Screener!$D$14)&lt;=0),0,MAX(0,1-ABS(LOG10(Database!$S117/Screener!$D$14))/0.6))</f>
        <v/>
      </c>
      <c r="K117">
        <f>IF(Database!$B117=Screener!$B$5,-999999,IF(ISNUMBER(SEARCH(","&amp;Database!$A117&amp;",",","&amp;SUBSTITUTE(Screener!$D$17," ","")&amp;",")),2000000,IF(IF(OR(Screener!$B$18="All",AND(Screener!$B$18="With A-share",(Database!$BJ117="Y")),AND(Screener!$B$18="Without A-share",NOT((Database!$BJ117="Y")))),1,0)=0,-999999,IF(Screener!$B$16="cornerstone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Database!BD107</f>
        <v/>
      </c>
      <c r="AF117">
        <f>Database!BJ107</f>
        <v/>
      </c>
      <c r="AG117">
        <f>Database!H107</f>
        <v/>
      </c>
      <c r="AH117">
        <f>Database!BE107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IF(OR(Database!$BD118="",Screener!$D$10=""),0,IF(Database!$BD118=Screener!$D$10,1,0))</f>
        <v/>
      </c>
      <c r="F118">
        <f>IF(OR(Database!$BJ118="",Screener!$D$11=""),0,IF(Database!$BJ118=Screener!$D$11,1,0))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IF(OR(N(Database!$BE118)&lt;=0,N(Screener!$D$13)&lt;=0),0,MAX(0,1-ABS(LOG10(N(Database!$BE118)/Screener!$D$13))/W_PEHW))</f>
        <v/>
      </c>
      <c r="J118">
        <f>IF(OR(N(Database!$S118)&lt;=0,N(Screener!$D$14)&lt;=0),0,MAX(0,1-ABS(LOG10(Database!$S118/Screener!$D$14))/0.6))</f>
        <v/>
      </c>
      <c r="K118">
        <f>IF(Database!$B118=Screener!$B$5,-999999,IF(ISNUMBER(SEARCH(","&amp;Database!$A118&amp;",",","&amp;SUBSTITUTE(Screener!$D$17," ","")&amp;",")),2000000,IF(IF(OR(Screener!$B$18="All",AND(Screener!$B$18="With A-share",(Database!$BJ118="Y")),AND(Screener!$B$18="Without A-share",NOT((Database!$BJ118="Y")))),1,0)=0,-999999,IF(Screener!$B$16="cornerstone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Database!BD108</f>
        <v/>
      </c>
      <c r="AF118">
        <f>Database!BJ108</f>
        <v/>
      </c>
      <c r="AG118">
        <f>Database!H108</f>
        <v/>
      </c>
      <c r="AH118">
        <f>Database!BE108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IF(OR(Database!$BD119="",Screener!$D$10=""),0,IF(Database!$BD119=Screener!$D$10,1,0))</f>
        <v/>
      </c>
      <c r="F119">
        <f>IF(OR(Database!$BJ119="",Screener!$D$11=""),0,IF(Database!$BJ119=Screener!$D$11,1,0))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IF(OR(N(Database!$BE119)&lt;=0,N(Screener!$D$13)&lt;=0),0,MAX(0,1-ABS(LOG10(N(Database!$BE119)/Screener!$D$13))/W_PEHW))</f>
        <v/>
      </c>
      <c r="J119">
        <f>IF(OR(N(Database!$S119)&lt;=0,N(Screener!$D$14)&lt;=0),0,MAX(0,1-ABS(LOG10(Database!$S119/Screener!$D$14))/0.6))</f>
        <v/>
      </c>
      <c r="K119">
        <f>IF(Database!$B119=Screener!$B$5,-999999,IF(ISNUMBER(SEARCH(","&amp;Database!$A119&amp;",",","&amp;SUBSTITUTE(Screener!$D$17," ","")&amp;",")),2000000,IF(IF(OR(Screener!$B$18="All",AND(Screener!$B$18="With A-share",(Database!$BJ119="Y")),AND(Screener!$B$18="Without A-share",NOT((Database!$BJ119="Y")))),1,0)=0,-999999,IF(Screener!$B$16="cornerstone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Database!BD109</f>
        <v/>
      </c>
      <c r="AF119">
        <f>Database!BJ109</f>
        <v/>
      </c>
      <c r="AG119">
        <f>Database!H109</f>
        <v/>
      </c>
      <c r="AH119">
        <f>Database!BE109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IF(OR(Database!$BD120="",Screener!$D$10=""),0,IF(Database!$BD120=Screener!$D$10,1,0))</f>
        <v/>
      </c>
      <c r="F120">
        <f>IF(OR(Database!$BJ120="",Screener!$D$11=""),0,IF(Database!$BJ120=Screener!$D$11,1,0))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IF(OR(N(Database!$BE120)&lt;=0,N(Screener!$D$13)&lt;=0),0,MAX(0,1-ABS(LOG10(N(Database!$BE120)/Screener!$D$13))/W_PEHW))</f>
        <v/>
      </c>
      <c r="J120">
        <f>IF(OR(N(Database!$S120)&lt;=0,N(Screener!$D$14)&lt;=0),0,MAX(0,1-ABS(LOG10(Database!$S120/Screener!$D$14))/0.6))</f>
        <v/>
      </c>
      <c r="K120">
        <f>IF(Database!$B120=Screener!$B$5,-999999,IF(ISNUMBER(SEARCH(","&amp;Database!$A120&amp;",",","&amp;SUBSTITUTE(Screener!$D$17," ","")&amp;",")),2000000,IF(IF(OR(Screener!$B$18="All",AND(Screener!$B$18="With A-share",(Database!$BJ120="Y")),AND(Screener!$B$18="Without A-share",NOT((Database!$BJ120="Y")))),1,0)=0,-999999,IF(Screener!$B$16="cornerstone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Database!BD110</f>
        <v/>
      </c>
      <c r="AF120">
        <f>Database!BJ110</f>
        <v/>
      </c>
      <c r="AG120">
        <f>Database!H110</f>
        <v/>
      </c>
      <c r="AH120">
        <f>Database!BE110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IF(OR(Database!$BD121="",Screener!$D$10=""),0,IF(Database!$BD121=Screener!$D$10,1,0))</f>
        <v/>
      </c>
      <c r="F121">
        <f>IF(OR(Database!$BJ121="",Screener!$D$11=""),0,IF(Database!$BJ121=Screener!$D$11,1,0))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IF(OR(N(Database!$BE121)&lt;=0,N(Screener!$D$13)&lt;=0),0,MAX(0,1-ABS(LOG10(N(Database!$BE121)/Screener!$D$13))/W_PEHW))</f>
        <v/>
      </c>
      <c r="J121">
        <f>IF(OR(N(Database!$S121)&lt;=0,N(Screener!$D$14)&lt;=0),0,MAX(0,1-ABS(LOG10(Database!$S121/Screener!$D$14))/0.6))</f>
        <v/>
      </c>
      <c r="K121">
        <f>IF(Database!$B121=Screener!$B$5,-999999,IF(ISNUMBER(SEARCH(","&amp;Database!$A121&amp;",",","&amp;SUBSTITUTE(Screener!$D$17," ","")&amp;",")),2000000,IF(IF(OR(Screener!$B$18="All",AND(Screener!$B$18="With A-share",(Database!$BJ121="Y")),AND(Screener!$B$18="Without A-share",NOT((Database!$BJ121="Y")))),1,0)=0,-999999,IF(Screener!$B$16="cornerstone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Database!BD111</f>
        <v/>
      </c>
      <c r="AF121">
        <f>Database!BJ111</f>
        <v/>
      </c>
      <c r="AG121">
        <f>Database!H111</f>
        <v/>
      </c>
      <c r="AH121">
        <f>Database!BE111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IF(OR(Database!$BD122="",Screener!$D$10=""),0,IF(Database!$BD122=Screener!$D$10,1,0))</f>
        <v/>
      </c>
      <c r="F122">
        <f>IF(OR(Database!$BJ122="",Screener!$D$11=""),0,IF(Database!$BJ122=Screener!$D$11,1,0))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IF(OR(N(Database!$BE122)&lt;=0,N(Screener!$D$13)&lt;=0),0,MAX(0,1-ABS(LOG10(N(Database!$BE122)/Screener!$D$13))/W_PEHW))</f>
        <v/>
      </c>
      <c r="J122">
        <f>IF(OR(N(Database!$S122)&lt;=0,N(Screener!$D$14)&lt;=0),0,MAX(0,1-ABS(LOG10(Database!$S122/Screener!$D$14))/0.6))</f>
        <v/>
      </c>
      <c r="K122">
        <f>IF(Database!$B122=Screener!$B$5,-999999,IF(ISNUMBER(SEARCH(","&amp;Database!$A122&amp;",",","&amp;SUBSTITUTE(Screener!$D$17," ","")&amp;",")),2000000,IF(IF(OR(Screener!$B$18="All",AND(Screener!$B$18="With A-share",(Database!$BJ122="Y")),AND(Screener!$B$18="Without A-share",NOT((Database!$BJ122="Y")))),1,0)=0,-999999,IF(Screener!$B$16="cornerstone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Database!BD112</f>
        <v/>
      </c>
      <c r="AF122">
        <f>Database!BJ112</f>
        <v/>
      </c>
      <c r="AG122">
        <f>Database!H112</f>
        <v/>
      </c>
      <c r="AH122">
        <f>Database!BE112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IF(OR(Database!$BD123="",Screener!$D$10=""),0,IF(Database!$BD123=Screener!$D$10,1,0))</f>
        <v/>
      </c>
      <c r="F123">
        <f>IF(OR(Database!$BJ123="",Screener!$D$11=""),0,IF(Database!$BJ123=Screener!$D$11,1,0))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IF(OR(N(Database!$BE123)&lt;=0,N(Screener!$D$13)&lt;=0),0,MAX(0,1-ABS(LOG10(N(Database!$BE123)/Screener!$D$13))/W_PEHW))</f>
        <v/>
      </c>
      <c r="J123">
        <f>IF(OR(N(Database!$S123)&lt;=0,N(Screener!$D$14)&lt;=0),0,MAX(0,1-ABS(LOG10(Database!$S123/Screener!$D$14))/0.6))</f>
        <v/>
      </c>
      <c r="K123">
        <f>IF(Database!$B123=Screener!$B$5,-999999,IF(ISNUMBER(SEARCH(","&amp;Database!$A123&amp;",",","&amp;SUBSTITUTE(Screener!$D$17," ","")&amp;",")),2000000,IF(IF(OR(Screener!$B$18="All",AND(Screener!$B$18="With A-share",(Database!$BJ123="Y")),AND(Screener!$B$18="Without A-share",NOT((Database!$BJ123="Y")))),1,0)=0,-999999,IF(Screener!$B$16="cornerstone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Database!BD113</f>
        <v/>
      </c>
      <c r="AF123">
        <f>Database!BJ113</f>
        <v/>
      </c>
      <c r="AG123">
        <f>Database!H113</f>
        <v/>
      </c>
      <c r="AH123">
        <f>Database!BE113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IF(OR(Database!$BD124="",Screener!$D$10=""),0,IF(Database!$BD124=Screener!$D$10,1,0))</f>
        <v/>
      </c>
      <c r="F124">
        <f>IF(OR(Database!$BJ124="",Screener!$D$11=""),0,IF(Database!$BJ124=Screener!$D$11,1,0))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IF(OR(N(Database!$BE124)&lt;=0,N(Screener!$D$13)&lt;=0),0,MAX(0,1-ABS(LOG10(N(Database!$BE124)/Screener!$D$13))/W_PEHW))</f>
        <v/>
      </c>
      <c r="J124">
        <f>IF(OR(N(Database!$S124)&lt;=0,N(Screener!$D$14)&lt;=0),0,MAX(0,1-ABS(LOG10(Database!$S124/Screener!$D$14))/0.6))</f>
        <v/>
      </c>
      <c r="K124">
        <f>IF(Database!$B124=Screener!$B$5,-999999,IF(ISNUMBER(SEARCH(","&amp;Database!$A124&amp;",",","&amp;SUBSTITUTE(Screener!$D$17," ","")&amp;",")),2000000,IF(IF(OR(Screener!$B$18="All",AND(Screener!$B$18="With A-share",(Database!$BJ124="Y")),AND(Screener!$B$18="Without A-share",NOT((Database!$BJ124="Y")))),1,0)=0,-999999,IF(Screener!$B$16="cornerstone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Database!BD114</f>
        <v/>
      </c>
      <c r="AF124">
        <f>Database!BJ114</f>
        <v/>
      </c>
      <c r="AG124">
        <f>Database!H114</f>
        <v/>
      </c>
      <c r="AH124">
        <f>Database!BE114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IF(OR(Database!$BD125="",Screener!$D$10=""),0,IF(Database!$BD125=Screener!$D$10,1,0))</f>
        <v/>
      </c>
      <c r="F125">
        <f>IF(OR(Database!$BJ125="",Screener!$D$11=""),0,IF(Database!$BJ125=Screener!$D$11,1,0))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IF(OR(N(Database!$BE125)&lt;=0,N(Screener!$D$13)&lt;=0),0,MAX(0,1-ABS(LOG10(N(Database!$BE125)/Screener!$D$13))/W_PEHW))</f>
        <v/>
      </c>
      <c r="J125">
        <f>IF(OR(N(Database!$S125)&lt;=0,N(Screener!$D$14)&lt;=0),0,MAX(0,1-ABS(LOG10(Database!$S125/Screener!$D$14))/0.6))</f>
        <v/>
      </c>
      <c r="K125">
        <f>IF(Database!$B125=Screener!$B$5,-999999,IF(ISNUMBER(SEARCH(","&amp;Database!$A125&amp;",",","&amp;SUBSTITUTE(Screener!$D$17," ","")&amp;",")),2000000,IF(IF(OR(Screener!$B$18="All",AND(Screener!$B$18="With A-share",(Database!$BJ125="Y")),AND(Screener!$B$18="Without A-share",NOT((Database!$BJ125="Y")))),1,0)=0,-999999,IF(Screener!$B$16="cornerstone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Database!BD115</f>
        <v/>
      </c>
      <c r="AF125">
        <f>Database!BJ115</f>
        <v/>
      </c>
      <c r="AG125">
        <f>Database!H115</f>
        <v/>
      </c>
      <c r="AH125">
        <f>Database!BE115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IF(OR(Database!$BD126="",Screener!$D$10=""),0,IF(Database!$BD126=Screener!$D$10,1,0))</f>
        <v/>
      </c>
      <c r="F126">
        <f>IF(OR(Database!$BJ126="",Screener!$D$11=""),0,IF(Database!$BJ126=Screener!$D$11,1,0))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IF(OR(N(Database!$BE126)&lt;=0,N(Screener!$D$13)&lt;=0),0,MAX(0,1-ABS(LOG10(N(Database!$BE126)/Screener!$D$13))/W_PEHW))</f>
        <v/>
      </c>
      <c r="J126">
        <f>IF(OR(N(Database!$S126)&lt;=0,N(Screener!$D$14)&lt;=0),0,MAX(0,1-ABS(LOG10(Database!$S126/Screener!$D$14))/0.6))</f>
        <v/>
      </c>
      <c r="K126">
        <f>IF(Database!$B126=Screener!$B$5,-999999,IF(ISNUMBER(SEARCH(","&amp;Database!$A126&amp;",",","&amp;SUBSTITUTE(Screener!$D$17," ","")&amp;",")),2000000,IF(IF(OR(Screener!$B$18="All",AND(Screener!$B$18="With A-share",(Database!$BJ126="Y")),AND(Screener!$B$18="Without A-share",NOT((Database!$BJ126="Y")))),1,0)=0,-999999,IF(Screener!$B$16="cornerstone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Database!BD116</f>
        <v/>
      </c>
      <c r="AF126">
        <f>Database!BJ116</f>
        <v/>
      </c>
      <c r="AG126">
        <f>Database!H116</f>
        <v/>
      </c>
      <c r="AH126">
        <f>Database!BE116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IF(OR(Database!$BD127="",Screener!$D$10=""),0,IF(Database!$BD127=Screener!$D$10,1,0))</f>
        <v/>
      </c>
      <c r="F127">
        <f>IF(OR(Database!$BJ127="",Screener!$D$11=""),0,IF(Database!$BJ127=Screener!$D$11,1,0))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IF(OR(N(Database!$BE127)&lt;=0,N(Screener!$D$13)&lt;=0),0,MAX(0,1-ABS(LOG10(N(Database!$BE127)/Screener!$D$13))/W_PEHW))</f>
        <v/>
      </c>
      <c r="J127">
        <f>IF(OR(N(Database!$S127)&lt;=0,N(Screener!$D$14)&lt;=0),0,MAX(0,1-ABS(LOG10(Database!$S127/Screener!$D$14))/0.6))</f>
        <v/>
      </c>
      <c r="K127">
        <f>IF(Database!$B127=Screener!$B$5,-999999,IF(ISNUMBER(SEARCH(","&amp;Database!$A127&amp;",",","&amp;SUBSTITUTE(Screener!$D$17," ","")&amp;",")),2000000,IF(IF(OR(Screener!$B$18="All",AND(Screener!$B$18="With A-share",(Database!$BJ127="Y")),AND(Screener!$B$18="Without A-share",NOT((Database!$BJ127="Y")))),1,0)=0,-999999,IF(Screener!$B$16="cornerstone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Database!BD117</f>
        <v/>
      </c>
      <c r="AF127">
        <f>Database!BJ117</f>
        <v/>
      </c>
      <c r="AG127">
        <f>Database!H117</f>
        <v/>
      </c>
      <c r="AH127">
        <f>Database!BE117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IF(OR(Database!$BD128="",Screener!$D$10=""),0,IF(Database!$BD128=Screener!$D$10,1,0))</f>
        <v/>
      </c>
      <c r="F128">
        <f>IF(OR(Database!$BJ128="",Screener!$D$11=""),0,IF(Database!$BJ128=Screener!$D$11,1,0))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IF(OR(N(Database!$BE128)&lt;=0,N(Screener!$D$13)&lt;=0),0,MAX(0,1-ABS(LOG10(N(Database!$BE128)/Screener!$D$13))/W_PEHW))</f>
        <v/>
      </c>
      <c r="J128">
        <f>IF(OR(N(Database!$S128)&lt;=0,N(Screener!$D$14)&lt;=0),0,MAX(0,1-ABS(LOG10(Database!$S128/Screener!$D$14))/0.6))</f>
        <v/>
      </c>
      <c r="K128">
        <f>IF(Database!$B128=Screener!$B$5,-999999,IF(ISNUMBER(SEARCH(","&amp;Database!$A128&amp;",",","&amp;SUBSTITUTE(Screener!$D$17," ","")&amp;",")),2000000,IF(IF(OR(Screener!$B$18="All",AND(Screener!$B$18="With A-share",(Database!$BJ128="Y")),AND(Screener!$B$18="Without A-share",NOT((Database!$BJ128="Y")))),1,0)=0,-999999,IF(Screener!$B$16="cornerstone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Database!BD118</f>
        <v/>
      </c>
      <c r="AF128">
        <f>Database!BJ118</f>
        <v/>
      </c>
      <c r="AG128">
        <f>Database!H118</f>
        <v/>
      </c>
      <c r="AH128">
        <f>Database!BE118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IF(OR(Database!$BD129="",Screener!$D$10=""),0,IF(Database!$BD129=Screener!$D$10,1,0))</f>
        <v/>
      </c>
      <c r="F129">
        <f>IF(OR(Database!$BJ129="",Screener!$D$11=""),0,IF(Database!$BJ129=Screener!$D$11,1,0))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IF(OR(N(Database!$BE129)&lt;=0,N(Screener!$D$13)&lt;=0),0,MAX(0,1-ABS(LOG10(N(Database!$BE129)/Screener!$D$13))/W_PEHW))</f>
        <v/>
      </c>
      <c r="J129">
        <f>IF(OR(N(Database!$S129)&lt;=0,N(Screener!$D$14)&lt;=0),0,MAX(0,1-ABS(LOG10(Database!$S129/Screener!$D$14))/0.6))</f>
        <v/>
      </c>
      <c r="K129">
        <f>IF(Database!$B129=Screener!$B$5,-999999,IF(ISNUMBER(SEARCH(","&amp;Database!$A129&amp;",",","&amp;SUBSTITUTE(Screener!$D$17," ","")&amp;",")),2000000,IF(IF(OR(Screener!$B$18="All",AND(Screener!$B$18="With A-share",(Database!$BJ129="Y")),AND(Screener!$B$18="Without A-share",NOT((Database!$BJ129="Y")))),1,0)=0,-999999,IF(Screener!$B$16="cornerstone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Database!BD119</f>
        <v/>
      </c>
      <c r="AF129">
        <f>Database!BJ119</f>
        <v/>
      </c>
      <c r="AG129">
        <f>Database!H119</f>
        <v/>
      </c>
      <c r="AH129">
        <f>Database!BE119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IF(OR(Database!$BD130="",Screener!$D$10=""),0,IF(Database!$BD130=Screener!$D$10,1,0))</f>
        <v/>
      </c>
      <c r="F130">
        <f>IF(OR(Database!$BJ130="",Screener!$D$11=""),0,IF(Database!$BJ130=Screener!$D$11,1,0))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IF(OR(N(Database!$BE130)&lt;=0,N(Screener!$D$13)&lt;=0),0,MAX(0,1-ABS(LOG10(N(Database!$BE130)/Screener!$D$13))/W_PEHW))</f>
        <v/>
      </c>
      <c r="J130">
        <f>IF(OR(N(Database!$S130)&lt;=0,N(Screener!$D$14)&lt;=0),0,MAX(0,1-ABS(LOG10(Database!$S130/Screener!$D$14))/0.6))</f>
        <v/>
      </c>
      <c r="K130">
        <f>IF(Database!$B130=Screener!$B$5,-999999,IF(ISNUMBER(SEARCH(","&amp;Database!$A130&amp;",",","&amp;SUBSTITUTE(Screener!$D$17," ","")&amp;",")),2000000,IF(IF(OR(Screener!$B$18="All",AND(Screener!$B$18="With A-share",(Database!$BJ130="Y")),AND(Screener!$B$18="Without A-share",NOT((Database!$BJ130="Y")))),1,0)=0,-999999,IF(Screener!$B$16="cornerstone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Database!BD120</f>
        <v/>
      </c>
      <c r="AF130">
        <f>Database!BJ120</f>
        <v/>
      </c>
      <c r="AG130">
        <f>Database!H120</f>
        <v/>
      </c>
      <c r="AH130">
        <f>Database!BE120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IF(OR(Database!$BD131="",Screener!$D$10=""),0,IF(Database!$BD131=Screener!$D$10,1,0))</f>
        <v/>
      </c>
      <c r="F131">
        <f>IF(OR(Database!$BJ131="",Screener!$D$11=""),0,IF(Database!$BJ131=Screener!$D$11,1,0))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IF(OR(N(Database!$BE131)&lt;=0,N(Screener!$D$13)&lt;=0),0,MAX(0,1-ABS(LOG10(N(Database!$BE131)/Screener!$D$13))/W_PEHW))</f>
        <v/>
      </c>
      <c r="J131">
        <f>IF(OR(N(Database!$S131)&lt;=0,N(Screener!$D$14)&lt;=0),0,MAX(0,1-ABS(LOG10(Database!$S131/Screener!$D$14))/0.6))</f>
        <v/>
      </c>
      <c r="K131">
        <f>IF(Database!$B131=Screener!$B$5,-999999,IF(ISNUMBER(SEARCH(","&amp;Database!$A131&amp;",",","&amp;SUBSTITUTE(Screener!$D$17," ","")&amp;",")),2000000,IF(IF(OR(Screener!$B$18="All",AND(Screener!$B$18="With A-share",(Database!$BJ131="Y")),AND(Screener!$B$18="Without A-share",NOT((Database!$BJ131="Y")))),1,0)=0,-999999,IF(Screener!$B$16="cornerstone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Database!BD121</f>
        <v/>
      </c>
      <c r="AF131">
        <f>Database!BJ121</f>
        <v/>
      </c>
      <c r="AG131">
        <f>Database!H121</f>
        <v/>
      </c>
      <c r="AH131">
        <f>Database!BE121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IF(OR(Database!$BD132="",Screener!$D$10=""),0,IF(Database!$BD132=Screener!$D$10,1,0))</f>
        <v/>
      </c>
      <c r="F132">
        <f>IF(OR(Database!$BJ132="",Screener!$D$11=""),0,IF(Database!$BJ132=Screener!$D$11,1,0))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IF(OR(N(Database!$BE132)&lt;=0,N(Screener!$D$13)&lt;=0),0,MAX(0,1-ABS(LOG10(N(Database!$BE132)/Screener!$D$13))/W_PEHW))</f>
        <v/>
      </c>
      <c r="J132">
        <f>IF(OR(N(Database!$S132)&lt;=0,N(Screener!$D$14)&lt;=0),0,MAX(0,1-ABS(LOG10(Database!$S132/Screener!$D$14))/0.6))</f>
        <v/>
      </c>
      <c r="K132">
        <f>IF(Database!$B132=Screener!$B$5,-999999,IF(ISNUMBER(SEARCH(","&amp;Database!$A132&amp;",",","&amp;SUBSTITUTE(Screener!$D$17," ","")&amp;",")),2000000,IF(IF(OR(Screener!$B$18="All",AND(Screener!$B$18="With A-share",(Database!$BJ132="Y")),AND(Screener!$B$18="Without A-share",NOT((Database!$BJ132="Y")))),1,0)=0,-999999,IF(Screener!$B$16="cornerstone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Database!BD122</f>
        <v/>
      </c>
      <c r="AF132">
        <f>Database!BJ122</f>
        <v/>
      </c>
      <c r="AG132">
        <f>Database!H122</f>
        <v/>
      </c>
      <c r="AH132">
        <f>Database!BE122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IF(OR(Database!$BD133="",Screener!$D$10=""),0,IF(Database!$BD133=Screener!$D$10,1,0))</f>
        <v/>
      </c>
      <c r="F133">
        <f>IF(OR(Database!$BJ133="",Screener!$D$11=""),0,IF(Database!$BJ133=Screener!$D$11,1,0))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IF(OR(N(Database!$BE133)&lt;=0,N(Screener!$D$13)&lt;=0),0,MAX(0,1-ABS(LOG10(N(Database!$BE133)/Screener!$D$13))/W_PEHW))</f>
        <v/>
      </c>
      <c r="J133">
        <f>IF(OR(N(Database!$S133)&lt;=0,N(Screener!$D$14)&lt;=0),0,MAX(0,1-ABS(LOG10(Database!$S133/Screener!$D$14))/0.6))</f>
        <v/>
      </c>
      <c r="K133">
        <f>IF(Database!$B133=Screener!$B$5,-999999,IF(ISNUMBER(SEARCH(","&amp;Database!$A133&amp;",",","&amp;SUBSTITUTE(Screener!$D$17," ","")&amp;",")),2000000,IF(IF(OR(Screener!$B$18="All",AND(Screener!$B$18="With A-share",(Database!$BJ133="Y")),AND(Screener!$B$18="Without A-share",NOT((Database!$BJ133="Y")))),1,0)=0,-999999,IF(Screener!$B$16="cornerstone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Database!BD123</f>
        <v/>
      </c>
      <c r="AF133">
        <f>Database!BJ123</f>
        <v/>
      </c>
      <c r="AG133">
        <f>Database!H123</f>
        <v/>
      </c>
      <c r="AH133">
        <f>Database!BE123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IF(OR(Database!$BD134="",Screener!$D$10=""),0,IF(Database!$BD134=Screener!$D$10,1,0))</f>
        <v/>
      </c>
      <c r="F134">
        <f>IF(OR(Database!$BJ134="",Screener!$D$11=""),0,IF(Database!$BJ134=Screener!$D$11,1,0))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IF(OR(N(Database!$BE134)&lt;=0,N(Screener!$D$13)&lt;=0),0,MAX(0,1-ABS(LOG10(N(Database!$BE134)/Screener!$D$13))/W_PEHW))</f>
        <v/>
      </c>
      <c r="J134">
        <f>IF(OR(N(Database!$S134)&lt;=0,N(Screener!$D$14)&lt;=0),0,MAX(0,1-ABS(LOG10(Database!$S134/Screener!$D$14))/0.6))</f>
        <v/>
      </c>
      <c r="K134">
        <f>IF(Database!$B134=Screener!$B$5,-999999,IF(ISNUMBER(SEARCH(","&amp;Database!$A134&amp;",",","&amp;SUBSTITUTE(Screener!$D$17," ","")&amp;",")),2000000,IF(IF(OR(Screener!$B$18="All",AND(Screener!$B$18="With A-share",(Database!$BJ134="Y")),AND(Screener!$B$18="Without A-share",NOT((Database!$BJ134="Y")))),1,0)=0,-999999,IF(Screener!$B$16="cornerstone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Database!BD124</f>
        <v/>
      </c>
      <c r="AF134">
        <f>Database!BJ124</f>
        <v/>
      </c>
      <c r="AG134">
        <f>Database!H124</f>
        <v/>
      </c>
      <c r="AH134">
        <f>Database!BE124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IF(OR(Database!$BD135="",Screener!$D$10=""),0,IF(Database!$BD135=Screener!$D$10,1,0))</f>
        <v/>
      </c>
      <c r="F135">
        <f>IF(OR(Database!$BJ135="",Screener!$D$11=""),0,IF(Database!$BJ135=Screener!$D$11,1,0))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IF(OR(N(Database!$BE135)&lt;=0,N(Screener!$D$13)&lt;=0),0,MAX(0,1-ABS(LOG10(N(Database!$BE135)/Screener!$D$13))/W_PEHW))</f>
        <v/>
      </c>
      <c r="J135">
        <f>IF(OR(N(Database!$S135)&lt;=0,N(Screener!$D$14)&lt;=0),0,MAX(0,1-ABS(LOG10(Database!$S135/Screener!$D$14))/0.6))</f>
        <v/>
      </c>
      <c r="K135">
        <f>IF(Database!$B135=Screener!$B$5,-999999,IF(ISNUMBER(SEARCH(","&amp;Database!$A135&amp;",",","&amp;SUBSTITUTE(Screener!$D$17," ","")&amp;",")),2000000,IF(IF(OR(Screener!$B$18="All",AND(Screener!$B$18="With A-share",(Database!$BJ135="Y")),AND(Screener!$B$18="Without A-share",NOT((Database!$BJ135="Y")))),1,0)=0,-999999,IF(Screener!$B$16="cornerstone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Database!BD125</f>
        <v/>
      </c>
      <c r="AF135">
        <f>Database!BJ125</f>
        <v/>
      </c>
      <c r="AG135">
        <f>Database!H125</f>
        <v/>
      </c>
      <c r="AH135">
        <f>Database!BE125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IF(OR(Database!$BD136="",Screener!$D$10=""),0,IF(Database!$BD136=Screener!$D$10,1,0))</f>
        <v/>
      </c>
      <c r="F136">
        <f>IF(OR(Database!$BJ136="",Screener!$D$11=""),0,IF(Database!$BJ136=Screener!$D$11,1,0))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IF(OR(N(Database!$BE136)&lt;=0,N(Screener!$D$13)&lt;=0),0,MAX(0,1-ABS(LOG10(N(Database!$BE136)/Screener!$D$13))/W_PEHW))</f>
        <v/>
      </c>
      <c r="J136">
        <f>IF(OR(N(Database!$S136)&lt;=0,N(Screener!$D$14)&lt;=0),0,MAX(0,1-ABS(LOG10(Database!$S136/Screener!$D$14))/0.6))</f>
        <v/>
      </c>
      <c r="K136">
        <f>IF(Database!$B136=Screener!$B$5,-999999,IF(ISNUMBER(SEARCH(","&amp;Database!$A136&amp;",",","&amp;SUBSTITUTE(Screener!$D$17," ","")&amp;",")),2000000,IF(IF(OR(Screener!$B$18="All",AND(Screener!$B$18="With A-share",(Database!$BJ136="Y")),AND(Screener!$B$18="Without A-share",NOT((Database!$BJ136="Y")))),1,0)=0,-999999,IF(Screener!$B$16="cornerstone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Database!BD126</f>
        <v/>
      </c>
      <c r="AF136">
        <f>Database!BJ126</f>
        <v/>
      </c>
      <c r="AG136">
        <f>Database!H126</f>
        <v/>
      </c>
      <c r="AH136">
        <f>Database!BE126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IF(OR(Database!$BD137="",Screener!$D$10=""),0,IF(Database!$BD137=Screener!$D$10,1,0))</f>
        <v/>
      </c>
      <c r="F137">
        <f>IF(OR(Database!$BJ137="",Screener!$D$11=""),0,IF(Database!$BJ137=Screener!$D$11,1,0))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IF(OR(N(Database!$BE137)&lt;=0,N(Screener!$D$13)&lt;=0),0,MAX(0,1-ABS(LOG10(N(Database!$BE137)/Screener!$D$13))/W_PEHW))</f>
        <v/>
      </c>
      <c r="J137">
        <f>IF(OR(N(Database!$S137)&lt;=0,N(Screener!$D$14)&lt;=0),0,MAX(0,1-ABS(LOG10(Database!$S137/Screener!$D$14))/0.6))</f>
        <v/>
      </c>
      <c r="K137">
        <f>IF(Database!$B137=Screener!$B$5,-999999,IF(ISNUMBER(SEARCH(","&amp;Database!$A137&amp;",",","&amp;SUBSTITUTE(Screener!$D$17," ","")&amp;",")),2000000,IF(IF(OR(Screener!$B$18="All",AND(Screener!$B$18="With A-share",(Database!$BJ137="Y")),AND(Screener!$B$18="Without A-share",NOT((Database!$BJ137="Y")))),1,0)=0,-999999,IF(Screener!$B$16="cornerstone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Database!BD127</f>
        <v/>
      </c>
      <c r="AF137">
        <f>Database!BJ127</f>
        <v/>
      </c>
      <c r="AG137">
        <f>Database!H127</f>
        <v/>
      </c>
      <c r="AH137">
        <f>Database!BE127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IF(OR(Database!$BD138="",Screener!$D$10=""),0,IF(Database!$BD138=Screener!$D$10,1,0))</f>
        <v/>
      </c>
      <c r="F138">
        <f>IF(OR(Database!$BJ138="",Screener!$D$11=""),0,IF(Database!$BJ138=Screener!$D$11,1,0))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IF(OR(N(Database!$BE138)&lt;=0,N(Screener!$D$13)&lt;=0),0,MAX(0,1-ABS(LOG10(N(Database!$BE138)/Screener!$D$13))/W_PEHW))</f>
        <v/>
      </c>
      <c r="J138">
        <f>IF(OR(N(Database!$S138)&lt;=0,N(Screener!$D$14)&lt;=0),0,MAX(0,1-ABS(LOG10(Database!$S138/Screener!$D$14))/0.6))</f>
        <v/>
      </c>
      <c r="K138">
        <f>IF(Database!$B138=Screener!$B$5,-999999,IF(ISNUMBER(SEARCH(","&amp;Database!$A138&amp;",",","&amp;SUBSTITUTE(Screener!$D$17," ","")&amp;",")),2000000,IF(IF(OR(Screener!$B$18="All",AND(Screener!$B$18="With A-share",(Database!$BJ138="Y")),AND(Screener!$B$18="Without A-share",NOT((Database!$BJ138="Y")))),1,0)=0,-999999,IF(Screener!$B$16="cornerstone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Database!BD128</f>
        <v/>
      </c>
      <c r="AF138">
        <f>Database!BJ128</f>
        <v/>
      </c>
      <c r="AG138">
        <f>Database!H128</f>
        <v/>
      </c>
      <c r="AH138">
        <f>Database!BE128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IF(OR(Database!$BD139="",Screener!$D$10=""),0,IF(Database!$BD139=Screener!$D$10,1,0))</f>
        <v/>
      </c>
      <c r="F139">
        <f>IF(OR(Database!$BJ139="",Screener!$D$11=""),0,IF(Database!$BJ139=Screener!$D$11,1,0))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IF(OR(N(Database!$BE139)&lt;=0,N(Screener!$D$13)&lt;=0),0,MAX(0,1-ABS(LOG10(N(Database!$BE139)/Screener!$D$13))/W_PEHW))</f>
        <v/>
      </c>
      <c r="J139">
        <f>IF(OR(N(Database!$S139)&lt;=0,N(Screener!$D$14)&lt;=0),0,MAX(0,1-ABS(LOG10(Database!$S139/Screener!$D$14))/0.6))</f>
        <v/>
      </c>
      <c r="K139">
        <f>IF(Database!$B139=Screener!$B$5,-999999,IF(ISNUMBER(SEARCH(","&amp;Database!$A139&amp;",",","&amp;SUBSTITUTE(Screener!$D$17," ","")&amp;",")),2000000,IF(IF(OR(Screener!$B$18="All",AND(Screener!$B$18="With A-share",(Database!$BJ139="Y")),AND(Screener!$B$18="Without A-share",NOT((Database!$BJ139="Y")))),1,0)=0,-999999,IF(Screener!$B$16="cornerstone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Database!BD129</f>
        <v/>
      </c>
      <c r="AF139">
        <f>Database!BJ129</f>
        <v/>
      </c>
      <c r="AG139">
        <f>Database!H129</f>
        <v/>
      </c>
      <c r="AH139">
        <f>Database!BE129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IF(OR(Database!$BD140="",Screener!$D$10=""),0,IF(Database!$BD140=Screener!$D$10,1,0))</f>
        <v/>
      </c>
      <c r="F140">
        <f>IF(OR(Database!$BJ140="",Screener!$D$11=""),0,IF(Database!$BJ140=Screener!$D$11,1,0))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IF(OR(N(Database!$BE140)&lt;=0,N(Screener!$D$13)&lt;=0),0,MAX(0,1-ABS(LOG10(N(Database!$BE140)/Screener!$D$13))/W_PEHW))</f>
        <v/>
      </c>
      <c r="J140">
        <f>IF(OR(N(Database!$S140)&lt;=0,N(Screener!$D$14)&lt;=0),0,MAX(0,1-ABS(LOG10(Database!$S140/Screener!$D$14))/0.6))</f>
        <v/>
      </c>
      <c r="K140">
        <f>IF(Database!$B140=Screener!$B$5,-999999,IF(ISNUMBER(SEARCH(","&amp;Database!$A140&amp;",",","&amp;SUBSTITUTE(Screener!$D$17," ","")&amp;",")),2000000,IF(IF(OR(Screener!$B$18="All",AND(Screener!$B$18="With A-share",(Database!$BJ140="Y")),AND(Screener!$B$18="Without A-share",NOT((Database!$BJ140="Y")))),1,0)=0,-999999,IF(Screener!$B$16="cornerstone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Database!BD130</f>
        <v/>
      </c>
      <c r="AF140">
        <f>Database!BJ130</f>
        <v/>
      </c>
      <c r="AG140">
        <f>Database!H130</f>
        <v/>
      </c>
      <c r="AH140">
        <f>Database!BE130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IF(OR(Database!$BD141="",Screener!$D$10=""),0,IF(Database!$BD141=Screener!$D$10,1,0))</f>
        <v/>
      </c>
      <c r="F141">
        <f>IF(OR(Database!$BJ141="",Screener!$D$11=""),0,IF(Database!$BJ141=Screener!$D$11,1,0))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IF(OR(N(Database!$BE141)&lt;=0,N(Screener!$D$13)&lt;=0),0,MAX(0,1-ABS(LOG10(N(Database!$BE141)/Screener!$D$13))/W_PEHW))</f>
        <v/>
      </c>
      <c r="J141">
        <f>IF(OR(N(Database!$S141)&lt;=0,N(Screener!$D$14)&lt;=0),0,MAX(0,1-ABS(LOG10(Database!$S141/Screener!$D$14))/0.6))</f>
        <v/>
      </c>
      <c r="K141">
        <f>IF(Database!$B141=Screener!$B$5,-999999,IF(ISNUMBER(SEARCH(","&amp;Database!$A141&amp;",",","&amp;SUBSTITUTE(Screener!$D$17," ","")&amp;",")),2000000,IF(IF(OR(Screener!$B$18="All",AND(Screener!$B$18="With A-share",(Database!$BJ141="Y")),AND(Screener!$B$18="Without A-share",NOT((Database!$BJ141="Y")))),1,0)=0,-999999,IF(Screener!$B$16="cornerstone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Database!BD131</f>
        <v/>
      </c>
      <c r="AF141">
        <f>Database!BJ131</f>
        <v/>
      </c>
      <c r="AG141">
        <f>Database!H131</f>
        <v/>
      </c>
      <c r="AH141">
        <f>Database!BE131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IF(OR(Database!$BD142="",Screener!$D$10=""),0,IF(Database!$BD142=Screener!$D$10,1,0))</f>
        <v/>
      </c>
      <c r="F142">
        <f>IF(OR(Database!$BJ142="",Screener!$D$11=""),0,IF(Database!$BJ142=Screener!$D$11,1,0))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IF(OR(N(Database!$BE142)&lt;=0,N(Screener!$D$13)&lt;=0),0,MAX(0,1-ABS(LOG10(N(Database!$BE142)/Screener!$D$13))/W_PEHW))</f>
        <v/>
      </c>
      <c r="J142">
        <f>IF(OR(N(Database!$S142)&lt;=0,N(Screener!$D$14)&lt;=0),0,MAX(0,1-ABS(LOG10(Database!$S142/Screener!$D$14))/0.6))</f>
        <v/>
      </c>
      <c r="K142">
        <f>IF(Database!$B142=Screener!$B$5,-999999,IF(ISNUMBER(SEARCH(","&amp;Database!$A142&amp;",",","&amp;SUBSTITUTE(Screener!$D$17," ","")&amp;",")),2000000,IF(IF(OR(Screener!$B$18="All",AND(Screener!$B$18="With A-share",(Database!$BJ142="Y")),AND(Screener!$B$18="Without A-share",NOT((Database!$BJ142="Y")))),1,0)=0,-999999,IF(Screener!$B$16="cornerstone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Database!BD132</f>
        <v/>
      </c>
      <c r="AF142">
        <f>Database!BJ132</f>
        <v/>
      </c>
      <c r="AG142">
        <f>Database!H132</f>
        <v/>
      </c>
      <c r="AH142">
        <f>Database!BE132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IF(OR(Database!$BD143="",Screener!$D$10=""),0,IF(Database!$BD143=Screener!$D$10,1,0))</f>
        <v/>
      </c>
      <c r="F143">
        <f>IF(OR(Database!$BJ143="",Screener!$D$11=""),0,IF(Database!$BJ143=Screener!$D$11,1,0))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IF(OR(N(Database!$BE143)&lt;=0,N(Screener!$D$13)&lt;=0),0,MAX(0,1-ABS(LOG10(N(Database!$BE143)/Screener!$D$13))/W_PEHW))</f>
        <v/>
      </c>
      <c r="J143">
        <f>IF(OR(N(Database!$S143)&lt;=0,N(Screener!$D$14)&lt;=0),0,MAX(0,1-ABS(LOG10(Database!$S143/Screener!$D$14))/0.6))</f>
        <v/>
      </c>
      <c r="K143">
        <f>IF(Database!$B143=Screener!$B$5,-999999,IF(ISNUMBER(SEARCH(","&amp;Database!$A143&amp;",",","&amp;SUBSTITUTE(Screener!$D$17," ","")&amp;",")),2000000,IF(IF(OR(Screener!$B$18="All",AND(Screener!$B$18="With A-share",(Database!$BJ143="Y")),AND(Screener!$B$18="Without A-share",NOT((Database!$BJ143="Y")))),1,0)=0,-999999,IF(Screener!$B$16="cornerstone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Database!BD133</f>
        <v/>
      </c>
      <c r="AF143">
        <f>Database!BJ133</f>
        <v/>
      </c>
      <c r="AG143">
        <f>Database!H133</f>
        <v/>
      </c>
      <c r="AH143">
        <f>Database!BE133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IF(OR(Database!$BD144="",Screener!$D$10=""),0,IF(Database!$BD144=Screener!$D$10,1,0))</f>
        <v/>
      </c>
      <c r="F144">
        <f>IF(OR(Database!$BJ144="",Screener!$D$11=""),0,IF(Database!$BJ144=Screener!$D$11,1,0))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IF(OR(N(Database!$BE144)&lt;=0,N(Screener!$D$13)&lt;=0),0,MAX(0,1-ABS(LOG10(N(Database!$BE144)/Screener!$D$13))/W_PEHW))</f>
        <v/>
      </c>
      <c r="J144">
        <f>IF(OR(N(Database!$S144)&lt;=0,N(Screener!$D$14)&lt;=0),0,MAX(0,1-ABS(LOG10(Database!$S144/Screener!$D$14))/0.6))</f>
        <v/>
      </c>
      <c r="K144">
        <f>IF(Database!$B144=Screener!$B$5,-999999,IF(ISNUMBER(SEARCH(","&amp;Database!$A144&amp;",",","&amp;SUBSTITUTE(Screener!$D$17," ","")&amp;",")),2000000,IF(IF(OR(Screener!$B$18="All",AND(Screener!$B$18="With A-share",(Database!$BJ144="Y")),AND(Screener!$B$18="Without A-share",NOT((Database!$BJ144="Y")))),1,0)=0,-999999,IF(Screener!$B$16="cornerstone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Database!BD134</f>
        <v/>
      </c>
      <c r="AF144">
        <f>Database!BJ134</f>
        <v/>
      </c>
      <c r="AG144">
        <f>Database!H134</f>
        <v/>
      </c>
      <c r="AH144">
        <f>Database!BE134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IF(OR(Database!$BD145="",Screener!$D$10=""),0,IF(Database!$BD145=Screener!$D$10,1,0))</f>
        <v/>
      </c>
      <c r="F145">
        <f>IF(OR(Database!$BJ145="",Screener!$D$11=""),0,IF(Database!$BJ145=Screener!$D$11,1,0))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IF(OR(N(Database!$BE145)&lt;=0,N(Screener!$D$13)&lt;=0),0,MAX(0,1-ABS(LOG10(N(Database!$BE145)/Screener!$D$13))/W_PEHW))</f>
        <v/>
      </c>
      <c r="J145">
        <f>IF(OR(N(Database!$S145)&lt;=0,N(Screener!$D$14)&lt;=0),0,MAX(0,1-ABS(LOG10(Database!$S145/Screener!$D$14))/0.6))</f>
        <v/>
      </c>
      <c r="K145">
        <f>IF(Database!$B145=Screener!$B$5,-999999,IF(ISNUMBER(SEARCH(","&amp;Database!$A145&amp;",",","&amp;SUBSTITUTE(Screener!$D$17," ","")&amp;",")),2000000,IF(IF(OR(Screener!$B$18="All",AND(Screener!$B$18="With A-share",(Database!$BJ145="Y")),AND(Screener!$B$18="Without A-share",NOT((Database!$BJ145="Y")))),1,0)=0,-999999,IF(Screener!$B$16="cornerstone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Database!BD135</f>
        <v/>
      </c>
      <c r="AF145">
        <f>Database!BJ135</f>
        <v/>
      </c>
      <c r="AG145">
        <f>Database!H135</f>
        <v/>
      </c>
      <c r="AH145">
        <f>Database!BE135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IF(OR(Database!$BD146="",Screener!$D$10=""),0,IF(Database!$BD146=Screener!$D$10,1,0))</f>
        <v/>
      </c>
      <c r="F146">
        <f>IF(OR(Database!$BJ146="",Screener!$D$11=""),0,IF(Database!$BJ146=Screener!$D$11,1,0))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IF(OR(N(Database!$BE146)&lt;=0,N(Screener!$D$13)&lt;=0),0,MAX(0,1-ABS(LOG10(N(Database!$BE146)/Screener!$D$13))/W_PEHW))</f>
        <v/>
      </c>
      <c r="J146">
        <f>IF(OR(N(Database!$S146)&lt;=0,N(Screener!$D$14)&lt;=0),0,MAX(0,1-ABS(LOG10(Database!$S146/Screener!$D$14))/0.6))</f>
        <v/>
      </c>
      <c r="K146">
        <f>IF(Database!$B146=Screener!$B$5,-999999,IF(ISNUMBER(SEARCH(","&amp;Database!$A146&amp;",",","&amp;SUBSTITUTE(Screener!$D$17," ","")&amp;",")),2000000,IF(IF(OR(Screener!$B$18="All",AND(Screener!$B$18="With A-share",(Database!$BJ146="Y")),AND(Screener!$B$18="Without A-share",NOT((Database!$BJ146="Y")))),1,0)=0,-999999,IF(Screener!$B$16="cornerstone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Database!BD136</f>
        <v/>
      </c>
      <c r="AF146">
        <f>Database!BJ136</f>
        <v/>
      </c>
      <c r="AG146">
        <f>Database!H136</f>
        <v/>
      </c>
      <c r="AH146">
        <f>Database!BE136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IF(OR(Database!$BD147="",Screener!$D$10=""),0,IF(Database!$BD147=Screener!$D$10,1,0))</f>
        <v/>
      </c>
      <c r="F147">
        <f>IF(OR(Database!$BJ147="",Screener!$D$11=""),0,IF(Database!$BJ147=Screener!$D$11,1,0))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IF(OR(N(Database!$BE147)&lt;=0,N(Screener!$D$13)&lt;=0),0,MAX(0,1-ABS(LOG10(N(Database!$BE147)/Screener!$D$13))/W_PEHW))</f>
        <v/>
      </c>
      <c r="J147">
        <f>IF(OR(N(Database!$S147)&lt;=0,N(Screener!$D$14)&lt;=0),0,MAX(0,1-ABS(LOG10(Database!$S147/Screener!$D$14))/0.6))</f>
        <v/>
      </c>
      <c r="K147">
        <f>IF(Database!$B147=Screener!$B$5,-999999,IF(ISNUMBER(SEARCH(","&amp;Database!$A147&amp;",",","&amp;SUBSTITUTE(Screener!$D$17," ","")&amp;",")),2000000,IF(IF(OR(Screener!$B$18="All",AND(Screener!$B$18="With A-share",(Database!$BJ147="Y")),AND(Screener!$B$18="Without A-share",NOT((Database!$BJ147="Y")))),1,0)=0,-999999,IF(Screener!$B$16="cornerstone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Database!BD137</f>
        <v/>
      </c>
      <c r="AF147">
        <f>Database!BJ137</f>
        <v/>
      </c>
      <c r="AG147">
        <f>Database!H137</f>
        <v/>
      </c>
      <c r="AH147">
        <f>Database!BE137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IF(OR(Database!$BD148="",Screener!$D$10=""),0,IF(Database!$BD148=Screener!$D$10,1,0))</f>
        <v/>
      </c>
      <c r="F148">
        <f>IF(OR(Database!$BJ148="",Screener!$D$11=""),0,IF(Database!$BJ148=Screener!$D$11,1,0))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IF(OR(N(Database!$BE148)&lt;=0,N(Screener!$D$13)&lt;=0),0,MAX(0,1-ABS(LOG10(N(Database!$BE148)/Screener!$D$13))/W_PEHW))</f>
        <v/>
      </c>
      <c r="J148">
        <f>IF(OR(N(Database!$S148)&lt;=0,N(Screener!$D$14)&lt;=0),0,MAX(0,1-ABS(LOG10(Database!$S148/Screener!$D$14))/0.6))</f>
        <v/>
      </c>
      <c r="K148">
        <f>IF(Database!$B148=Screener!$B$5,-999999,IF(ISNUMBER(SEARCH(","&amp;Database!$A148&amp;",",","&amp;SUBSTITUTE(Screener!$D$17," ","")&amp;",")),2000000,IF(IF(OR(Screener!$B$18="All",AND(Screener!$B$18="With A-share",(Database!$BJ148="Y")),AND(Screener!$B$18="Without A-share",NOT((Database!$BJ148="Y")))),1,0)=0,-999999,IF(Screener!$B$16="cornerstone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Database!BD138</f>
        <v/>
      </c>
      <c r="AF148">
        <f>Database!BJ138</f>
        <v/>
      </c>
      <c r="AG148">
        <f>Database!H138</f>
        <v/>
      </c>
      <c r="AH148">
        <f>Database!BE138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IF(OR(Database!$BD149="",Screener!$D$10=""),0,IF(Database!$BD149=Screener!$D$10,1,0))</f>
        <v/>
      </c>
      <c r="F149">
        <f>IF(OR(Database!$BJ149="",Screener!$D$11=""),0,IF(Database!$BJ149=Screener!$D$11,1,0))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IF(OR(N(Database!$BE149)&lt;=0,N(Screener!$D$13)&lt;=0),0,MAX(0,1-ABS(LOG10(N(Database!$BE149)/Screener!$D$13))/W_PEHW))</f>
        <v/>
      </c>
      <c r="J149">
        <f>IF(OR(N(Database!$S149)&lt;=0,N(Screener!$D$14)&lt;=0),0,MAX(0,1-ABS(LOG10(Database!$S149/Screener!$D$14))/0.6))</f>
        <v/>
      </c>
      <c r="K149">
        <f>IF(Database!$B149=Screener!$B$5,-999999,IF(ISNUMBER(SEARCH(","&amp;Database!$A149&amp;",",","&amp;SUBSTITUTE(Screener!$D$17," ","")&amp;",")),2000000,IF(IF(OR(Screener!$B$18="All",AND(Screener!$B$18="With A-share",(Database!$BJ149="Y")),AND(Screener!$B$18="Without A-share",NOT((Database!$BJ149="Y")))),1,0)=0,-999999,IF(Screener!$B$16="cornerstone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Database!BD139</f>
        <v/>
      </c>
      <c r="AF149">
        <f>Database!BJ139</f>
        <v/>
      </c>
      <c r="AG149">
        <f>Database!H139</f>
        <v/>
      </c>
      <c r="AH149">
        <f>Database!BE139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IF(OR(Database!$BD150="",Screener!$D$10=""),0,IF(Database!$BD150=Screener!$D$10,1,0))</f>
        <v/>
      </c>
      <c r="F150">
        <f>IF(OR(Database!$BJ150="",Screener!$D$11=""),0,IF(Database!$BJ150=Screener!$D$11,1,0))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IF(OR(N(Database!$BE150)&lt;=0,N(Screener!$D$13)&lt;=0),0,MAX(0,1-ABS(LOG10(N(Database!$BE150)/Screener!$D$13))/W_PEHW))</f>
        <v/>
      </c>
      <c r="J150">
        <f>IF(OR(N(Database!$S150)&lt;=0,N(Screener!$D$14)&lt;=0),0,MAX(0,1-ABS(LOG10(Database!$S150/Screener!$D$14))/0.6))</f>
        <v/>
      </c>
      <c r="K150">
        <f>IF(Database!$B150=Screener!$B$5,-999999,IF(ISNUMBER(SEARCH(","&amp;Database!$A150&amp;",",","&amp;SUBSTITUTE(Screener!$D$17," ","")&amp;",")),2000000,IF(IF(OR(Screener!$B$18="All",AND(Screener!$B$18="With A-share",(Database!$BJ150="Y")),AND(Screener!$B$18="Without A-share",NOT((Database!$BJ150="Y")))),1,0)=0,-999999,IF(Screener!$B$16="cornerstone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Database!BD140</f>
        <v/>
      </c>
      <c r="AF150">
        <f>Database!BJ140</f>
        <v/>
      </c>
      <c r="AG150">
        <f>Database!H140</f>
        <v/>
      </c>
      <c r="AH150">
        <f>Database!BE140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IF(OR(Database!$BD151="",Screener!$D$10=""),0,IF(Database!$BD151=Screener!$D$10,1,0))</f>
        <v/>
      </c>
      <c r="F151">
        <f>IF(OR(Database!$BJ151="",Screener!$D$11=""),0,IF(Database!$BJ151=Screener!$D$11,1,0))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IF(OR(N(Database!$BE151)&lt;=0,N(Screener!$D$13)&lt;=0),0,MAX(0,1-ABS(LOG10(N(Database!$BE151)/Screener!$D$13))/W_PEHW))</f>
        <v/>
      </c>
      <c r="J151">
        <f>IF(OR(N(Database!$S151)&lt;=0,N(Screener!$D$14)&lt;=0),0,MAX(0,1-ABS(LOG10(Database!$S151/Screener!$D$14))/0.6))</f>
        <v/>
      </c>
      <c r="K151">
        <f>IF(Database!$B151=Screener!$B$5,-999999,IF(ISNUMBER(SEARCH(","&amp;Database!$A151&amp;",",","&amp;SUBSTITUTE(Screener!$D$17," ","")&amp;",")),2000000,IF(IF(OR(Screener!$B$18="All",AND(Screener!$B$18="With A-share",(Database!$BJ151="Y")),AND(Screener!$B$18="Without A-share",NOT((Database!$BJ151="Y")))),1,0)=0,-999999,IF(Screener!$B$16="cornerstone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Database!BD141</f>
        <v/>
      </c>
      <c r="AF151">
        <f>Database!BJ141</f>
        <v/>
      </c>
      <c r="AG151">
        <f>Database!H141</f>
        <v/>
      </c>
      <c r="AH151">
        <f>Database!BE141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IF(OR(Database!$BD152="",Screener!$D$10=""),0,IF(Database!$BD152=Screener!$D$10,1,0))</f>
        <v/>
      </c>
      <c r="F152">
        <f>IF(OR(Database!$BJ152="",Screener!$D$11=""),0,IF(Database!$BJ152=Screener!$D$11,1,0))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IF(OR(N(Database!$BE152)&lt;=0,N(Screener!$D$13)&lt;=0),0,MAX(0,1-ABS(LOG10(N(Database!$BE152)/Screener!$D$13))/W_PEHW))</f>
        <v/>
      </c>
      <c r="J152">
        <f>IF(OR(N(Database!$S152)&lt;=0,N(Screener!$D$14)&lt;=0),0,MAX(0,1-ABS(LOG10(Database!$S152/Screener!$D$14))/0.6))</f>
        <v/>
      </c>
      <c r="K152">
        <f>IF(Database!$B152=Screener!$B$5,-999999,IF(ISNUMBER(SEARCH(","&amp;Database!$A152&amp;",",","&amp;SUBSTITUTE(Screener!$D$17," ","")&amp;",")),2000000,IF(IF(OR(Screener!$B$18="All",AND(Screener!$B$18="With A-share",(Database!$BJ152="Y")),AND(Screener!$B$18="Without A-share",NOT((Database!$BJ152="Y")))),1,0)=0,-999999,IF(Screener!$B$16="cornerstone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Database!BD142</f>
        <v/>
      </c>
      <c r="AF152">
        <f>Database!BJ142</f>
        <v/>
      </c>
      <c r="AG152">
        <f>Database!H142</f>
        <v/>
      </c>
      <c r="AH152">
        <f>Database!BE142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IF(OR(Database!$BD153="",Screener!$D$10=""),0,IF(Database!$BD153=Screener!$D$10,1,0))</f>
        <v/>
      </c>
      <c r="F153">
        <f>IF(OR(Database!$BJ153="",Screener!$D$11=""),0,IF(Database!$BJ153=Screener!$D$11,1,0))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IF(OR(N(Database!$BE153)&lt;=0,N(Screener!$D$13)&lt;=0),0,MAX(0,1-ABS(LOG10(N(Database!$BE153)/Screener!$D$13))/W_PEHW))</f>
        <v/>
      </c>
      <c r="J153">
        <f>IF(OR(N(Database!$S153)&lt;=0,N(Screener!$D$14)&lt;=0),0,MAX(0,1-ABS(LOG10(Database!$S153/Screener!$D$14))/0.6))</f>
        <v/>
      </c>
      <c r="K153">
        <f>IF(Database!$B153=Screener!$B$5,-999999,IF(ISNUMBER(SEARCH(","&amp;Database!$A153&amp;",",","&amp;SUBSTITUTE(Screener!$D$17," ","")&amp;",")),2000000,IF(IF(OR(Screener!$B$18="All",AND(Screener!$B$18="With A-share",(Database!$BJ153="Y")),AND(Screener!$B$18="Without A-share",NOT((Database!$BJ153="Y")))),1,0)=0,-999999,IF(Screener!$B$16="cornerstone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Database!BD143</f>
        <v/>
      </c>
      <c r="AF153">
        <f>Database!BJ143</f>
        <v/>
      </c>
      <c r="AG153">
        <f>Database!H143</f>
        <v/>
      </c>
      <c r="AH153">
        <f>Database!BE143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IF(OR(Database!$BD154="",Screener!$D$10=""),0,IF(Database!$BD154=Screener!$D$10,1,0))</f>
        <v/>
      </c>
      <c r="F154">
        <f>IF(OR(Database!$BJ154="",Screener!$D$11=""),0,IF(Database!$BJ154=Screener!$D$11,1,0))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IF(OR(N(Database!$BE154)&lt;=0,N(Screener!$D$13)&lt;=0),0,MAX(0,1-ABS(LOG10(N(Database!$BE154)/Screener!$D$13))/W_PEHW))</f>
        <v/>
      </c>
      <c r="J154">
        <f>IF(OR(N(Database!$S154)&lt;=0,N(Screener!$D$14)&lt;=0),0,MAX(0,1-ABS(LOG10(Database!$S154/Screener!$D$14))/0.6))</f>
        <v/>
      </c>
      <c r="K154">
        <f>IF(Database!$B154=Screener!$B$5,-999999,IF(ISNUMBER(SEARCH(","&amp;Database!$A154&amp;",",","&amp;SUBSTITUTE(Screener!$D$17," ","")&amp;",")),2000000,IF(IF(OR(Screener!$B$18="All",AND(Screener!$B$18="With A-share",(Database!$BJ154="Y")),AND(Screener!$B$18="Without A-share",NOT((Database!$BJ154="Y")))),1,0)=0,-999999,IF(Screener!$B$16="cornerstone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Database!BD144</f>
        <v/>
      </c>
      <c r="AF154">
        <f>Database!BJ144</f>
        <v/>
      </c>
      <c r="AG154">
        <f>Database!H144</f>
        <v/>
      </c>
      <c r="AH154">
        <f>Database!BE144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IF(OR(Database!$BD155="",Screener!$D$10=""),0,IF(Database!$BD155=Screener!$D$10,1,0))</f>
        <v/>
      </c>
      <c r="F155">
        <f>IF(OR(Database!$BJ155="",Screener!$D$11=""),0,IF(Database!$BJ155=Screener!$D$11,1,0))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IF(OR(N(Database!$BE155)&lt;=0,N(Screener!$D$13)&lt;=0),0,MAX(0,1-ABS(LOG10(N(Database!$BE155)/Screener!$D$13))/W_PEHW))</f>
        <v/>
      </c>
      <c r="J155">
        <f>IF(OR(N(Database!$S155)&lt;=0,N(Screener!$D$14)&lt;=0),0,MAX(0,1-ABS(LOG10(Database!$S155/Screener!$D$14))/0.6))</f>
        <v/>
      </c>
      <c r="K155">
        <f>IF(Database!$B155=Screener!$B$5,-999999,IF(ISNUMBER(SEARCH(","&amp;Database!$A155&amp;",",","&amp;SUBSTITUTE(Screener!$D$17," ","")&amp;",")),2000000,IF(IF(OR(Screener!$B$18="All",AND(Screener!$B$18="With A-share",(Database!$BJ155="Y")),AND(Screener!$B$18="Without A-share",NOT((Database!$BJ155="Y")))),1,0)=0,-999999,IF(Screener!$B$16="cornerstone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Database!BD145</f>
        <v/>
      </c>
      <c r="AF155">
        <f>Database!BJ145</f>
        <v/>
      </c>
      <c r="AG155">
        <f>Database!H145</f>
        <v/>
      </c>
      <c r="AH155">
        <f>Database!BE145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IF(OR(Database!$BD156="",Screener!$D$10=""),0,IF(Database!$BD156=Screener!$D$10,1,0))</f>
        <v/>
      </c>
      <c r="F156">
        <f>IF(OR(Database!$BJ156="",Screener!$D$11=""),0,IF(Database!$BJ156=Screener!$D$11,1,0))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IF(OR(N(Database!$BE156)&lt;=0,N(Screener!$D$13)&lt;=0),0,MAX(0,1-ABS(LOG10(N(Database!$BE156)/Screener!$D$13))/W_PEHW))</f>
        <v/>
      </c>
      <c r="J156">
        <f>IF(OR(N(Database!$S156)&lt;=0,N(Screener!$D$14)&lt;=0),0,MAX(0,1-ABS(LOG10(Database!$S156/Screener!$D$14))/0.6))</f>
        <v/>
      </c>
      <c r="K156">
        <f>IF(Database!$B156=Screener!$B$5,-999999,IF(ISNUMBER(SEARCH(","&amp;Database!$A156&amp;",",","&amp;SUBSTITUTE(Screener!$D$17," ","")&amp;",")),2000000,IF(IF(OR(Screener!$B$18="All",AND(Screener!$B$18="With A-share",(Database!$BJ156="Y")),AND(Screener!$B$18="Without A-share",NOT((Database!$BJ156="Y")))),1,0)=0,-999999,IF(Screener!$B$16="cornerstone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Database!BD146</f>
        <v/>
      </c>
      <c r="AF156">
        <f>Database!BJ146</f>
        <v/>
      </c>
      <c r="AG156">
        <f>Database!H146</f>
        <v/>
      </c>
      <c r="AH156">
        <f>Database!BE146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IF(OR(Database!$BD157="",Screener!$D$10=""),0,IF(Database!$BD157=Screener!$D$10,1,0))</f>
        <v/>
      </c>
      <c r="F157">
        <f>IF(OR(Database!$BJ157="",Screener!$D$11=""),0,IF(Database!$BJ157=Screener!$D$11,1,0))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IF(OR(N(Database!$BE157)&lt;=0,N(Screener!$D$13)&lt;=0),0,MAX(0,1-ABS(LOG10(N(Database!$BE157)/Screener!$D$13))/W_PEHW))</f>
        <v/>
      </c>
      <c r="J157">
        <f>IF(OR(N(Database!$S157)&lt;=0,N(Screener!$D$14)&lt;=0),0,MAX(0,1-ABS(LOG10(Database!$S157/Screener!$D$14))/0.6))</f>
        <v/>
      </c>
      <c r="K157">
        <f>IF(Database!$B157=Screener!$B$5,-999999,IF(ISNUMBER(SEARCH(","&amp;Database!$A157&amp;",",","&amp;SUBSTITUTE(Screener!$D$17," ","")&amp;",")),2000000,IF(IF(OR(Screener!$B$18="All",AND(Screener!$B$18="With A-share",(Database!$BJ157="Y")),AND(Screener!$B$18="Without A-share",NOT((Database!$BJ157="Y")))),1,0)=0,-999999,IF(Screener!$B$16="cornerstone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Database!BD147</f>
        <v/>
      </c>
      <c r="AF157">
        <f>Database!BJ147</f>
        <v/>
      </c>
      <c r="AG157">
        <f>Database!H147</f>
        <v/>
      </c>
      <c r="AH157">
        <f>Database!BE147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IF(OR(Database!$BD158="",Screener!$D$10=""),0,IF(Database!$BD158=Screener!$D$10,1,0))</f>
        <v/>
      </c>
      <c r="F158">
        <f>IF(OR(Database!$BJ158="",Screener!$D$11=""),0,IF(Database!$BJ158=Screener!$D$11,1,0))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IF(OR(N(Database!$BE158)&lt;=0,N(Screener!$D$13)&lt;=0),0,MAX(0,1-ABS(LOG10(N(Database!$BE158)/Screener!$D$13))/W_PEHW))</f>
        <v/>
      </c>
      <c r="J158">
        <f>IF(OR(N(Database!$S158)&lt;=0,N(Screener!$D$14)&lt;=0),0,MAX(0,1-ABS(LOG10(Database!$S158/Screener!$D$14))/0.6))</f>
        <v/>
      </c>
      <c r="K158">
        <f>IF(Database!$B158=Screener!$B$5,-999999,IF(ISNUMBER(SEARCH(","&amp;Database!$A158&amp;",",","&amp;SUBSTITUTE(Screener!$D$17," ","")&amp;",")),2000000,IF(IF(OR(Screener!$B$18="All",AND(Screener!$B$18="With A-share",(Database!$BJ158="Y")),AND(Screener!$B$18="Without A-share",NOT((Database!$BJ158="Y")))),1,0)=0,-999999,IF(Screener!$B$16="cornerstone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Database!BD148</f>
        <v/>
      </c>
      <c r="AF158">
        <f>Database!BJ148</f>
        <v/>
      </c>
      <c r="AG158">
        <f>Database!H148</f>
        <v/>
      </c>
      <c r="AH158">
        <f>Database!BE148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IF(OR(Database!$BD159="",Screener!$D$10=""),0,IF(Database!$BD159=Screener!$D$10,1,0))</f>
        <v/>
      </c>
      <c r="F159">
        <f>IF(OR(Database!$BJ159="",Screener!$D$11=""),0,IF(Database!$BJ159=Screener!$D$11,1,0))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IF(OR(N(Database!$BE159)&lt;=0,N(Screener!$D$13)&lt;=0),0,MAX(0,1-ABS(LOG10(N(Database!$BE159)/Screener!$D$13))/W_PEHW))</f>
        <v/>
      </c>
      <c r="J159">
        <f>IF(OR(N(Database!$S159)&lt;=0,N(Screener!$D$14)&lt;=0),0,MAX(0,1-ABS(LOG10(Database!$S159/Screener!$D$14))/0.6))</f>
        <v/>
      </c>
      <c r="K159">
        <f>IF(Database!$B159=Screener!$B$5,-999999,IF(ISNUMBER(SEARCH(","&amp;Database!$A159&amp;",",","&amp;SUBSTITUTE(Screener!$D$17," ","")&amp;",")),2000000,IF(IF(OR(Screener!$B$18="All",AND(Screener!$B$18="With A-share",(Database!$BJ159="Y")),AND(Screener!$B$18="Without A-share",NOT((Database!$BJ159="Y")))),1,0)=0,-999999,IF(Screener!$B$16="cornerstone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Database!BD149</f>
        <v/>
      </c>
      <c r="AF159">
        <f>Database!BJ149</f>
        <v/>
      </c>
      <c r="AG159">
        <f>Database!H149</f>
        <v/>
      </c>
      <c r="AH159">
        <f>Database!BE149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IF(OR(Database!$BD160="",Screener!$D$10=""),0,IF(Database!$BD160=Screener!$D$10,1,0))</f>
        <v/>
      </c>
      <c r="F160">
        <f>IF(OR(Database!$BJ160="",Screener!$D$11=""),0,IF(Database!$BJ160=Screener!$D$11,1,0))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IF(OR(N(Database!$BE160)&lt;=0,N(Screener!$D$13)&lt;=0),0,MAX(0,1-ABS(LOG10(N(Database!$BE160)/Screener!$D$13))/W_PEHW))</f>
        <v/>
      </c>
      <c r="J160">
        <f>IF(OR(N(Database!$S160)&lt;=0,N(Screener!$D$14)&lt;=0),0,MAX(0,1-ABS(LOG10(Database!$S160/Screener!$D$14))/0.6))</f>
        <v/>
      </c>
      <c r="K160">
        <f>IF(Database!$B160=Screener!$B$5,-999999,IF(ISNUMBER(SEARCH(","&amp;Database!$A160&amp;",",","&amp;SUBSTITUTE(Screener!$D$17," ","")&amp;",")),2000000,IF(IF(OR(Screener!$B$18="All",AND(Screener!$B$18="With A-share",(Database!$BJ160="Y")),AND(Screener!$B$18="Without A-share",NOT((Database!$BJ160="Y")))),1,0)=0,-999999,IF(Screener!$B$16="cornerstone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Database!BD150</f>
        <v/>
      </c>
      <c r="AF160">
        <f>Database!BJ150</f>
        <v/>
      </c>
      <c r="AG160">
        <f>Database!H150</f>
        <v/>
      </c>
      <c r="AH160">
        <f>Database!BE150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IF(OR(Database!$BD161="",Screener!$D$10=""),0,IF(Database!$BD161=Screener!$D$10,1,0))</f>
        <v/>
      </c>
      <c r="F161">
        <f>IF(OR(Database!$BJ161="",Screener!$D$11=""),0,IF(Database!$BJ161=Screener!$D$11,1,0))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IF(OR(N(Database!$BE161)&lt;=0,N(Screener!$D$13)&lt;=0),0,MAX(0,1-ABS(LOG10(N(Database!$BE161)/Screener!$D$13))/W_PEHW))</f>
        <v/>
      </c>
      <c r="J161">
        <f>IF(OR(N(Database!$S161)&lt;=0,N(Screener!$D$14)&lt;=0),0,MAX(0,1-ABS(LOG10(Database!$S161/Screener!$D$14))/0.6))</f>
        <v/>
      </c>
      <c r="K161">
        <f>IF(Database!$B161=Screener!$B$5,-999999,IF(ISNUMBER(SEARCH(","&amp;Database!$A161&amp;",",","&amp;SUBSTITUTE(Screener!$D$17," ","")&amp;",")),2000000,IF(IF(OR(Screener!$B$18="All",AND(Screener!$B$18="With A-share",(Database!$BJ161="Y")),AND(Screener!$B$18="Without A-share",NOT((Database!$BJ161="Y")))),1,0)=0,-999999,IF(Screener!$B$16="cornerstone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Database!BD151</f>
        <v/>
      </c>
      <c r="AF161">
        <f>Database!BJ151</f>
        <v/>
      </c>
      <c r="AG161">
        <f>Database!H151</f>
        <v/>
      </c>
      <c r="AH161">
        <f>Database!BE151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IF(OR(Database!$BD162="",Screener!$D$10=""),0,IF(Database!$BD162=Screener!$D$10,1,0))</f>
        <v/>
      </c>
      <c r="F162">
        <f>IF(OR(Database!$BJ162="",Screener!$D$11=""),0,IF(Database!$BJ162=Screener!$D$11,1,0))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IF(OR(N(Database!$BE162)&lt;=0,N(Screener!$D$13)&lt;=0),0,MAX(0,1-ABS(LOG10(N(Database!$BE162)/Screener!$D$13))/W_PEHW))</f>
        <v/>
      </c>
      <c r="J162">
        <f>IF(OR(N(Database!$S162)&lt;=0,N(Screener!$D$14)&lt;=0),0,MAX(0,1-ABS(LOG10(Database!$S162/Screener!$D$14))/0.6))</f>
        <v/>
      </c>
      <c r="K162">
        <f>IF(Database!$B162=Screener!$B$5,-999999,IF(ISNUMBER(SEARCH(","&amp;Database!$A162&amp;",",","&amp;SUBSTITUTE(Screener!$D$17," ","")&amp;",")),2000000,IF(IF(OR(Screener!$B$18="All",AND(Screener!$B$18="With A-share",(Database!$BJ162="Y")),AND(Screener!$B$18="Without A-share",NOT((Database!$BJ162="Y")))),1,0)=0,-999999,IF(Screener!$B$16="cornerstone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Database!BD152</f>
        <v/>
      </c>
      <c r="AF162">
        <f>Database!BJ152</f>
        <v/>
      </c>
      <c r="AG162">
        <f>Database!H152</f>
        <v/>
      </c>
      <c r="AH162">
        <f>Database!BE152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IF(OR(Database!$BD163="",Screener!$D$10=""),0,IF(Database!$BD163=Screener!$D$10,1,0))</f>
        <v/>
      </c>
      <c r="F163">
        <f>IF(OR(Database!$BJ163="",Screener!$D$11=""),0,IF(Database!$BJ163=Screener!$D$11,1,0))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IF(OR(N(Database!$BE163)&lt;=0,N(Screener!$D$13)&lt;=0),0,MAX(0,1-ABS(LOG10(N(Database!$BE163)/Screener!$D$13))/W_PEHW))</f>
        <v/>
      </c>
      <c r="J163">
        <f>IF(OR(N(Database!$S163)&lt;=0,N(Screener!$D$14)&lt;=0),0,MAX(0,1-ABS(LOG10(Database!$S163/Screener!$D$14))/0.6))</f>
        <v/>
      </c>
      <c r="K163">
        <f>IF(Database!$B163=Screener!$B$5,-999999,IF(ISNUMBER(SEARCH(","&amp;Database!$A163&amp;",",","&amp;SUBSTITUTE(Screener!$D$17," ","")&amp;",")),2000000,IF(IF(OR(Screener!$B$18="All",AND(Screener!$B$18="With A-share",(Database!$BJ163="Y")),AND(Screener!$B$18="Without A-share",NOT((Database!$BJ163="Y")))),1,0)=0,-999999,IF(Screener!$B$16="cornerstone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Database!BD153</f>
        <v/>
      </c>
      <c r="AF163">
        <f>Database!BJ153</f>
        <v/>
      </c>
      <c r="AG163">
        <f>Database!H153</f>
        <v/>
      </c>
      <c r="AH163">
        <f>Database!BE153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IF(OR(Database!$BD164="",Screener!$D$10=""),0,IF(Database!$BD164=Screener!$D$10,1,0))</f>
        <v/>
      </c>
      <c r="F164">
        <f>IF(OR(Database!$BJ164="",Screener!$D$11=""),0,IF(Database!$BJ164=Screener!$D$11,1,0))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IF(OR(N(Database!$BE164)&lt;=0,N(Screener!$D$13)&lt;=0),0,MAX(0,1-ABS(LOG10(N(Database!$BE164)/Screener!$D$13))/W_PEHW))</f>
        <v/>
      </c>
      <c r="J164">
        <f>IF(OR(N(Database!$S164)&lt;=0,N(Screener!$D$14)&lt;=0),0,MAX(0,1-ABS(LOG10(Database!$S164/Screener!$D$14))/0.6))</f>
        <v/>
      </c>
      <c r="K164">
        <f>IF(Database!$B164=Screener!$B$5,-999999,IF(ISNUMBER(SEARCH(","&amp;Database!$A164&amp;",",","&amp;SUBSTITUTE(Screener!$D$17," ","")&amp;",")),2000000,IF(IF(OR(Screener!$B$18="All",AND(Screener!$B$18="With A-share",(Database!$BJ164="Y")),AND(Screener!$B$18="Without A-share",NOT((Database!$BJ164="Y")))),1,0)=0,-999999,IF(Screener!$B$16="cornerstone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Database!BD154</f>
        <v/>
      </c>
      <c r="AF164">
        <f>Database!BJ154</f>
        <v/>
      </c>
      <c r="AG164">
        <f>Database!H154</f>
        <v/>
      </c>
      <c r="AH164">
        <f>Database!BE154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IF(OR(Database!$BD165="",Screener!$D$10=""),0,IF(Database!$BD165=Screener!$D$10,1,0))</f>
        <v/>
      </c>
      <c r="F165">
        <f>IF(OR(Database!$BJ165="",Screener!$D$11=""),0,IF(Database!$BJ165=Screener!$D$11,1,0))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IF(OR(N(Database!$BE165)&lt;=0,N(Screener!$D$13)&lt;=0),0,MAX(0,1-ABS(LOG10(N(Database!$BE165)/Screener!$D$13))/W_PEHW))</f>
        <v/>
      </c>
      <c r="J165">
        <f>IF(OR(N(Database!$S165)&lt;=0,N(Screener!$D$14)&lt;=0),0,MAX(0,1-ABS(LOG10(Database!$S165/Screener!$D$14))/0.6))</f>
        <v/>
      </c>
      <c r="K165">
        <f>IF(Database!$B165=Screener!$B$5,-999999,IF(ISNUMBER(SEARCH(","&amp;Database!$A165&amp;",",","&amp;SUBSTITUTE(Screener!$D$17," ","")&amp;",")),2000000,IF(IF(OR(Screener!$B$18="All",AND(Screener!$B$18="With A-share",(Database!$BJ165="Y")),AND(Screener!$B$18="Without A-share",NOT((Database!$BJ165="Y")))),1,0)=0,-999999,IF(Screener!$B$16="cornerstone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Database!BD155</f>
        <v/>
      </c>
      <c r="AF165">
        <f>Database!BJ155</f>
        <v/>
      </c>
      <c r="AG165">
        <f>Database!H155</f>
        <v/>
      </c>
      <c r="AH165">
        <f>Database!BE155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IF(OR(Database!$BD166="",Screener!$D$10=""),0,IF(Database!$BD166=Screener!$D$10,1,0))</f>
        <v/>
      </c>
      <c r="F166">
        <f>IF(OR(Database!$BJ166="",Screener!$D$11=""),0,IF(Database!$BJ166=Screener!$D$11,1,0))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IF(OR(N(Database!$BE166)&lt;=0,N(Screener!$D$13)&lt;=0),0,MAX(0,1-ABS(LOG10(N(Database!$BE166)/Screener!$D$13))/W_PEHW))</f>
        <v/>
      </c>
      <c r="J166">
        <f>IF(OR(N(Database!$S166)&lt;=0,N(Screener!$D$14)&lt;=0),0,MAX(0,1-ABS(LOG10(Database!$S166/Screener!$D$14))/0.6))</f>
        <v/>
      </c>
      <c r="K166">
        <f>IF(Database!$B166=Screener!$B$5,-999999,IF(ISNUMBER(SEARCH(","&amp;Database!$A166&amp;",",","&amp;SUBSTITUTE(Screener!$D$17," ","")&amp;",")),2000000,IF(IF(OR(Screener!$B$18="All",AND(Screener!$B$18="With A-share",(Database!$BJ166="Y")),AND(Screener!$B$18="Without A-share",NOT((Database!$BJ166="Y")))),1,0)=0,-999999,IF(Screener!$B$16="cornerstone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Database!BD156</f>
        <v/>
      </c>
      <c r="AF166">
        <f>Database!BJ156</f>
        <v/>
      </c>
      <c r="AG166">
        <f>Database!H156</f>
        <v/>
      </c>
      <c r="AH166">
        <f>Database!BE156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IF(OR(Database!$BD167="",Screener!$D$10=""),0,IF(Database!$BD167=Screener!$D$10,1,0))</f>
        <v/>
      </c>
      <c r="F167">
        <f>IF(OR(Database!$BJ167="",Screener!$D$11=""),0,IF(Database!$BJ167=Screener!$D$11,1,0))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IF(OR(N(Database!$BE167)&lt;=0,N(Screener!$D$13)&lt;=0),0,MAX(0,1-ABS(LOG10(N(Database!$BE167)/Screener!$D$13))/W_PEHW))</f>
        <v/>
      </c>
      <c r="J167">
        <f>IF(OR(N(Database!$S167)&lt;=0,N(Screener!$D$14)&lt;=0),0,MAX(0,1-ABS(LOG10(Database!$S167/Screener!$D$14))/0.6))</f>
        <v/>
      </c>
      <c r="K167">
        <f>IF(Database!$B167=Screener!$B$5,-999999,IF(ISNUMBER(SEARCH(","&amp;Database!$A167&amp;",",","&amp;SUBSTITUTE(Screener!$D$17," ","")&amp;",")),2000000,IF(IF(OR(Screener!$B$18="All",AND(Screener!$B$18="With A-share",(Database!$BJ167="Y")),AND(Screener!$B$18="Without A-share",NOT((Database!$BJ167="Y")))),1,0)=0,-999999,IF(Screener!$B$16="cornerstone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Database!BD157</f>
        <v/>
      </c>
      <c r="AF167">
        <f>Database!BJ157</f>
        <v/>
      </c>
      <c r="AG167">
        <f>Database!H157</f>
        <v/>
      </c>
      <c r="AH167">
        <f>Database!BE157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IF(OR(Database!$BD168="",Screener!$D$10=""),0,IF(Database!$BD168=Screener!$D$10,1,0))</f>
        <v/>
      </c>
      <c r="F168">
        <f>IF(OR(Database!$BJ168="",Screener!$D$11=""),0,IF(Database!$BJ168=Screener!$D$11,1,0))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IF(OR(N(Database!$BE168)&lt;=0,N(Screener!$D$13)&lt;=0),0,MAX(0,1-ABS(LOG10(N(Database!$BE168)/Screener!$D$13))/W_PEHW))</f>
        <v/>
      </c>
      <c r="J168">
        <f>IF(OR(N(Database!$S168)&lt;=0,N(Screener!$D$14)&lt;=0),0,MAX(0,1-ABS(LOG10(Database!$S168/Screener!$D$14))/0.6))</f>
        <v/>
      </c>
      <c r="K168">
        <f>IF(Database!$B168=Screener!$B$5,-999999,IF(ISNUMBER(SEARCH(","&amp;Database!$A168&amp;",",","&amp;SUBSTITUTE(Screener!$D$17," ","")&amp;",")),2000000,IF(IF(OR(Screener!$B$18="All",AND(Screener!$B$18="With A-share",(Database!$BJ168="Y")),AND(Screener!$B$18="Without A-share",NOT((Database!$BJ168="Y")))),1,0)=0,-999999,IF(Screener!$B$16="cornerstone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Database!BD158</f>
        <v/>
      </c>
      <c r="AF168">
        <f>Database!BJ158</f>
        <v/>
      </c>
      <c r="AG168">
        <f>Database!H158</f>
        <v/>
      </c>
      <c r="AH168">
        <f>Database!BE158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IF(OR(Database!$BD169="",Screener!$D$10=""),0,IF(Database!$BD169=Screener!$D$10,1,0))</f>
        <v/>
      </c>
      <c r="F169">
        <f>IF(OR(Database!$BJ169="",Screener!$D$11=""),0,IF(Database!$BJ169=Screener!$D$11,1,0))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IF(OR(N(Database!$BE169)&lt;=0,N(Screener!$D$13)&lt;=0),0,MAX(0,1-ABS(LOG10(N(Database!$BE169)/Screener!$D$13))/W_PEHW))</f>
        <v/>
      </c>
      <c r="J169">
        <f>IF(OR(N(Database!$S169)&lt;=0,N(Screener!$D$14)&lt;=0),0,MAX(0,1-ABS(LOG10(Database!$S169/Screener!$D$14))/0.6))</f>
        <v/>
      </c>
      <c r="K169">
        <f>IF(Database!$B169=Screener!$B$5,-999999,IF(ISNUMBER(SEARCH(","&amp;Database!$A169&amp;",",","&amp;SUBSTITUTE(Screener!$D$17," ","")&amp;",")),2000000,IF(IF(OR(Screener!$B$18="All",AND(Screener!$B$18="With A-share",(Database!$BJ169="Y")),AND(Screener!$B$18="Without A-share",NOT((Database!$BJ169="Y")))),1,0)=0,-999999,IF(Screener!$B$16="cornerstone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Database!BD159</f>
        <v/>
      </c>
      <c r="AF169">
        <f>Database!BJ159</f>
        <v/>
      </c>
      <c r="AG169">
        <f>Database!H159</f>
        <v/>
      </c>
      <c r="AH169">
        <f>Database!BE159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IF(OR(Database!$BD170="",Screener!$D$10=""),0,IF(Database!$BD170=Screener!$D$10,1,0))</f>
        <v/>
      </c>
      <c r="F170">
        <f>IF(OR(Database!$BJ170="",Screener!$D$11=""),0,IF(Database!$BJ170=Screener!$D$11,1,0))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IF(OR(N(Database!$BE170)&lt;=0,N(Screener!$D$13)&lt;=0),0,MAX(0,1-ABS(LOG10(N(Database!$BE170)/Screener!$D$13))/W_PEHW))</f>
        <v/>
      </c>
      <c r="J170">
        <f>IF(OR(N(Database!$S170)&lt;=0,N(Screener!$D$14)&lt;=0),0,MAX(0,1-ABS(LOG10(Database!$S170/Screener!$D$14))/0.6))</f>
        <v/>
      </c>
      <c r="K170">
        <f>IF(Database!$B170=Screener!$B$5,-999999,IF(ISNUMBER(SEARCH(","&amp;Database!$A170&amp;",",","&amp;SUBSTITUTE(Screener!$D$17," ","")&amp;",")),2000000,IF(IF(OR(Screener!$B$18="All",AND(Screener!$B$18="With A-share",(Database!$BJ170="Y")),AND(Screener!$B$18="Without A-share",NOT((Database!$BJ170="Y")))),1,0)=0,-999999,IF(Screener!$B$16="cornerstone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Database!BD160</f>
        <v/>
      </c>
      <c r="AF170">
        <f>Database!BJ160</f>
        <v/>
      </c>
      <c r="AG170">
        <f>Database!H160</f>
        <v/>
      </c>
      <c r="AH170">
        <f>Database!BE160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IF(OR(Database!$BD171="",Screener!$D$10=""),0,IF(Database!$BD171=Screener!$D$10,1,0))</f>
        <v/>
      </c>
      <c r="F171">
        <f>IF(OR(Database!$BJ171="",Screener!$D$11=""),0,IF(Database!$BJ171=Screener!$D$11,1,0))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IF(OR(N(Database!$BE171)&lt;=0,N(Screener!$D$13)&lt;=0),0,MAX(0,1-ABS(LOG10(N(Database!$BE171)/Screener!$D$13))/W_PEHW))</f>
        <v/>
      </c>
      <c r="J171">
        <f>IF(OR(N(Database!$S171)&lt;=0,N(Screener!$D$14)&lt;=0),0,MAX(0,1-ABS(LOG10(Database!$S171/Screener!$D$14))/0.6))</f>
        <v/>
      </c>
      <c r="K171">
        <f>IF(Database!$B171=Screener!$B$5,-999999,IF(ISNUMBER(SEARCH(","&amp;Database!$A171&amp;",",","&amp;SUBSTITUTE(Screener!$D$17," ","")&amp;",")),2000000,IF(IF(OR(Screener!$B$18="All",AND(Screener!$B$18="With A-share",(Database!$BJ171="Y")),AND(Screener!$B$18="Without A-share",NOT((Database!$BJ171="Y")))),1,0)=0,-999999,IF(Screener!$B$16="cornerstone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Database!BD161</f>
        <v/>
      </c>
      <c r="AF171">
        <f>Database!BJ161</f>
        <v/>
      </c>
      <c r="AG171">
        <f>Database!H161</f>
        <v/>
      </c>
      <c r="AH171">
        <f>Database!BE161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IF(OR(Database!$BD172="",Screener!$D$10=""),0,IF(Database!$BD172=Screener!$D$10,1,0))</f>
        <v/>
      </c>
      <c r="F172">
        <f>IF(OR(Database!$BJ172="",Screener!$D$11=""),0,IF(Database!$BJ172=Screener!$D$11,1,0))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IF(OR(N(Database!$BE172)&lt;=0,N(Screener!$D$13)&lt;=0),0,MAX(0,1-ABS(LOG10(N(Database!$BE172)/Screener!$D$13))/W_PEHW))</f>
        <v/>
      </c>
      <c r="J172">
        <f>IF(OR(N(Database!$S172)&lt;=0,N(Screener!$D$14)&lt;=0),0,MAX(0,1-ABS(LOG10(Database!$S172/Screener!$D$14))/0.6))</f>
        <v/>
      </c>
      <c r="K172">
        <f>IF(Database!$B172=Screener!$B$5,-999999,IF(ISNUMBER(SEARCH(","&amp;Database!$A172&amp;",",","&amp;SUBSTITUTE(Screener!$D$17," ","")&amp;",")),2000000,IF(IF(OR(Screener!$B$18="All",AND(Screener!$B$18="With A-share",(Database!$BJ172="Y")),AND(Screener!$B$18="Without A-share",NOT((Database!$BJ172="Y")))),1,0)=0,-999999,IF(Screener!$B$16="cornerstone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Database!BD162</f>
        <v/>
      </c>
      <c r="AF172">
        <f>Database!BJ162</f>
        <v/>
      </c>
      <c r="AG172">
        <f>Database!H162</f>
        <v/>
      </c>
      <c r="AH172">
        <f>Database!BE162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IF(OR(Database!$BD173="",Screener!$D$10=""),0,IF(Database!$BD173=Screener!$D$10,1,0))</f>
        <v/>
      </c>
      <c r="F173">
        <f>IF(OR(Database!$BJ173="",Screener!$D$11=""),0,IF(Database!$BJ173=Screener!$D$11,1,0))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IF(OR(N(Database!$BE173)&lt;=0,N(Screener!$D$13)&lt;=0),0,MAX(0,1-ABS(LOG10(N(Database!$BE173)/Screener!$D$13))/W_PEHW))</f>
        <v/>
      </c>
      <c r="J173">
        <f>IF(OR(N(Database!$S173)&lt;=0,N(Screener!$D$14)&lt;=0),0,MAX(0,1-ABS(LOG10(Database!$S173/Screener!$D$14))/0.6))</f>
        <v/>
      </c>
      <c r="K173">
        <f>IF(Database!$B173=Screener!$B$5,-999999,IF(ISNUMBER(SEARCH(","&amp;Database!$A173&amp;",",","&amp;SUBSTITUTE(Screener!$D$17," ","")&amp;",")),2000000,IF(IF(OR(Screener!$B$18="All",AND(Screener!$B$18="With A-share",(Database!$BJ173="Y")),AND(Screener!$B$18="Without A-share",NOT((Database!$BJ173="Y")))),1,0)=0,-999999,IF(Screener!$B$16="cornerstone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Database!BD163</f>
        <v/>
      </c>
      <c r="AF173">
        <f>Database!BJ163</f>
        <v/>
      </c>
      <c r="AG173">
        <f>Database!H163</f>
        <v/>
      </c>
      <c r="AH173">
        <f>Database!BE163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IF(OR(Database!$BD174="",Screener!$D$10=""),0,IF(Database!$BD174=Screener!$D$10,1,0))</f>
        <v/>
      </c>
      <c r="F174">
        <f>IF(OR(Database!$BJ174="",Screener!$D$11=""),0,IF(Database!$BJ174=Screener!$D$11,1,0))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IF(OR(N(Database!$BE174)&lt;=0,N(Screener!$D$13)&lt;=0),0,MAX(0,1-ABS(LOG10(N(Database!$BE174)/Screener!$D$13))/W_PEHW))</f>
        <v/>
      </c>
      <c r="J174">
        <f>IF(OR(N(Database!$S174)&lt;=0,N(Screener!$D$14)&lt;=0),0,MAX(0,1-ABS(LOG10(Database!$S174/Screener!$D$14))/0.6))</f>
        <v/>
      </c>
      <c r="K174">
        <f>IF(Database!$B174=Screener!$B$5,-999999,IF(ISNUMBER(SEARCH(","&amp;Database!$A174&amp;",",","&amp;SUBSTITUTE(Screener!$D$17," ","")&amp;",")),2000000,IF(IF(OR(Screener!$B$18="All",AND(Screener!$B$18="With A-share",(Database!$BJ174="Y")),AND(Screener!$B$18="Without A-share",NOT((Database!$BJ174="Y")))),1,0)=0,-999999,IF(Screener!$B$16="cornerstone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Database!BD164</f>
        <v/>
      </c>
      <c r="AF174">
        <f>Database!BJ164</f>
        <v/>
      </c>
      <c r="AG174">
        <f>Database!H164</f>
        <v/>
      </c>
      <c r="AH174">
        <f>Database!BE164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IF(OR(Database!$BD175="",Screener!$D$10=""),0,IF(Database!$BD175=Screener!$D$10,1,0))</f>
        <v/>
      </c>
      <c r="F175">
        <f>IF(OR(Database!$BJ175="",Screener!$D$11=""),0,IF(Database!$BJ175=Screener!$D$11,1,0))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IF(OR(N(Database!$BE175)&lt;=0,N(Screener!$D$13)&lt;=0),0,MAX(0,1-ABS(LOG10(N(Database!$BE175)/Screener!$D$13))/W_PEHW))</f>
        <v/>
      </c>
      <c r="J175">
        <f>IF(OR(N(Database!$S175)&lt;=0,N(Screener!$D$14)&lt;=0),0,MAX(0,1-ABS(LOG10(Database!$S175/Screener!$D$14))/0.6))</f>
        <v/>
      </c>
      <c r="K175">
        <f>IF(Database!$B175=Screener!$B$5,-999999,IF(ISNUMBER(SEARCH(","&amp;Database!$A175&amp;",",","&amp;SUBSTITUTE(Screener!$D$17," ","")&amp;",")),2000000,IF(IF(OR(Screener!$B$18="All",AND(Screener!$B$18="With A-share",(Database!$BJ175="Y")),AND(Screener!$B$18="Without A-share",NOT((Database!$BJ175="Y")))),1,0)=0,-999999,IF(Screener!$B$16="cornerstone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Database!BD165</f>
        <v/>
      </c>
      <c r="AF175">
        <f>Database!BJ165</f>
        <v/>
      </c>
      <c r="AG175">
        <f>Database!H165</f>
        <v/>
      </c>
      <c r="AH175">
        <f>Database!BE165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IF(OR(Database!$BD176="",Screener!$D$10=""),0,IF(Database!$BD176=Screener!$D$10,1,0))</f>
        <v/>
      </c>
      <c r="F176">
        <f>IF(OR(Database!$BJ176="",Screener!$D$11=""),0,IF(Database!$BJ176=Screener!$D$11,1,0))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IF(OR(N(Database!$BE176)&lt;=0,N(Screener!$D$13)&lt;=0),0,MAX(0,1-ABS(LOG10(N(Database!$BE176)/Screener!$D$13))/W_PEHW))</f>
        <v/>
      </c>
      <c r="J176">
        <f>IF(OR(N(Database!$S176)&lt;=0,N(Screener!$D$14)&lt;=0),0,MAX(0,1-ABS(LOG10(Database!$S176/Screener!$D$14))/0.6))</f>
        <v/>
      </c>
      <c r="K176">
        <f>IF(Database!$B176=Screener!$B$5,-999999,IF(ISNUMBER(SEARCH(","&amp;Database!$A176&amp;",",","&amp;SUBSTITUTE(Screener!$D$17," ","")&amp;",")),2000000,IF(IF(OR(Screener!$B$18="All",AND(Screener!$B$18="With A-share",(Database!$BJ176="Y")),AND(Screener!$B$18="Without A-share",NOT((Database!$BJ176="Y")))),1,0)=0,-999999,IF(Screener!$B$16="cornerstone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Database!BD166</f>
        <v/>
      </c>
      <c r="AF176">
        <f>Database!BJ166</f>
        <v/>
      </c>
      <c r="AG176">
        <f>Database!H166</f>
        <v/>
      </c>
      <c r="AH176">
        <f>Database!BE166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IF(OR(Database!$BD177="",Screener!$D$10=""),0,IF(Database!$BD177=Screener!$D$10,1,0))</f>
        <v/>
      </c>
      <c r="F177">
        <f>IF(OR(Database!$BJ177="",Screener!$D$11=""),0,IF(Database!$BJ177=Screener!$D$11,1,0))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IF(OR(N(Database!$BE177)&lt;=0,N(Screener!$D$13)&lt;=0),0,MAX(0,1-ABS(LOG10(N(Database!$BE177)/Screener!$D$13))/W_PEHW))</f>
        <v/>
      </c>
      <c r="J177">
        <f>IF(OR(N(Database!$S177)&lt;=0,N(Screener!$D$14)&lt;=0),0,MAX(0,1-ABS(LOG10(Database!$S177/Screener!$D$14))/0.6))</f>
        <v/>
      </c>
      <c r="K177">
        <f>IF(Database!$B177=Screener!$B$5,-999999,IF(ISNUMBER(SEARCH(","&amp;Database!$A177&amp;",",","&amp;SUBSTITUTE(Screener!$D$17," ","")&amp;",")),2000000,IF(IF(OR(Screener!$B$18="All",AND(Screener!$B$18="With A-share",(Database!$BJ177="Y")),AND(Screener!$B$18="Without A-share",NOT((Database!$BJ177="Y")))),1,0)=0,-999999,IF(Screener!$B$16="cornerstone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Database!BD167</f>
        <v/>
      </c>
      <c r="AF177">
        <f>Database!BJ167</f>
        <v/>
      </c>
      <c r="AG177">
        <f>Database!H167</f>
        <v/>
      </c>
      <c r="AH177">
        <f>Database!BE167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IF(OR(Database!$BD178="",Screener!$D$10=""),0,IF(Database!$BD178=Screener!$D$10,1,0))</f>
        <v/>
      </c>
      <c r="F178">
        <f>IF(OR(Database!$BJ178="",Screener!$D$11=""),0,IF(Database!$BJ178=Screener!$D$11,1,0))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IF(OR(N(Database!$BE178)&lt;=0,N(Screener!$D$13)&lt;=0),0,MAX(0,1-ABS(LOG10(N(Database!$BE178)/Screener!$D$13))/W_PEHW))</f>
        <v/>
      </c>
      <c r="J178">
        <f>IF(OR(N(Database!$S178)&lt;=0,N(Screener!$D$14)&lt;=0),0,MAX(0,1-ABS(LOG10(Database!$S178/Screener!$D$14))/0.6))</f>
        <v/>
      </c>
      <c r="K178">
        <f>IF(Database!$B178=Screener!$B$5,-999999,IF(ISNUMBER(SEARCH(","&amp;Database!$A178&amp;",",","&amp;SUBSTITUTE(Screener!$D$17," ","")&amp;",")),2000000,IF(IF(OR(Screener!$B$18="All",AND(Screener!$B$18="With A-share",(Database!$BJ178="Y")),AND(Screener!$B$18="Without A-share",NOT((Database!$BJ178="Y")))),1,0)=0,-999999,IF(Screener!$B$16="cornerstone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Database!BD168</f>
        <v/>
      </c>
      <c r="AF178">
        <f>Database!BJ168</f>
        <v/>
      </c>
      <c r="AG178">
        <f>Database!H168</f>
        <v/>
      </c>
      <c r="AH178">
        <f>Database!BE168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IF(OR(Database!$BD179="",Screener!$D$10=""),0,IF(Database!$BD179=Screener!$D$10,1,0))</f>
        <v/>
      </c>
      <c r="F179">
        <f>IF(OR(Database!$BJ179="",Screener!$D$11=""),0,IF(Database!$BJ179=Screener!$D$11,1,0))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IF(OR(N(Database!$BE179)&lt;=0,N(Screener!$D$13)&lt;=0),0,MAX(0,1-ABS(LOG10(N(Database!$BE179)/Screener!$D$13))/W_PEHW))</f>
        <v/>
      </c>
      <c r="J179">
        <f>IF(OR(N(Database!$S179)&lt;=0,N(Screener!$D$14)&lt;=0),0,MAX(0,1-ABS(LOG10(Database!$S179/Screener!$D$14))/0.6))</f>
        <v/>
      </c>
      <c r="K179">
        <f>IF(Database!$B179=Screener!$B$5,-999999,IF(ISNUMBER(SEARCH(","&amp;Database!$A179&amp;",",","&amp;SUBSTITUTE(Screener!$D$17," ","")&amp;",")),2000000,IF(IF(OR(Screener!$B$18="All",AND(Screener!$B$18="With A-share",(Database!$BJ179="Y")),AND(Screener!$B$18="Without A-share",NOT((Database!$BJ179="Y")))),1,0)=0,-999999,IF(Screener!$B$16="cornerstone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Database!BD169</f>
        <v/>
      </c>
      <c r="AF179">
        <f>Database!BJ169</f>
        <v/>
      </c>
      <c r="AG179">
        <f>Database!H169</f>
        <v/>
      </c>
      <c r="AH179">
        <f>Database!BE169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IF(OR(Database!$BD180="",Screener!$D$10=""),0,IF(Database!$BD180=Screener!$D$10,1,0))</f>
        <v/>
      </c>
      <c r="F180">
        <f>IF(OR(Database!$BJ180="",Screener!$D$11=""),0,IF(Database!$BJ180=Screener!$D$11,1,0))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IF(OR(N(Database!$BE180)&lt;=0,N(Screener!$D$13)&lt;=0),0,MAX(0,1-ABS(LOG10(N(Database!$BE180)/Screener!$D$13))/W_PEHW))</f>
        <v/>
      </c>
      <c r="J180">
        <f>IF(OR(N(Database!$S180)&lt;=0,N(Screener!$D$14)&lt;=0),0,MAX(0,1-ABS(LOG10(Database!$S180/Screener!$D$14))/0.6))</f>
        <v/>
      </c>
      <c r="K180">
        <f>IF(Database!$B180=Screener!$B$5,-999999,IF(ISNUMBER(SEARCH(","&amp;Database!$A180&amp;",",","&amp;SUBSTITUTE(Screener!$D$17," ","")&amp;",")),2000000,IF(IF(OR(Screener!$B$18="All",AND(Screener!$B$18="With A-share",(Database!$BJ180="Y")),AND(Screener!$B$18="Without A-share",NOT((Database!$BJ180="Y")))),1,0)=0,-999999,IF(Screener!$B$16="cornerstone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Database!BD170</f>
        <v/>
      </c>
      <c r="AF180">
        <f>Database!BJ170</f>
        <v/>
      </c>
      <c r="AG180">
        <f>Database!H170</f>
        <v/>
      </c>
      <c r="AH180">
        <f>Database!BE170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IF(OR(Database!$BD181="",Screener!$D$10=""),0,IF(Database!$BD181=Screener!$D$10,1,0))</f>
        <v/>
      </c>
      <c r="F181">
        <f>IF(OR(Database!$BJ181="",Screener!$D$11=""),0,IF(Database!$BJ181=Screener!$D$11,1,0))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IF(OR(N(Database!$BE181)&lt;=0,N(Screener!$D$13)&lt;=0),0,MAX(0,1-ABS(LOG10(N(Database!$BE181)/Screener!$D$13))/W_PEHW))</f>
        <v/>
      </c>
      <c r="J181">
        <f>IF(OR(N(Database!$S181)&lt;=0,N(Screener!$D$14)&lt;=0),0,MAX(0,1-ABS(LOG10(Database!$S181/Screener!$D$14))/0.6))</f>
        <v/>
      </c>
      <c r="K181">
        <f>IF(Database!$B181=Screener!$B$5,-999999,IF(ISNUMBER(SEARCH(","&amp;Database!$A181&amp;",",","&amp;SUBSTITUTE(Screener!$D$17," ","")&amp;",")),2000000,IF(IF(OR(Screener!$B$18="All",AND(Screener!$B$18="With A-share",(Database!$BJ181="Y")),AND(Screener!$B$18="Without A-share",NOT((Database!$BJ181="Y")))),1,0)=0,-999999,IF(Screener!$B$16="cornerstone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Database!BD171</f>
        <v/>
      </c>
      <c r="AF181">
        <f>Database!BJ171</f>
        <v/>
      </c>
      <c r="AG181">
        <f>Database!H171</f>
        <v/>
      </c>
      <c r="AH181">
        <f>Database!BE171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IF(OR(Database!$BD182="",Screener!$D$10=""),0,IF(Database!$BD182=Screener!$D$10,1,0))</f>
        <v/>
      </c>
      <c r="F182">
        <f>IF(OR(Database!$BJ182="",Screener!$D$11=""),0,IF(Database!$BJ182=Screener!$D$11,1,0))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IF(OR(N(Database!$BE182)&lt;=0,N(Screener!$D$13)&lt;=0),0,MAX(0,1-ABS(LOG10(N(Database!$BE182)/Screener!$D$13))/W_PEHW))</f>
        <v/>
      </c>
      <c r="J182">
        <f>IF(OR(N(Database!$S182)&lt;=0,N(Screener!$D$14)&lt;=0),0,MAX(0,1-ABS(LOG10(Database!$S182/Screener!$D$14))/0.6))</f>
        <v/>
      </c>
      <c r="K182">
        <f>IF(Database!$B182=Screener!$B$5,-999999,IF(ISNUMBER(SEARCH(","&amp;Database!$A182&amp;",",","&amp;SUBSTITUTE(Screener!$D$17," ","")&amp;",")),2000000,IF(IF(OR(Screener!$B$18="All",AND(Screener!$B$18="With A-share",(Database!$BJ182="Y")),AND(Screener!$B$18="Without A-share",NOT((Database!$BJ182="Y")))),1,0)=0,-999999,IF(Screener!$B$16="cornerstone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Database!BD172</f>
        <v/>
      </c>
      <c r="AF182">
        <f>Database!BJ172</f>
        <v/>
      </c>
      <c r="AG182">
        <f>Database!H172</f>
        <v/>
      </c>
      <c r="AH182">
        <f>Database!BE172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IF(OR(Database!$BD183="",Screener!$D$10=""),0,IF(Database!$BD183=Screener!$D$10,1,0))</f>
        <v/>
      </c>
      <c r="F183">
        <f>IF(OR(Database!$BJ183="",Screener!$D$11=""),0,IF(Database!$BJ183=Screener!$D$11,1,0))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IF(OR(N(Database!$BE183)&lt;=0,N(Screener!$D$13)&lt;=0),0,MAX(0,1-ABS(LOG10(N(Database!$BE183)/Screener!$D$13))/W_PEHW))</f>
        <v/>
      </c>
      <c r="J183">
        <f>IF(OR(N(Database!$S183)&lt;=0,N(Screener!$D$14)&lt;=0),0,MAX(0,1-ABS(LOG10(Database!$S183/Screener!$D$14))/0.6))</f>
        <v/>
      </c>
      <c r="K183">
        <f>IF(Database!$B183=Screener!$B$5,-999999,IF(ISNUMBER(SEARCH(","&amp;Database!$A183&amp;",",","&amp;SUBSTITUTE(Screener!$D$17," ","")&amp;",")),2000000,IF(IF(OR(Screener!$B$18="All",AND(Screener!$B$18="With A-share",(Database!$BJ183="Y")),AND(Screener!$B$18="Without A-share",NOT((Database!$BJ183="Y")))),1,0)=0,-999999,IF(Screener!$B$16="cornerstone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Database!BD173</f>
        <v/>
      </c>
      <c r="AF183">
        <f>Database!BJ173</f>
        <v/>
      </c>
      <c r="AG183">
        <f>Database!H173</f>
        <v/>
      </c>
      <c r="AH183">
        <f>Database!BE173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IF(OR(Database!$BD184="",Screener!$D$10=""),0,IF(Database!$BD184=Screener!$D$10,1,0))</f>
        <v/>
      </c>
      <c r="F184">
        <f>IF(OR(Database!$BJ184="",Screener!$D$11=""),0,IF(Database!$BJ184=Screener!$D$11,1,0))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IF(OR(N(Database!$BE184)&lt;=0,N(Screener!$D$13)&lt;=0),0,MAX(0,1-ABS(LOG10(N(Database!$BE184)/Screener!$D$13))/W_PEHW))</f>
        <v/>
      </c>
      <c r="J184">
        <f>IF(OR(N(Database!$S184)&lt;=0,N(Screener!$D$14)&lt;=0),0,MAX(0,1-ABS(LOG10(Database!$S184/Screener!$D$14))/0.6))</f>
        <v/>
      </c>
      <c r="K184">
        <f>IF(Database!$B184=Screener!$B$5,-999999,IF(ISNUMBER(SEARCH(","&amp;Database!$A184&amp;",",","&amp;SUBSTITUTE(Screener!$D$17," ","")&amp;",")),2000000,IF(IF(OR(Screener!$B$18="All",AND(Screener!$B$18="With A-share",(Database!$BJ184="Y")),AND(Screener!$B$18="Without A-share",NOT((Database!$BJ184="Y")))),1,0)=0,-999999,IF(Screener!$B$16="cornerstone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Database!BD174</f>
        <v/>
      </c>
      <c r="AF184">
        <f>Database!BJ174</f>
        <v/>
      </c>
      <c r="AG184">
        <f>Database!H174</f>
        <v/>
      </c>
      <c r="AH184">
        <f>Database!BE174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IF(OR(Database!$BD185="",Screener!$D$10=""),0,IF(Database!$BD185=Screener!$D$10,1,0))</f>
        <v/>
      </c>
      <c r="F185">
        <f>IF(OR(Database!$BJ185="",Screener!$D$11=""),0,IF(Database!$BJ185=Screener!$D$11,1,0))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IF(OR(N(Database!$BE185)&lt;=0,N(Screener!$D$13)&lt;=0),0,MAX(0,1-ABS(LOG10(N(Database!$BE185)/Screener!$D$13))/W_PEHW))</f>
        <v/>
      </c>
      <c r="J185">
        <f>IF(OR(N(Database!$S185)&lt;=0,N(Screener!$D$14)&lt;=0),0,MAX(0,1-ABS(LOG10(Database!$S185/Screener!$D$14))/0.6))</f>
        <v/>
      </c>
      <c r="K185">
        <f>IF(Database!$B185=Screener!$B$5,-999999,IF(ISNUMBER(SEARCH(","&amp;Database!$A185&amp;",",","&amp;SUBSTITUTE(Screener!$D$17," ","")&amp;",")),2000000,IF(IF(OR(Screener!$B$18="All",AND(Screener!$B$18="With A-share",(Database!$BJ185="Y")),AND(Screener!$B$18="Without A-share",NOT((Database!$BJ185="Y")))),1,0)=0,-999999,IF(Screener!$B$16="cornerstone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Database!BD175</f>
        <v/>
      </c>
      <c r="AF185">
        <f>Database!BJ175</f>
        <v/>
      </c>
      <c r="AG185">
        <f>Database!H175</f>
        <v/>
      </c>
      <c r="AH185">
        <f>Database!BE175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IF(OR(Database!$BD186="",Screener!$D$10=""),0,IF(Database!$BD186=Screener!$D$10,1,0))</f>
        <v/>
      </c>
      <c r="F186">
        <f>IF(OR(Database!$BJ186="",Screener!$D$11=""),0,IF(Database!$BJ186=Screener!$D$11,1,0))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IF(OR(N(Database!$BE186)&lt;=0,N(Screener!$D$13)&lt;=0),0,MAX(0,1-ABS(LOG10(N(Database!$BE186)/Screener!$D$13))/W_PEHW))</f>
        <v/>
      </c>
      <c r="J186">
        <f>IF(OR(N(Database!$S186)&lt;=0,N(Screener!$D$14)&lt;=0),0,MAX(0,1-ABS(LOG10(Database!$S186/Screener!$D$14))/0.6))</f>
        <v/>
      </c>
      <c r="K186">
        <f>IF(Database!$B186=Screener!$B$5,-999999,IF(ISNUMBER(SEARCH(","&amp;Database!$A186&amp;",",","&amp;SUBSTITUTE(Screener!$D$17," ","")&amp;",")),2000000,IF(IF(OR(Screener!$B$18="All",AND(Screener!$B$18="With A-share",(Database!$BJ186="Y")),AND(Screener!$B$18="Without A-share",NOT((Database!$BJ186="Y")))),1,0)=0,-999999,IF(Screener!$B$16="cornerstone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Database!BD176</f>
        <v/>
      </c>
      <c r="AF186">
        <f>Database!BJ176</f>
        <v/>
      </c>
      <c r="AG186">
        <f>Database!H176</f>
        <v/>
      </c>
      <c r="AH186">
        <f>Database!BE176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IF(OR(Database!$BD187="",Screener!$D$10=""),0,IF(Database!$BD187=Screener!$D$10,1,0))</f>
        <v/>
      </c>
      <c r="F187">
        <f>IF(OR(Database!$BJ187="",Screener!$D$11=""),0,IF(Database!$BJ187=Screener!$D$11,1,0))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IF(OR(N(Database!$BE187)&lt;=0,N(Screener!$D$13)&lt;=0),0,MAX(0,1-ABS(LOG10(N(Database!$BE187)/Screener!$D$13))/W_PEHW))</f>
        <v/>
      </c>
      <c r="J187">
        <f>IF(OR(N(Database!$S187)&lt;=0,N(Screener!$D$14)&lt;=0),0,MAX(0,1-ABS(LOG10(Database!$S187/Screener!$D$14))/0.6))</f>
        <v/>
      </c>
      <c r="K187">
        <f>IF(Database!$B187=Screener!$B$5,-999999,IF(ISNUMBER(SEARCH(","&amp;Database!$A187&amp;",",","&amp;SUBSTITUTE(Screener!$D$17," ","")&amp;",")),2000000,IF(IF(OR(Screener!$B$18="All",AND(Screener!$B$18="With A-share",(Database!$BJ187="Y")),AND(Screener!$B$18="Without A-share",NOT((Database!$BJ187="Y")))),1,0)=0,-999999,IF(Screener!$B$16="cornerstone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Database!BD177</f>
        <v/>
      </c>
      <c r="AF187">
        <f>Database!BJ177</f>
        <v/>
      </c>
      <c r="AG187">
        <f>Database!H177</f>
        <v/>
      </c>
      <c r="AH187">
        <f>Database!BE177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IF(OR(Database!$BD188="",Screener!$D$10=""),0,IF(Database!$BD188=Screener!$D$10,1,0))</f>
        <v/>
      </c>
      <c r="F188">
        <f>IF(OR(Database!$BJ188="",Screener!$D$11=""),0,IF(Database!$BJ188=Screener!$D$11,1,0))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IF(OR(N(Database!$BE188)&lt;=0,N(Screener!$D$13)&lt;=0),0,MAX(0,1-ABS(LOG10(N(Database!$BE188)/Screener!$D$13))/W_PEHW))</f>
        <v/>
      </c>
      <c r="J188">
        <f>IF(OR(N(Database!$S188)&lt;=0,N(Screener!$D$14)&lt;=0),0,MAX(0,1-ABS(LOG10(Database!$S188/Screener!$D$14))/0.6))</f>
        <v/>
      </c>
      <c r="K188">
        <f>IF(Database!$B188=Screener!$B$5,-999999,IF(ISNUMBER(SEARCH(","&amp;Database!$A188&amp;",",","&amp;SUBSTITUTE(Screener!$D$17," ","")&amp;",")),2000000,IF(IF(OR(Screener!$B$18="All",AND(Screener!$B$18="With A-share",(Database!$BJ188="Y")),AND(Screener!$B$18="Without A-share",NOT((Database!$BJ188="Y")))),1,0)=0,-999999,IF(Screener!$B$16="cornerstone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Database!BD178</f>
        <v/>
      </c>
      <c r="AF188">
        <f>Database!BJ178</f>
        <v/>
      </c>
      <c r="AG188">
        <f>Database!H178</f>
        <v/>
      </c>
      <c r="AH188">
        <f>Database!BE178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IF(OR(Database!$BD189="",Screener!$D$10=""),0,IF(Database!$BD189=Screener!$D$10,1,0))</f>
        <v/>
      </c>
      <c r="F189">
        <f>IF(OR(Database!$BJ189="",Screener!$D$11=""),0,IF(Database!$BJ189=Screener!$D$11,1,0))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IF(OR(N(Database!$BE189)&lt;=0,N(Screener!$D$13)&lt;=0),0,MAX(0,1-ABS(LOG10(N(Database!$BE189)/Screener!$D$13))/W_PEHW))</f>
        <v/>
      </c>
      <c r="J189">
        <f>IF(OR(N(Database!$S189)&lt;=0,N(Screener!$D$14)&lt;=0),0,MAX(0,1-ABS(LOG10(Database!$S189/Screener!$D$14))/0.6))</f>
        <v/>
      </c>
      <c r="K189">
        <f>IF(Database!$B189=Screener!$B$5,-999999,IF(ISNUMBER(SEARCH(","&amp;Database!$A189&amp;",",","&amp;SUBSTITUTE(Screener!$D$17," ","")&amp;",")),2000000,IF(IF(OR(Screener!$B$18="All",AND(Screener!$B$18="With A-share",(Database!$BJ189="Y")),AND(Screener!$B$18="Without A-share",NOT((Database!$BJ189="Y")))),1,0)=0,-999999,IF(Screener!$B$16="cornerstone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Database!BD179</f>
        <v/>
      </c>
      <c r="AF189">
        <f>Database!BJ179</f>
        <v/>
      </c>
      <c r="AG189">
        <f>Database!H179</f>
        <v/>
      </c>
      <c r="AH189">
        <f>Database!BE179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IF(OR(Database!$BD190="",Screener!$D$10=""),0,IF(Database!$BD190=Screener!$D$10,1,0))</f>
        <v/>
      </c>
      <c r="F190">
        <f>IF(OR(Database!$BJ190="",Screener!$D$11=""),0,IF(Database!$BJ190=Screener!$D$11,1,0))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IF(OR(N(Database!$BE190)&lt;=0,N(Screener!$D$13)&lt;=0),0,MAX(0,1-ABS(LOG10(N(Database!$BE190)/Screener!$D$13))/W_PEHW))</f>
        <v/>
      </c>
      <c r="J190">
        <f>IF(OR(N(Database!$S190)&lt;=0,N(Screener!$D$14)&lt;=0),0,MAX(0,1-ABS(LOG10(Database!$S190/Screener!$D$14))/0.6))</f>
        <v/>
      </c>
      <c r="K190">
        <f>IF(Database!$B190=Screener!$B$5,-999999,IF(ISNUMBER(SEARCH(","&amp;Database!$A190&amp;",",","&amp;SUBSTITUTE(Screener!$D$17," ","")&amp;",")),2000000,IF(IF(OR(Screener!$B$18="All",AND(Screener!$B$18="With A-share",(Database!$BJ190="Y")),AND(Screener!$B$18="Without A-share",NOT((Database!$BJ190="Y")))),1,0)=0,-999999,IF(Screener!$B$16="cornerstone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Database!BD180</f>
        <v/>
      </c>
      <c r="AF190">
        <f>Database!BJ180</f>
        <v/>
      </c>
      <c r="AG190">
        <f>Database!H180</f>
        <v/>
      </c>
      <c r="AH190">
        <f>Database!BE180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IF(OR(Database!$BD191="",Screener!$D$10=""),0,IF(Database!$BD191=Screener!$D$10,1,0))</f>
        <v/>
      </c>
      <c r="F191">
        <f>IF(OR(Database!$BJ191="",Screener!$D$11=""),0,IF(Database!$BJ191=Screener!$D$11,1,0))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IF(OR(N(Database!$BE191)&lt;=0,N(Screener!$D$13)&lt;=0),0,MAX(0,1-ABS(LOG10(N(Database!$BE191)/Screener!$D$13))/W_PEHW))</f>
        <v/>
      </c>
      <c r="J191">
        <f>IF(OR(N(Database!$S191)&lt;=0,N(Screener!$D$14)&lt;=0),0,MAX(0,1-ABS(LOG10(Database!$S191/Screener!$D$14))/0.6))</f>
        <v/>
      </c>
      <c r="K191">
        <f>IF(Database!$B191=Screener!$B$5,-999999,IF(ISNUMBER(SEARCH(","&amp;Database!$A191&amp;",",","&amp;SUBSTITUTE(Screener!$D$17," ","")&amp;",")),2000000,IF(IF(OR(Screener!$B$18="All",AND(Screener!$B$18="With A-share",(Database!$BJ191="Y")),AND(Screener!$B$18="Without A-share",NOT((Database!$BJ191="Y")))),1,0)=0,-999999,IF(Screener!$B$16="cornerstone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Database!BD181</f>
        <v/>
      </c>
      <c r="AF191">
        <f>Database!BJ181</f>
        <v/>
      </c>
      <c r="AG191">
        <f>Database!H181</f>
        <v/>
      </c>
      <c r="AH191">
        <f>Database!BE181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IF(OR(Database!$BD192="",Screener!$D$10=""),0,IF(Database!$BD192=Screener!$D$10,1,0))</f>
        <v/>
      </c>
      <c r="F192">
        <f>IF(OR(Database!$BJ192="",Screener!$D$11=""),0,IF(Database!$BJ192=Screener!$D$11,1,0))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IF(OR(N(Database!$BE192)&lt;=0,N(Screener!$D$13)&lt;=0),0,MAX(0,1-ABS(LOG10(N(Database!$BE192)/Screener!$D$13))/W_PEHW))</f>
        <v/>
      </c>
      <c r="J192">
        <f>IF(OR(N(Database!$S192)&lt;=0,N(Screener!$D$14)&lt;=0),0,MAX(0,1-ABS(LOG10(Database!$S192/Screener!$D$14))/0.6))</f>
        <v/>
      </c>
      <c r="K192">
        <f>IF(Database!$B192=Screener!$B$5,-999999,IF(ISNUMBER(SEARCH(","&amp;Database!$A192&amp;",",","&amp;SUBSTITUTE(Screener!$D$17," ","")&amp;",")),2000000,IF(IF(OR(Screener!$B$18="All",AND(Screener!$B$18="With A-share",(Database!$BJ192="Y")),AND(Screener!$B$18="Without A-share",NOT((Database!$BJ192="Y")))),1,0)=0,-999999,IF(Screener!$B$16="cornerstone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Database!BD182</f>
        <v/>
      </c>
      <c r="AF192">
        <f>Database!BJ182</f>
        <v/>
      </c>
      <c r="AG192">
        <f>Database!H182</f>
        <v/>
      </c>
      <c r="AH192">
        <f>Database!BE182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IF(OR(Database!$BD193="",Screener!$D$10=""),0,IF(Database!$BD193=Screener!$D$10,1,0))</f>
        <v/>
      </c>
      <c r="F193">
        <f>IF(OR(Database!$BJ193="",Screener!$D$11=""),0,IF(Database!$BJ193=Screener!$D$11,1,0))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IF(OR(N(Database!$BE193)&lt;=0,N(Screener!$D$13)&lt;=0),0,MAX(0,1-ABS(LOG10(N(Database!$BE193)/Screener!$D$13))/W_PEHW))</f>
        <v/>
      </c>
      <c r="J193">
        <f>IF(OR(N(Database!$S193)&lt;=0,N(Screener!$D$14)&lt;=0),0,MAX(0,1-ABS(LOG10(Database!$S193/Screener!$D$14))/0.6))</f>
        <v/>
      </c>
      <c r="K193">
        <f>IF(Database!$B193=Screener!$B$5,-999999,IF(ISNUMBER(SEARCH(","&amp;Database!$A193&amp;",",","&amp;SUBSTITUTE(Screener!$D$17," ","")&amp;",")),2000000,IF(IF(OR(Screener!$B$18="All",AND(Screener!$B$18="With A-share",(Database!$BJ193="Y")),AND(Screener!$B$18="Without A-share",NOT((Database!$BJ193="Y")))),1,0)=0,-999999,IF(Screener!$B$16="cornerstone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Database!BD183</f>
        <v/>
      </c>
      <c r="AF193">
        <f>Database!BJ183</f>
        <v/>
      </c>
      <c r="AG193">
        <f>Database!H183</f>
        <v/>
      </c>
      <c r="AH193">
        <f>Database!BE183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IF(OR(Database!$BD194="",Screener!$D$10=""),0,IF(Database!$BD194=Screener!$D$10,1,0))</f>
        <v/>
      </c>
      <c r="F194">
        <f>IF(OR(Database!$BJ194="",Screener!$D$11=""),0,IF(Database!$BJ194=Screener!$D$11,1,0))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IF(OR(N(Database!$BE194)&lt;=0,N(Screener!$D$13)&lt;=0),0,MAX(0,1-ABS(LOG10(N(Database!$BE194)/Screener!$D$13))/W_PEHW))</f>
        <v/>
      </c>
      <c r="J194">
        <f>IF(OR(N(Database!$S194)&lt;=0,N(Screener!$D$14)&lt;=0),0,MAX(0,1-ABS(LOG10(Database!$S194/Screener!$D$14))/0.6))</f>
        <v/>
      </c>
      <c r="K194">
        <f>IF(Database!$B194=Screener!$B$5,-999999,IF(ISNUMBER(SEARCH(","&amp;Database!$A194&amp;",",","&amp;SUBSTITUTE(Screener!$D$17," ","")&amp;",")),2000000,IF(IF(OR(Screener!$B$18="All",AND(Screener!$B$18="With A-share",(Database!$BJ194="Y")),AND(Screener!$B$18="Without A-share",NOT((Database!$BJ194="Y")))),1,0)=0,-999999,IF(Screener!$B$16="cornerstone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Database!BD184</f>
        <v/>
      </c>
      <c r="AF194">
        <f>Database!BJ184</f>
        <v/>
      </c>
      <c r="AG194">
        <f>Database!H184</f>
        <v/>
      </c>
      <c r="AH194">
        <f>Database!BE184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IF(OR(Database!$BD195="",Screener!$D$10=""),0,IF(Database!$BD195=Screener!$D$10,1,0))</f>
        <v/>
      </c>
      <c r="F195">
        <f>IF(OR(Database!$BJ195="",Screener!$D$11=""),0,IF(Database!$BJ195=Screener!$D$11,1,0))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IF(OR(N(Database!$BE195)&lt;=0,N(Screener!$D$13)&lt;=0),0,MAX(0,1-ABS(LOG10(N(Database!$BE195)/Screener!$D$13))/W_PEHW))</f>
        <v/>
      </c>
      <c r="J195">
        <f>IF(OR(N(Database!$S195)&lt;=0,N(Screener!$D$14)&lt;=0),0,MAX(0,1-ABS(LOG10(Database!$S195/Screener!$D$14))/0.6))</f>
        <v/>
      </c>
      <c r="K195">
        <f>IF(Database!$B195=Screener!$B$5,-999999,IF(ISNUMBER(SEARCH(","&amp;Database!$A195&amp;",",","&amp;SUBSTITUTE(Screener!$D$17," ","")&amp;",")),2000000,IF(IF(OR(Screener!$B$18="All",AND(Screener!$B$18="With A-share",(Database!$BJ195="Y")),AND(Screener!$B$18="Without A-share",NOT((Database!$BJ195="Y")))),1,0)=0,-999999,IF(Screener!$B$16="cornerstone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Database!BD185</f>
        <v/>
      </c>
      <c r="AF195">
        <f>Database!BJ185</f>
        <v/>
      </c>
      <c r="AG195">
        <f>Database!H185</f>
        <v/>
      </c>
      <c r="AH195">
        <f>Database!BE185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IF(OR(Database!$BD196="",Screener!$D$10=""),0,IF(Database!$BD196=Screener!$D$10,1,0))</f>
        <v/>
      </c>
      <c r="F196">
        <f>IF(OR(Database!$BJ196="",Screener!$D$11=""),0,IF(Database!$BJ196=Screener!$D$11,1,0))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IF(OR(N(Database!$BE196)&lt;=0,N(Screener!$D$13)&lt;=0),0,MAX(0,1-ABS(LOG10(N(Database!$BE196)/Screener!$D$13))/W_PEHW))</f>
        <v/>
      </c>
      <c r="J196">
        <f>IF(OR(N(Database!$S196)&lt;=0,N(Screener!$D$14)&lt;=0),0,MAX(0,1-ABS(LOG10(Database!$S196/Screener!$D$14))/0.6))</f>
        <v/>
      </c>
      <c r="K196">
        <f>IF(Database!$B196=Screener!$B$5,-999999,IF(ISNUMBER(SEARCH(","&amp;Database!$A196&amp;",",","&amp;SUBSTITUTE(Screener!$D$17," ","")&amp;",")),2000000,IF(IF(OR(Screener!$B$18="All",AND(Screener!$B$18="With A-share",(Database!$BJ196="Y")),AND(Screener!$B$18="Without A-share",NOT((Database!$BJ196="Y")))),1,0)=0,-999999,IF(Screener!$B$16="cornerstone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Database!BD186</f>
        <v/>
      </c>
      <c r="AF196">
        <f>Database!BJ186</f>
        <v/>
      </c>
      <c r="AG196">
        <f>Database!H186</f>
        <v/>
      </c>
      <c r="AH196">
        <f>Database!BE186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IF(OR(Database!$BD197="",Screener!$D$10=""),0,IF(Database!$BD197=Screener!$D$10,1,0))</f>
        <v/>
      </c>
      <c r="F197">
        <f>IF(OR(Database!$BJ197="",Screener!$D$11=""),0,IF(Database!$BJ197=Screener!$D$11,1,0))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IF(OR(N(Database!$BE197)&lt;=0,N(Screener!$D$13)&lt;=0),0,MAX(0,1-ABS(LOG10(N(Database!$BE197)/Screener!$D$13))/W_PEHW))</f>
        <v/>
      </c>
      <c r="J197">
        <f>IF(OR(N(Database!$S197)&lt;=0,N(Screener!$D$14)&lt;=0),0,MAX(0,1-ABS(LOG10(Database!$S197/Screener!$D$14))/0.6))</f>
        <v/>
      </c>
      <c r="K197">
        <f>IF(Database!$B197=Screener!$B$5,-999999,IF(ISNUMBER(SEARCH(","&amp;Database!$A197&amp;",",","&amp;SUBSTITUTE(Screener!$D$17," ","")&amp;",")),2000000,IF(IF(OR(Screener!$B$18="All",AND(Screener!$B$18="With A-share",(Database!$BJ197="Y")),AND(Screener!$B$18="Without A-share",NOT((Database!$BJ197="Y")))),1,0)=0,-999999,IF(Screener!$B$16="cornerstone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Database!BD187</f>
        <v/>
      </c>
      <c r="AF197">
        <f>Database!BJ187</f>
        <v/>
      </c>
      <c r="AG197">
        <f>Database!H187</f>
        <v/>
      </c>
      <c r="AH197">
        <f>Database!BE187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IF(OR(Database!$BD198="",Screener!$D$10=""),0,IF(Database!$BD198=Screener!$D$10,1,0))</f>
        <v/>
      </c>
      <c r="F198">
        <f>IF(OR(Database!$BJ198="",Screener!$D$11=""),0,IF(Database!$BJ198=Screener!$D$11,1,0))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IF(OR(N(Database!$BE198)&lt;=0,N(Screener!$D$13)&lt;=0),0,MAX(0,1-ABS(LOG10(N(Database!$BE198)/Screener!$D$13))/W_PEHW))</f>
        <v/>
      </c>
      <c r="J198">
        <f>IF(OR(N(Database!$S198)&lt;=0,N(Screener!$D$14)&lt;=0),0,MAX(0,1-ABS(LOG10(Database!$S198/Screener!$D$14))/0.6))</f>
        <v/>
      </c>
      <c r="K198">
        <f>IF(Database!$B198=Screener!$B$5,-999999,IF(ISNUMBER(SEARCH(","&amp;Database!$A198&amp;",",","&amp;SUBSTITUTE(Screener!$D$17," ","")&amp;",")),2000000,IF(IF(OR(Screener!$B$18="All",AND(Screener!$B$18="With A-share",(Database!$BJ198="Y")),AND(Screener!$B$18="Without A-share",NOT((Database!$BJ198="Y")))),1,0)=0,-999999,IF(Screener!$B$16="cornerstone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Database!BD188</f>
        <v/>
      </c>
      <c r="AF198">
        <f>Database!BJ188</f>
        <v/>
      </c>
      <c r="AG198">
        <f>Database!H188</f>
        <v/>
      </c>
      <c r="AH198">
        <f>Database!BE188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IF(OR(Database!$BD199="",Screener!$D$10=""),0,IF(Database!$BD199=Screener!$D$10,1,0))</f>
        <v/>
      </c>
      <c r="F199">
        <f>IF(OR(Database!$BJ199="",Screener!$D$11=""),0,IF(Database!$BJ199=Screener!$D$11,1,0))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IF(OR(N(Database!$BE199)&lt;=0,N(Screener!$D$13)&lt;=0),0,MAX(0,1-ABS(LOG10(N(Database!$BE199)/Screener!$D$13))/W_PEHW))</f>
        <v/>
      </c>
      <c r="J199">
        <f>IF(OR(N(Database!$S199)&lt;=0,N(Screener!$D$14)&lt;=0),0,MAX(0,1-ABS(LOG10(Database!$S199/Screener!$D$14))/0.6))</f>
        <v/>
      </c>
      <c r="K199">
        <f>IF(Database!$B199=Screener!$B$5,-999999,IF(ISNUMBER(SEARCH(","&amp;Database!$A199&amp;",",","&amp;SUBSTITUTE(Screener!$D$17," ","")&amp;",")),2000000,IF(IF(OR(Screener!$B$18="All",AND(Screener!$B$18="With A-share",(Database!$BJ199="Y")),AND(Screener!$B$18="Without A-share",NOT((Database!$BJ199="Y")))),1,0)=0,-999999,IF(Screener!$B$16="cornerstone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Database!BD189</f>
        <v/>
      </c>
      <c r="AF199">
        <f>Database!BJ189</f>
        <v/>
      </c>
      <c r="AG199">
        <f>Database!H189</f>
        <v/>
      </c>
      <c r="AH199">
        <f>Database!BE189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IF(OR(Database!$BD200="",Screener!$D$10=""),0,IF(Database!$BD200=Screener!$D$10,1,0))</f>
        <v/>
      </c>
      <c r="F200">
        <f>IF(OR(Database!$BJ200="",Screener!$D$11=""),0,IF(Database!$BJ200=Screener!$D$11,1,0))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IF(OR(N(Database!$BE200)&lt;=0,N(Screener!$D$13)&lt;=0),0,MAX(0,1-ABS(LOG10(N(Database!$BE200)/Screener!$D$13))/W_PEHW))</f>
        <v/>
      </c>
      <c r="J200">
        <f>IF(OR(N(Database!$S200)&lt;=0,N(Screener!$D$14)&lt;=0),0,MAX(0,1-ABS(LOG10(Database!$S200/Screener!$D$14))/0.6))</f>
        <v/>
      </c>
      <c r="K200">
        <f>IF(Database!$B200=Screener!$B$5,-999999,IF(ISNUMBER(SEARCH(","&amp;Database!$A200&amp;",",","&amp;SUBSTITUTE(Screener!$D$17," ","")&amp;",")),2000000,IF(IF(OR(Screener!$B$18="All",AND(Screener!$B$18="With A-share",(Database!$BJ200="Y")),AND(Screener!$B$18="Without A-share",NOT((Database!$BJ200="Y")))),1,0)=0,-999999,IF(Screener!$B$16="cornerstone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Database!BD190</f>
        <v/>
      </c>
      <c r="AF200">
        <f>Database!BJ190</f>
        <v/>
      </c>
      <c r="AG200">
        <f>Database!H190</f>
        <v/>
      </c>
      <c r="AH200">
        <f>Database!BE190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IF(OR(Database!$BD201="",Screener!$D$10=""),0,IF(Database!$BD201=Screener!$D$10,1,0))</f>
        <v/>
      </c>
      <c r="F201">
        <f>IF(OR(Database!$BJ201="",Screener!$D$11=""),0,IF(Database!$BJ201=Screener!$D$11,1,0))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IF(OR(N(Database!$BE201)&lt;=0,N(Screener!$D$13)&lt;=0),0,MAX(0,1-ABS(LOG10(N(Database!$BE201)/Screener!$D$13))/W_PEHW))</f>
        <v/>
      </c>
      <c r="J201">
        <f>IF(OR(N(Database!$S201)&lt;=0,N(Screener!$D$14)&lt;=0),0,MAX(0,1-ABS(LOG10(Database!$S201/Screener!$D$14))/0.6))</f>
        <v/>
      </c>
      <c r="K201">
        <f>IF(Database!$B201=Screener!$B$5,-999999,IF(ISNUMBER(SEARCH(","&amp;Database!$A201&amp;",",","&amp;SUBSTITUTE(Screener!$D$17," ","")&amp;",")),2000000,IF(IF(OR(Screener!$B$18="All",AND(Screener!$B$18="With A-share",(Database!$BJ201="Y")),AND(Screener!$B$18="Without A-share",NOT((Database!$BJ201="Y")))),1,0)=0,-999999,IF(Screener!$B$16="cornerstone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Database!BD191</f>
        <v/>
      </c>
      <c r="AF201">
        <f>Database!BJ191</f>
        <v/>
      </c>
      <c r="AG201">
        <f>Database!H191</f>
        <v/>
      </c>
      <c r="AH201">
        <f>Database!BE191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IF(OR(Database!$BD202="",Screener!$D$10=""),0,IF(Database!$BD202=Screener!$D$10,1,0))</f>
        <v/>
      </c>
      <c r="F202">
        <f>IF(OR(Database!$BJ202="",Screener!$D$11=""),0,IF(Database!$BJ202=Screener!$D$11,1,0))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IF(OR(N(Database!$BE202)&lt;=0,N(Screener!$D$13)&lt;=0),0,MAX(0,1-ABS(LOG10(N(Database!$BE202)/Screener!$D$13))/W_PEHW))</f>
        <v/>
      </c>
      <c r="J202">
        <f>IF(OR(N(Database!$S202)&lt;=0,N(Screener!$D$14)&lt;=0),0,MAX(0,1-ABS(LOG10(Database!$S202/Screener!$D$14))/0.6))</f>
        <v/>
      </c>
      <c r="K202">
        <f>IF(Database!$B202=Screener!$B$5,-999999,IF(ISNUMBER(SEARCH(","&amp;Database!$A202&amp;",",","&amp;SUBSTITUTE(Screener!$D$17," ","")&amp;",")),2000000,IF(IF(OR(Screener!$B$18="All",AND(Screener!$B$18="With A-share",(Database!$BJ202="Y")),AND(Screener!$B$18="Without A-share",NOT((Database!$BJ202="Y")))),1,0)=0,-999999,IF(Screener!$B$16="cornerstone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Database!BD192</f>
        <v/>
      </c>
      <c r="AF202">
        <f>Database!BJ192</f>
        <v/>
      </c>
      <c r="AG202">
        <f>Database!H192</f>
        <v/>
      </c>
      <c r="AH202">
        <f>Database!BE192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IF(OR(Database!$BD203="",Screener!$D$10=""),0,IF(Database!$BD203=Screener!$D$10,1,0))</f>
        <v/>
      </c>
      <c r="F203">
        <f>IF(OR(Database!$BJ203="",Screener!$D$11=""),0,IF(Database!$BJ203=Screener!$D$11,1,0))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IF(OR(N(Database!$BE203)&lt;=0,N(Screener!$D$13)&lt;=0),0,MAX(0,1-ABS(LOG10(N(Database!$BE203)/Screener!$D$13))/W_PEHW))</f>
        <v/>
      </c>
      <c r="J203">
        <f>IF(OR(N(Database!$S203)&lt;=0,N(Screener!$D$14)&lt;=0),0,MAX(0,1-ABS(LOG10(Database!$S203/Screener!$D$14))/0.6))</f>
        <v/>
      </c>
      <c r="K203">
        <f>IF(Database!$B203=Screener!$B$5,-999999,IF(ISNUMBER(SEARCH(","&amp;Database!$A203&amp;",",","&amp;SUBSTITUTE(Screener!$D$17," ","")&amp;",")),2000000,IF(IF(OR(Screener!$B$18="All",AND(Screener!$B$18="With A-share",(Database!$BJ203="Y")),AND(Screener!$B$18="Without A-share",NOT((Database!$BJ203="Y")))),1,0)=0,-999999,IF(Screener!$B$16="cornerstone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Database!BD193</f>
        <v/>
      </c>
      <c r="AF203">
        <f>Database!BJ193</f>
        <v/>
      </c>
      <c r="AG203">
        <f>Database!H193</f>
        <v/>
      </c>
      <c r="AH203">
        <f>Database!BE193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IF(OR(Database!$BD204="",Screener!$D$10=""),0,IF(Database!$BD204=Screener!$D$10,1,0))</f>
        <v/>
      </c>
      <c r="F204">
        <f>IF(OR(Database!$BJ204="",Screener!$D$11=""),0,IF(Database!$BJ204=Screener!$D$11,1,0))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IF(OR(N(Database!$BE204)&lt;=0,N(Screener!$D$13)&lt;=0),0,MAX(0,1-ABS(LOG10(N(Database!$BE204)/Screener!$D$13))/W_PEHW))</f>
        <v/>
      </c>
      <c r="J204">
        <f>IF(OR(N(Database!$S204)&lt;=0,N(Screener!$D$14)&lt;=0),0,MAX(0,1-ABS(LOG10(Database!$S204/Screener!$D$14))/0.6))</f>
        <v/>
      </c>
      <c r="K204">
        <f>IF(Database!$B204=Screener!$B$5,-999999,IF(ISNUMBER(SEARCH(","&amp;Database!$A204&amp;",",","&amp;SUBSTITUTE(Screener!$D$17," ","")&amp;",")),2000000,IF(IF(OR(Screener!$B$18="All",AND(Screener!$B$18="With A-share",(Database!$BJ204="Y")),AND(Screener!$B$18="Without A-share",NOT((Database!$BJ204="Y")))),1,0)=0,-999999,IF(Screener!$B$16="cornerstone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Database!BD194</f>
        <v/>
      </c>
      <c r="AF204">
        <f>Database!BJ194</f>
        <v/>
      </c>
      <c r="AG204">
        <f>Database!H194</f>
        <v/>
      </c>
      <c r="AH204">
        <f>Database!BE194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IF(OR(Database!$BD205="",Screener!$D$10=""),0,IF(Database!$BD205=Screener!$D$10,1,0))</f>
        <v/>
      </c>
      <c r="F205">
        <f>IF(OR(Database!$BJ205="",Screener!$D$11=""),0,IF(Database!$BJ205=Screener!$D$11,1,0))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IF(OR(N(Database!$BE205)&lt;=0,N(Screener!$D$13)&lt;=0),0,MAX(0,1-ABS(LOG10(N(Database!$BE205)/Screener!$D$13))/W_PEHW))</f>
        <v/>
      </c>
      <c r="J205">
        <f>IF(OR(N(Database!$S205)&lt;=0,N(Screener!$D$14)&lt;=0),0,MAX(0,1-ABS(LOG10(Database!$S205/Screener!$D$14))/0.6))</f>
        <v/>
      </c>
      <c r="K205">
        <f>IF(Database!$B205=Screener!$B$5,-999999,IF(ISNUMBER(SEARCH(","&amp;Database!$A205&amp;",",","&amp;SUBSTITUTE(Screener!$D$17," ","")&amp;",")),2000000,IF(IF(OR(Screener!$B$18="All",AND(Screener!$B$18="With A-share",(Database!$BJ205="Y")),AND(Screener!$B$18="Without A-share",NOT((Database!$BJ205="Y")))),1,0)=0,-999999,IF(Screener!$B$16="cornerstone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Database!BD195</f>
        <v/>
      </c>
      <c r="AF205">
        <f>Database!BJ195</f>
        <v/>
      </c>
      <c r="AG205">
        <f>Database!H195</f>
        <v/>
      </c>
      <c r="AH205">
        <f>Database!BE195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IF(OR(Database!$BD206="",Screener!$D$10=""),0,IF(Database!$BD206=Screener!$D$10,1,0))</f>
        <v/>
      </c>
      <c r="F206">
        <f>IF(OR(Database!$BJ206="",Screener!$D$11=""),0,IF(Database!$BJ206=Screener!$D$11,1,0))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IF(OR(N(Database!$BE206)&lt;=0,N(Screener!$D$13)&lt;=0),0,MAX(0,1-ABS(LOG10(N(Database!$BE206)/Screener!$D$13))/W_PEHW))</f>
        <v/>
      </c>
      <c r="J206">
        <f>IF(OR(N(Database!$S206)&lt;=0,N(Screener!$D$14)&lt;=0),0,MAX(0,1-ABS(LOG10(Database!$S206/Screener!$D$14))/0.6))</f>
        <v/>
      </c>
      <c r="K206">
        <f>IF(Database!$B206=Screener!$B$5,-999999,IF(ISNUMBER(SEARCH(","&amp;Database!$A206&amp;",",","&amp;SUBSTITUTE(Screener!$D$17," ","")&amp;",")),2000000,IF(IF(OR(Screener!$B$18="All",AND(Screener!$B$18="With A-share",(Database!$BJ206="Y")),AND(Screener!$B$18="Without A-share",NOT((Database!$BJ206="Y")))),1,0)=0,-999999,IF(Screener!$B$16="cornerstone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Database!BD196</f>
        <v/>
      </c>
      <c r="AF206">
        <f>Database!BJ196</f>
        <v/>
      </c>
      <c r="AG206">
        <f>Database!H196</f>
        <v/>
      </c>
      <c r="AH206">
        <f>Database!BE196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IF(OR(Database!$BD207="",Screener!$D$10=""),0,IF(Database!$BD207=Screener!$D$10,1,0))</f>
        <v/>
      </c>
      <c r="F207">
        <f>IF(OR(Database!$BJ207="",Screener!$D$11=""),0,IF(Database!$BJ207=Screener!$D$11,1,0))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IF(OR(N(Database!$BE207)&lt;=0,N(Screener!$D$13)&lt;=0),0,MAX(0,1-ABS(LOG10(N(Database!$BE207)/Screener!$D$13))/W_PEHW))</f>
        <v/>
      </c>
      <c r="J207">
        <f>IF(OR(N(Database!$S207)&lt;=0,N(Screener!$D$14)&lt;=0),0,MAX(0,1-ABS(LOG10(Database!$S207/Screener!$D$14))/0.6))</f>
        <v/>
      </c>
      <c r="K207">
        <f>IF(Database!$B207=Screener!$B$5,-999999,IF(ISNUMBER(SEARCH(","&amp;Database!$A207&amp;",",","&amp;SUBSTITUTE(Screener!$D$17," ","")&amp;",")),2000000,IF(IF(OR(Screener!$B$18="All",AND(Screener!$B$18="With A-share",(Database!$BJ207="Y")),AND(Screener!$B$18="Without A-share",NOT((Database!$BJ207="Y")))),1,0)=0,-999999,IF(Screener!$B$16="cornerstone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Database!BD197</f>
        <v/>
      </c>
      <c r="AF207">
        <f>Database!BJ197</f>
        <v/>
      </c>
      <c r="AG207">
        <f>Database!H197</f>
        <v/>
      </c>
      <c r="AH207">
        <f>Database!BE197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IF(OR(Database!$BD208="",Screener!$D$10=""),0,IF(Database!$BD208=Screener!$D$10,1,0))</f>
        <v/>
      </c>
      <c r="F208">
        <f>IF(OR(Database!$BJ208="",Screener!$D$11=""),0,IF(Database!$BJ208=Screener!$D$11,1,0))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IF(OR(N(Database!$BE208)&lt;=0,N(Screener!$D$13)&lt;=0),0,MAX(0,1-ABS(LOG10(N(Database!$BE208)/Screener!$D$13))/W_PEHW))</f>
        <v/>
      </c>
      <c r="J208">
        <f>IF(OR(N(Database!$S208)&lt;=0,N(Screener!$D$14)&lt;=0),0,MAX(0,1-ABS(LOG10(Database!$S208/Screener!$D$14))/0.6))</f>
        <v/>
      </c>
      <c r="K208">
        <f>IF(Database!$B208=Screener!$B$5,-999999,IF(ISNUMBER(SEARCH(","&amp;Database!$A208&amp;",",","&amp;SUBSTITUTE(Screener!$D$17," ","")&amp;",")),2000000,IF(IF(OR(Screener!$B$18="All",AND(Screener!$B$18="With A-share",(Database!$BJ208="Y")),AND(Screener!$B$18="Without A-share",NOT((Database!$BJ208="Y")))),1,0)=0,-999999,IF(Screener!$B$16="cornerstone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Database!BD198</f>
        <v/>
      </c>
      <c r="AF208">
        <f>Database!BJ198</f>
        <v/>
      </c>
      <c r="AG208">
        <f>Database!H198</f>
        <v/>
      </c>
      <c r="AH208">
        <f>Database!BE198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IF(OR(Database!$BD209="",Screener!$D$10=""),0,IF(Database!$BD209=Screener!$D$10,1,0))</f>
        <v/>
      </c>
      <c r="F209">
        <f>IF(OR(Database!$BJ209="",Screener!$D$11=""),0,IF(Database!$BJ209=Screener!$D$11,1,0))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IF(OR(N(Database!$BE209)&lt;=0,N(Screener!$D$13)&lt;=0),0,MAX(0,1-ABS(LOG10(N(Database!$BE209)/Screener!$D$13))/W_PEHW))</f>
        <v/>
      </c>
      <c r="J209">
        <f>IF(OR(N(Database!$S209)&lt;=0,N(Screener!$D$14)&lt;=0),0,MAX(0,1-ABS(LOG10(Database!$S209/Screener!$D$14))/0.6))</f>
        <v/>
      </c>
      <c r="K209">
        <f>IF(Database!$B209=Screener!$B$5,-999999,IF(ISNUMBER(SEARCH(","&amp;Database!$A209&amp;",",","&amp;SUBSTITUTE(Screener!$D$17," ","")&amp;",")),2000000,IF(IF(OR(Screener!$B$18="All",AND(Screener!$B$18="With A-share",(Database!$BJ209="Y")),AND(Screener!$B$18="Without A-share",NOT((Database!$BJ209="Y")))),1,0)=0,-999999,IF(Screener!$B$16="cornerstone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Database!BD199</f>
        <v/>
      </c>
      <c r="AF209">
        <f>Database!BJ199</f>
        <v/>
      </c>
      <c r="AG209">
        <f>Database!H199</f>
        <v/>
      </c>
      <c r="AH209">
        <f>Database!BE199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IF(OR(Database!$BD210="",Screener!$D$10=""),0,IF(Database!$BD210=Screener!$D$10,1,0))</f>
        <v/>
      </c>
      <c r="F210">
        <f>IF(OR(Database!$BJ210="",Screener!$D$11=""),0,IF(Database!$BJ210=Screener!$D$11,1,0))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IF(OR(N(Database!$BE210)&lt;=0,N(Screener!$D$13)&lt;=0),0,MAX(0,1-ABS(LOG10(N(Database!$BE210)/Screener!$D$13))/W_PEHW))</f>
        <v/>
      </c>
      <c r="J210">
        <f>IF(OR(N(Database!$S210)&lt;=0,N(Screener!$D$14)&lt;=0),0,MAX(0,1-ABS(LOG10(Database!$S210/Screener!$D$14))/0.6))</f>
        <v/>
      </c>
      <c r="K210">
        <f>IF(Database!$B210=Screener!$B$5,-999999,IF(ISNUMBER(SEARCH(","&amp;Database!$A210&amp;",",","&amp;SUBSTITUTE(Screener!$D$17," ","")&amp;",")),2000000,IF(IF(OR(Screener!$B$18="All",AND(Screener!$B$18="With A-share",(Database!$BJ210="Y")),AND(Screener!$B$18="Without A-share",NOT((Database!$BJ210="Y")))),1,0)=0,-999999,IF(Screener!$B$16="cornerstone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Database!BD200</f>
        <v/>
      </c>
      <c r="AF210">
        <f>Database!BJ200</f>
        <v/>
      </c>
      <c r="AG210">
        <f>Database!H200</f>
        <v/>
      </c>
      <c r="AH210">
        <f>Database!BE200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IF(OR(Database!$BD211="",Screener!$D$10=""),0,IF(Database!$BD211=Screener!$D$10,1,0))</f>
        <v/>
      </c>
      <c r="F211">
        <f>IF(OR(Database!$BJ211="",Screener!$D$11=""),0,IF(Database!$BJ211=Screener!$D$11,1,0))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IF(OR(N(Database!$BE211)&lt;=0,N(Screener!$D$13)&lt;=0),0,MAX(0,1-ABS(LOG10(N(Database!$BE211)/Screener!$D$13))/W_PEHW))</f>
        <v/>
      </c>
      <c r="J211">
        <f>IF(OR(N(Database!$S211)&lt;=0,N(Screener!$D$14)&lt;=0),0,MAX(0,1-ABS(LOG10(Database!$S211/Screener!$D$14))/0.6))</f>
        <v/>
      </c>
      <c r="K211">
        <f>IF(Database!$B211=Screener!$B$5,-999999,IF(ISNUMBER(SEARCH(","&amp;Database!$A211&amp;",",","&amp;SUBSTITUTE(Screener!$D$17," ","")&amp;",")),2000000,IF(IF(OR(Screener!$B$18="All",AND(Screener!$B$18="With A-share",(Database!$BJ211="Y")),AND(Screener!$B$18="Without A-share",NOT((Database!$BJ211="Y")))),1,0)=0,-999999,IF(Screener!$B$16="cornerstone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Database!BD201</f>
        <v/>
      </c>
      <c r="AF211">
        <f>Database!BJ201</f>
        <v/>
      </c>
      <c r="AG211">
        <f>Database!H201</f>
        <v/>
      </c>
      <c r="AH211">
        <f>Database!BE201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IF(OR(Database!$BD212="",Screener!$D$10=""),0,IF(Database!$BD212=Screener!$D$10,1,0))</f>
        <v/>
      </c>
      <c r="F212">
        <f>IF(OR(Database!$BJ212="",Screener!$D$11=""),0,IF(Database!$BJ212=Screener!$D$11,1,0))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IF(OR(N(Database!$BE212)&lt;=0,N(Screener!$D$13)&lt;=0),0,MAX(0,1-ABS(LOG10(N(Database!$BE212)/Screener!$D$13))/W_PEHW))</f>
        <v/>
      </c>
      <c r="J212">
        <f>IF(OR(N(Database!$S212)&lt;=0,N(Screener!$D$14)&lt;=0),0,MAX(0,1-ABS(LOG10(Database!$S212/Screener!$D$14))/0.6))</f>
        <v/>
      </c>
      <c r="K212">
        <f>IF(Database!$B212=Screener!$B$5,-999999,IF(ISNUMBER(SEARCH(","&amp;Database!$A212&amp;",",","&amp;SUBSTITUTE(Screener!$D$17," ","")&amp;",")),2000000,IF(IF(OR(Screener!$B$18="All",AND(Screener!$B$18="With A-share",(Database!$BJ212="Y")),AND(Screener!$B$18="Without A-share",NOT((Database!$BJ212="Y")))),1,0)=0,-999999,IF(Screener!$B$16="cornerstone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Database!BD202</f>
        <v/>
      </c>
      <c r="AF212">
        <f>Database!BJ202</f>
        <v/>
      </c>
      <c r="AG212">
        <f>Database!H202</f>
        <v/>
      </c>
      <c r="AH212">
        <f>Database!BE202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IF(OR(Database!$BD213="",Screener!$D$10=""),0,IF(Database!$BD213=Screener!$D$10,1,0))</f>
        <v/>
      </c>
      <c r="F213">
        <f>IF(OR(Database!$BJ213="",Screener!$D$11=""),0,IF(Database!$BJ213=Screener!$D$11,1,0))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IF(OR(N(Database!$BE213)&lt;=0,N(Screener!$D$13)&lt;=0),0,MAX(0,1-ABS(LOG10(N(Database!$BE213)/Screener!$D$13))/W_PEHW))</f>
        <v/>
      </c>
      <c r="J213">
        <f>IF(OR(N(Database!$S213)&lt;=0,N(Screener!$D$14)&lt;=0),0,MAX(0,1-ABS(LOG10(Database!$S213/Screener!$D$14))/0.6))</f>
        <v/>
      </c>
      <c r="K213">
        <f>IF(Database!$B213=Screener!$B$5,-999999,IF(ISNUMBER(SEARCH(","&amp;Database!$A213&amp;",",","&amp;SUBSTITUTE(Screener!$D$17," ","")&amp;",")),2000000,IF(IF(OR(Screener!$B$18="All",AND(Screener!$B$18="With A-share",(Database!$BJ213="Y")),AND(Screener!$B$18="Without A-share",NOT((Database!$BJ213="Y")))),1,0)=0,-999999,IF(Screener!$B$16="cornerstone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Database!BD203</f>
        <v/>
      </c>
      <c r="AF213">
        <f>Database!BJ203</f>
        <v/>
      </c>
      <c r="AG213">
        <f>Database!H203</f>
        <v/>
      </c>
      <c r="AH213">
        <f>Database!BE203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IF(OR(Database!$BD214="",Screener!$D$10=""),0,IF(Database!$BD214=Screener!$D$10,1,0))</f>
        <v/>
      </c>
      <c r="F214">
        <f>IF(OR(Database!$BJ214="",Screener!$D$11=""),0,IF(Database!$BJ214=Screener!$D$11,1,0))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IF(OR(N(Database!$BE214)&lt;=0,N(Screener!$D$13)&lt;=0),0,MAX(0,1-ABS(LOG10(N(Database!$BE214)/Screener!$D$13))/W_PEHW))</f>
        <v/>
      </c>
      <c r="J214">
        <f>IF(OR(N(Database!$S214)&lt;=0,N(Screener!$D$14)&lt;=0),0,MAX(0,1-ABS(LOG10(Database!$S214/Screener!$D$14))/0.6))</f>
        <v/>
      </c>
      <c r="K214">
        <f>IF(Database!$B214=Screener!$B$5,-999999,IF(ISNUMBER(SEARCH(","&amp;Database!$A214&amp;",",","&amp;SUBSTITUTE(Screener!$D$17," ","")&amp;",")),2000000,IF(IF(OR(Screener!$B$18="All",AND(Screener!$B$18="With A-share",(Database!$BJ214="Y")),AND(Screener!$B$18="Without A-share",NOT((Database!$BJ214="Y")))),1,0)=0,-999999,IF(Screener!$B$16="cornerstone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Database!BD204</f>
        <v/>
      </c>
      <c r="AF214">
        <f>Database!BJ204</f>
        <v/>
      </c>
      <c r="AG214">
        <f>Database!H204</f>
        <v/>
      </c>
      <c r="AH214">
        <f>Database!BE204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IF(OR(Database!$BD215="",Screener!$D$10=""),0,IF(Database!$BD215=Screener!$D$10,1,0))</f>
        <v/>
      </c>
      <c r="F215">
        <f>IF(OR(Database!$BJ215="",Screener!$D$11=""),0,IF(Database!$BJ215=Screener!$D$11,1,0))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IF(OR(N(Database!$BE215)&lt;=0,N(Screener!$D$13)&lt;=0),0,MAX(0,1-ABS(LOG10(N(Database!$BE215)/Screener!$D$13))/W_PEHW))</f>
        <v/>
      </c>
      <c r="J215">
        <f>IF(OR(N(Database!$S215)&lt;=0,N(Screener!$D$14)&lt;=0),0,MAX(0,1-ABS(LOG10(Database!$S215/Screener!$D$14))/0.6))</f>
        <v/>
      </c>
      <c r="K215">
        <f>IF(Database!$B215=Screener!$B$5,-999999,IF(ISNUMBER(SEARCH(","&amp;Database!$A215&amp;",",","&amp;SUBSTITUTE(Screener!$D$17," ","")&amp;",")),2000000,IF(IF(OR(Screener!$B$18="All",AND(Screener!$B$18="With A-share",(Database!$BJ215="Y")),AND(Screener!$B$18="Without A-share",NOT((Database!$BJ215="Y")))),1,0)=0,-999999,IF(Screener!$B$16="cornerstone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Database!BD205</f>
        <v/>
      </c>
      <c r="AF215">
        <f>Database!BJ205</f>
        <v/>
      </c>
      <c r="AG215">
        <f>Database!H205</f>
        <v/>
      </c>
      <c r="AH215">
        <f>Database!BE205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IF(OR(Database!$BD216="",Screener!$D$10=""),0,IF(Database!$BD216=Screener!$D$10,1,0))</f>
        <v/>
      </c>
      <c r="F216">
        <f>IF(OR(Database!$BJ216="",Screener!$D$11=""),0,IF(Database!$BJ216=Screener!$D$11,1,0))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IF(OR(N(Database!$BE216)&lt;=0,N(Screener!$D$13)&lt;=0),0,MAX(0,1-ABS(LOG10(N(Database!$BE216)/Screener!$D$13))/W_PEHW))</f>
        <v/>
      </c>
      <c r="J216">
        <f>IF(OR(N(Database!$S216)&lt;=0,N(Screener!$D$14)&lt;=0),0,MAX(0,1-ABS(LOG10(Database!$S216/Screener!$D$14))/0.6))</f>
        <v/>
      </c>
      <c r="K216">
        <f>IF(Database!$B216=Screener!$B$5,-999999,IF(ISNUMBER(SEARCH(","&amp;Database!$A216&amp;",",","&amp;SUBSTITUTE(Screener!$D$17," ","")&amp;",")),2000000,IF(IF(OR(Screener!$B$18="All",AND(Screener!$B$18="With A-share",(Database!$BJ216="Y")),AND(Screener!$B$18="Without A-share",NOT((Database!$BJ216="Y")))),1,0)=0,-999999,IF(Screener!$B$16="cornerstone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Database!BD206</f>
        <v/>
      </c>
      <c r="AF216">
        <f>Database!BJ206</f>
        <v/>
      </c>
      <c r="AG216">
        <f>Database!H206</f>
        <v/>
      </c>
      <c r="AH216">
        <f>Database!BE206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IF(OR(Database!$BD217="",Screener!$D$10=""),0,IF(Database!$BD217=Screener!$D$10,1,0))</f>
        <v/>
      </c>
      <c r="F217">
        <f>IF(OR(Database!$BJ217="",Screener!$D$11=""),0,IF(Database!$BJ217=Screener!$D$11,1,0))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IF(OR(N(Database!$BE217)&lt;=0,N(Screener!$D$13)&lt;=0),0,MAX(0,1-ABS(LOG10(N(Database!$BE217)/Screener!$D$13))/W_PEHW))</f>
        <v/>
      </c>
      <c r="J217">
        <f>IF(OR(N(Database!$S217)&lt;=0,N(Screener!$D$14)&lt;=0),0,MAX(0,1-ABS(LOG10(Database!$S217/Screener!$D$14))/0.6))</f>
        <v/>
      </c>
      <c r="K217">
        <f>IF(Database!$B217=Screener!$B$5,-999999,IF(ISNUMBER(SEARCH(","&amp;Database!$A217&amp;",",","&amp;SUBSTITUTE(Screener!$D$17," ","")&amp;",")),2000000,IF(IF(OR(Screener!$B$18="All",AND(Screener!$B$18="With A-share",(Database!$BJ217="Y")),AND(Screener!$B$18="Without A-share",NOT((Database!$BJ217="Y")))),1,0)=0,-999999,IF(Screener!$B$16="cornerstone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Database!BD207</f>
        <v/>
      </c>
      <c r="AF217">
        <f>Database!BJ207</f>
        <v/>
      </c>
      <c r="AG217">
        <f>Database!H207</f>
        <v/>
      </c>
      <c r="AH217">
        <f>Database!BE207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IF(OR(Database!$BD218="",Screener!$D$10=""),0,IF(Database!$BD218=Screener!$D$10,1,0))</f>
        <v/>
      </c>
      <c r="F218">
        <f>IF(OR(Database!$BJ218="",Screener!$D$11=""),0,IF(Database!$BJ218=Screener!$D$11,1,0))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IF(OR(N(Database!$BE218)&lt;=0,N(Screener!$D$13)&lt;=0),0,MAX(0,1-ABS(LOG10(N(Database!$BE218)/Screener!$D$13))/W_PEHW))</f>
        <v/>
      </c>
      <c r="J218">
        <f>IF(OR(N(Database!$S218)&lt;=0,N(Screener!$D$14)&lt;=0),0,MAX(0,1-ABS(LOG10(Database!$S218/Screener!$D$14))/0.6))</f>
        <v/>
      </c>
      <c r="K218">
        <f>IF(Database!$B218=Screener!$B$5,-999999,IF(ISNUMBER(SEARCH(","&amp;Database!$A218&amp;",",","&amp;SUBSTITUTE(Screener!$D$17," ","")&amp;",")),2000000,IF(IF(OR(Screener!$B$18="All",AND(Screener!$B$18="With A-share",(Database!$BJ218="Y")),AND(Screener!$B$18="Without A-share",NOT((Database!$BJ218="Y")))),1,0)=0,-999999,IF(Screener!$B$16="cornerstone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Database!BD208</f>
        <v/>
      </c>
      <c r="AF218">
        <f>Database!BJ208</f>
        <v/>
      </c>
      <c r="AG218">
        <f>Database!H208</f>
        <v/>
      </c>
      <c r="AH218">
        <f>Database!BE208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IF(OR(Database!$BD219="",Screener!$D$10=""),0,IF(Database!$BD219=Screener!$D$10,1,0))</f>
        <v/>
      </c>
      <c r="F219">
        <f>IF(OR(Database!$BJ219="",Screener!$D$11=""),0,IF(Database!$BJ219=Screener!$D$11,1,0))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IF(OR(N(Database!$BE219)&lt;=0,N(Screener!$D$13)&lt;=0),0,MAX(0,1-ABS(LOG10(N(Database!$BE219)/Screener!$D$13))/W_PEHW))</f>
        <v/>
      </c>
      <c r="J219">
        <f>IF(OR(N(Database!$S219)&lt;=0,N(Screener!$D$14)&lt;=0),0,MAX(0,1-ABS(LOG10(Database!$S219/Screener!$D$14))/0.6))</f>
        <v/>
      </c>
      <c r="K219">
        <f>IF(Database!$B219=Screener!$B$5,-999999,IF(ISNUMBER(SEARCH(","&amp;Database!$A219&amp;",",","&amp;SUBSTITUTE(Screener!$D$17," ","")&amp;",")),2000000,IF(IF(OR(Screener!$B$18="All",AND(Screener!$B$18="With A-share",(Database!$BJ219="Y")),AND(Screener!$B$18="Without A-share",NOT((Database!$BJ219="Y")))),1,0)=0,-999999,IF(Screener!$B$16="cornerstone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Database!BD209</f>
        <v/>
      </c>
      <c r="AF219">
        <f>Database!BJ209</f>
        <v/>
      </c>
      <c r="AG219">
        <f>Database!H209</f>
        <v/>
      </c>
      <c r="AH219">
        <f>Database!BE209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IF(OR(Database!$BD220="",Screener!$D$10=""),0,IF(Database!$BD220=Screener!$D$10,1,0))</f>
        <v/>
      </c>
      <c r="F220">
        <f>IF(OR(Database!$BJ220="",Screener!$D$11=""),0,IF(Database!$BJ220=Screener!$D$11,1,0))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IF(OR(N(Database!$BE220)&lt;=0,N(Screener!$D$13)&lt;=0),0,MAX(0,1-ABS(LOG10(N(Database!$BE220)/Screener!$D$13))/W_PEHW))</f>
        <v/>
      </c>
      <c r="J220">
        <f>IF(OR(N(Database!$S220)&lt;=0,N(Screener!$D$14)&lt;=0),0,MAX(0,1-ABS(LOG10(Database!$S220/Screener!$D$14))/0.6))</f>
        <v/>
      </c>
      <c r="K220">
        <f>IF(Database!$B220=Screener!$B$5,-999999,IF(ISNUMBER(SEARCH(","&amp;Database!$A220&amp;",",","&amp;SUBSTITUTE(Screener!$D$17," ","")&amp;",")),2000000,IF(IF(OR(Screener!$B$18="All",AND(Screener!$B$18="With A-share",(Database!$BJ220="Y")),AND(Screener!$B$18="Without A-share",NOT((Database!$BJ220="Y")))),1,0)=0,-999999,IF(Screener!$B$16="cornerstone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Database!BD210</f>
        <v/>
      </c>
      <c r="AF220">
        <f>Database!BJ210</f>
        <v/>
      </c>
      <c r="AG220">
        <f>Database!H210</f>
        <v/>
      </c>
      <c r="AH220">
        <f>Database!BE210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IF(OR(Database!$BD221="",Screener!$D$10=""),0,IF(Database!$BD221=Screener!$D$10,1,0))</f>
        <v/>
      </c>
      <c r="F221">
        <f>IF(OR(Database!$BJ221="",Screener!$D$11=""),0,IF(Database!$BJ221=Screener!$D$11,1,0))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IF(OR(N(Database!$BE221)&lt;=0,N(Screener!$D$13)&lt;=0),0,MAX(0,1-ABS(LOG10(N(Database!$BE221)/Screener!$D$13))/W_PEHW))</f>
        <v/>
      </c>
      <c r="J221">
        <f>IF(OR(N(Database!$S221)&lt;=0,N(Screener!$D$14)&lt;=0),0,MAX(0,1-ABS(LOG10(Database!$S221/Screener!$D$14))/0.6))</f>
        <v/>
      </c>
      <c r="K221">
        <f>IF(Database!$B221=Screener!$B$5,-999999,IF(ISNUMBER(SEARCH(","&amp;Database!$A221&amp;",",","&amp;SUBSTITUTE(Screener!$D$17," ","")&amp;",")),2000000,IF(IF(OR(Screener!$B$18="All",AND(Screener!$B$18="With A-share",(Database!$BJ221="Y")),AND(Screener!$B$18="Without A-share",NOT((Database!$BJ221="Y")))),1,0)=0,-999999,IF(Screener!$B$16="cornerstone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Database!BD211</f>
        <v/>
      </c>
      <c r="AF221">
        <f>Database!BJ211</f>
        <v/>
      </c>
      <c r="AG221">
        <f>Database!H211</f>
        <v/>
      </c>
      <c r="AH221">
        <f>Database!BE211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IF(OR(Database!$BD222="",Screener!$D$10=""),0,IF(Database!$BD222=Screener!$D$10,1,0))</f>
        <v/>
      </c>
      <c r="F222">
        <f>IF(OR(Database!$BJ222="",Screener!$D$11=""),0,IF(Database!$BJ222=Screener!$D$11,1,0))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IF(OR(N(Database!$BE222)&lt;=0,N(Screener!$D$13)&lt;=0),0,MAX(0,1-ABS(LOG10(N(Database!$BE222)/Screener!$D$13))/W_PEHW))</f>
        <v/>
      </c>
      <c r="J222">
        <f>IF(OR(N(Database!$S222)&lt;=0,N(Screener!$D$14)&lt;=0),0,MAX(0,1-ABS(LOG10(Database!$S222/Screener!$D$14))/0.6))</f>
        <v/>
      </c>
      <c r="K222">
        <f>IF(Database!$B222=Screener!$B$5,-999999,IF(ISNUMBER(SEARCH(","&amp;Database!$A222&amp;",",","&amp;SUBSTITUTE(Screener!$D$17," ","")&amp;",")),2000000,IF(IF(OR(Screener!$B$18="All",AND(Screener!$B$18="With A-share",(Database!$BJ222="Y")),AND(Screener!$B$18="Without A-share",NOT((Database!$BJ222="Y")))),1,0)=0,-999999,IF(Screener!$B$16="cornerstone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Database!BD212</f>
        <v/>
      </c>
      <c r="AF222">
        <f>Database!BJ212</f>
        <v/>
      </c>
      <c r="AG222">
        <f>Database!H212</f>
        <v/>
      </c>
      <c r="AH222">
        <f>Database!BE212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IF(OR(Database!$BD223="",Screener!$D$10=""),0,IF(Database!$BD223=Screener!$D$10,1,0))</f>
        <v/>
      </c>
      <c r="F223">
        <f>IF(OR(Database!$BJ223="",Screener!$D$11=""),0,IF(Database!$BJ223=Screener!$D$11,1,0))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IF(OR(N(Database!$BE223)&lt;=0,N(Screener!$D$13)&lt;=0),0,MAX(0,1-ABS(LOG10(N(Database!$BE223)/Screener!$D$13))/W_PEHW))</f>
        <v/>
      </c>
      <c r="J223">
        <f>IF(OR(N(Database!$S223)&lt;=0,N(Screener!$D$14)&lt;=0),0,MAX(0,1-ABS(LOG10(Database!$S223/Screener!$D$14))/0.6))</f>
        <v/>
      </c>
      <c r="K223">
        <f>IF(Database!$B223=Screener!$B$5,-999999,IF(ISNUMBER(SEARCH(","&amp;Database!$A223&amp;",",","&amp;SUBSTITUTE(Screener!$D$17," ","")&amp;",")),2000000,IF(IF(OR(Screener!$B$18="All",AND(Screener!$B$18="With A-share",(Database!$BJ223="Y")),AND(Screener!$B$18="Without A-share",NOT((Database!$BJ223="Y")))),1,0)=0,-999999,IF(Screener!$B$16="cornerstone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Database!BD213</f>
        <v/>
      </c>
      <c r="AF223">
        <f>Database!BJ213</f>
        <v/>
      </c>
      <c r="AG223">
        <f>Database!H213</f>
        <v/>
      </c>
      <c r="AH223">
        <f>Database!BE213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IF(OR(Database!$BD224="",Screener!$D$10=""),0,IF(Database!$BD224=Screener!$D$10,1,0))</f>
        <v/>
      </c>
      <c r="F224">
        <f>IF(OR(Database!$BJ224="",Screener!$D$11=""),0,IF(Database!$BJ224=Screener!$D$11,1,0))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IF(OR(N(Database!$BE224)&lt;=0,N(Screener!$D$13)&lt;=0),0,MAX(0,1-ABS(LOG10(N(Database!$BE224)/Screener!$D$13))/W_PEHW))</f>
        <v/>
      </c>
      <c r="J224">
        <f>IF(OR(N(Database!$S224)&lt;=0,N(Screener!$D$14)&lt;=0),0,MAX(0,1-ABS(LOG10(Database!$S224/Screener!$D$14))/0.6))</f>
        <v/>
      </c>
      <c r="K224">
        <f>IF(Database!$B224=Screener!$B$5,-999999,IF(ISNUMBER(SEARCH(","&amp;Database!$A224&amp;",",","&amp;SUBSTITUTE(Screener!$D$17," ","")&amp;",")),2000000,IF(IF(OR(Screener!$B$18="All",AND(Screener!$B$18="With A-share",(Database!$BJ224="Y")),AND(Screener!$B$18="Without A-share",NOT((Database!$BJ224="Y")))),1,0)=0,-999999,IF(Screener!$B$16="cornerstone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Database!BD214</f>
        <v/>
      </c>
      <c r="AF224">
        <f>Database!BJ214</f>
        <v/>
      </c>
      <c r="AG224">
        <f>Database!H214</f>
        <v/>
      </c>
      <c r="AH224">
        <f>Database!BE214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IF(OR(Database!$BD225="",Screener!$D$10=""),0,IF(Database!$BD225=Screener!$D$10,1,0))</f>
        <v/>
      </c>
      <c r="F225">
        <f>IF(OR(Database!$BJ225="",Screener!$D$11=""),0,IF(Database!$BJ225=Screener!$D$11,1,0))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IF(OR(N(Database!$BE225)&lt;=0,N(Screener!$D$13)&lt;=0),0,MAX(0,1-ABS(LOG10(N(Database!$BE225)/Screener!$D$13))/W_PEHW))</f>
        <v/>
      </c>
      <c r="J225">
        <f>IF(OR(N(Database!$S225)&lt;=0,N(Screener!$D$14)&lt;=0),0,MAX(0,1-ABS(LOG10(Database!$S225/Screener!$D$14))/0.6))</f>
        <v/>
      </c>
      <c r="K225">
        <f>IF(Database!$B225=Screener!$B$5,-999999,IF(ISNUMBER(SEARCH(","&amp;Database!$A225&amp;",",","&amp;SUBSTITUTE(Screener!$D$17," ","")&amp;",")),2000000,IF(IF(OR(Screener!$B$18="All",AND(Screener!$B$18="With A-share",(Database!$BJ225="Y")),AND(Screener!$B$18="Without A-share",NOT((Database!$BJ225="Y")))),1,0)=0,-999999,IF(Screener!$B$16="cornerstone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Database!BD215</f>
        <v/>
      </c>
      <c r="AF225">
        <f>Database!BJ215</f>
        <v/>
      </c>
      <c r="AG225">
        <f>Database!H215</f>
        <v/>
      </c>
      <c r="AH225">
        <f>Database!BE215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IF(OR(Database!$BD226="",Screener!$D$10=""),0,IF(Database!$BD226=Screener!$D$10,1,0))</f>
        <v/>
      </c>
      <c r="F226">
        <f>IF(OR(Database!$BJ226="",Screener!$D$11=""),0,IF(Database!$BJ226=Screener!$D$11,1,0))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IF(OR(N(Database!$BE226)&lt;=0,N(Screener!$D$13)&lt;=0),0,MAX(0,1-ABS(LOG10(N(Database!$BE226)/Screener!$D$13))/W_PEHW))</f>
        <v/>
      </c>
      <c r="J226">
        <f>IF(OR(N(Database!$S226)&lt;=0,N(Screener!$D$14)&lt;=0),0,MAX(0,1-ABS(LOG10(Database!$S226/Screener!$D$14))/0.6))</f>
        <v/>
      </c>
      <c r="K226">
        <f>IF(Database!$B226=Screener!$B$5,-999999,IF(ISNUMBER(SEARCH(","&amp;Database!$A226&amp;",",","&amp;SUBSTITUTE(Screener!$D$17," ","")&amp;",")),2000000,IF(IF(OR(Screener!$B$18="All",AND(Screener!$B$18="With A-share",(Database!$BJ226="Y")),AND(Screener!$B$18="Without A-share",NOT((Database!$BJ226="Y")))),1,0)=0,-999999,IF(Screener!$B$16="cornerstone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Database!BD216</f>
        <v/>
      </c>
      <c r="AF226">
        <f>Database!BJ216</f>
        <v/>
      </c>
      <c r="AG226">
        <f>Database!H216</f>
        <v/>
      </c>
      <c r="AH226">
        <f>Database!BE216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IF(OR(Database!$BD227="",Screener!$D$10=""),0,IF(Database!$BD227=Screener!$D$10,1,0))</f>
        <v/>
      </c>
      <c r="F227">
        <f>IF(OR(Database!$BJ227="",Screener!$D$11=""),0,IF(Database!$BJ227=Screener!$D$11,1,0))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IF(OR(N(Database!$BE227)&lt;=0,N(Screener!$D$13)&lt;=0),0,MAX(0,1-ABS(LOG10(N(Database!$BE227)/Screener!$D$13))/W_PEHW))</f>
        <v/>
      </c>
      <c r="J227">
        <f>IF(OR(N(Database!$S227)&lt;=0,N(Screener!$D$14)&lt;=0),0,MAX(0,1-ABS(LOG10(Database!$S227/Screener!$D$14))/0.6))</f>
        <v/>
      </c>
      <c r="K227">
        <f>IF(Database!$B227=Screener!$B$5,-999999,IF(ISNUMBER(SEARCH(","&amp;Database!$A227&amp;",",","&amp;SUBSTITUTE(Screener!$D$17," ","")&amp;",")),2000000,IF(IF(OR(Screener!$B$18="All",AND(Screener!$B$18="With A-share",(Database!$BJ227="Y")),AND(Screener!$B$18="Without A-share",NOT((Database!$BJ227="Y")))),1,0)=0,-999999,IF(Screener!$B$16="cornerstone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Database!BD217</f>
        <v/>
      </c>
      <c r="AF227">
        <f>Database!BJ217</f>
        <v/>
      </c>
      <c r="AG227">
        <f>Database!H217</f>
        <v/>
      </c>
      <c r="AH227">
        <f>Database!BE217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IF(OR(Database!$BD228="",Screener!$D$10=""),0,IF(Database!$BD228=Screener!$D$10,1,0))</f>
        <v/>
      </c>
      <c r="F228">
        <f>IF(OR(Database!$BJ228="",Screener!$D$11=""),0,IF(Database!$BJ228=Screener!$D$11,1,0))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IF(OR(N(Database!$BE228)&lt;=0,N(Screener!$D$13)&lt;=0),0,MAX(0,1-ABS(LOG10(N(Database!$BE228)/Screener!$D$13))/W_PEHW))</f>
        <v/>
      </c>
      <c r="J228">
        <f>IF(OR(N(Database!$S228)&lt;=0,N(Screener!$D$14)&lt;=0),0,MAX(0,1-ABS(LOG10(Database!$S228/Screener!$D$14))/0.6))</f>
        <v/>
      </c>
      <c r="K228">
        <f>IF(Database!$B228=Screener!$B$5,-999999,IF(ISNUMBER(SEARCH(","&amp;Database!$A228&amp;",",","&amp;SUBSTITUTE(Screener!$D$17," ","")&amp;",")),2000000,IF(IF(OR(Screener!$B$18="All",AND(Screener!$B$18="With A-share",(Database!$BJ228="Y")),AND(Screener!$B$18="Without A-share",NOT((Database!$BJ228="Y")))),1,0)=0,-999999,IF(Screener!$B$16="cornerstone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Database!BD218</f>
        <v/>
      </c>
      <c r="AF228">
        <f>Database!BJ218</f>
        <v/>
      </c>
      <c r="AG228">
        <f>Database!H218</f>
        <v/>
      </c>
      <c r="AH228">
        <f>Database!BE218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IF(OR(Database!$BD229="",Screener!$D$10=""),0,IF(Database!$BD229=Screener!$D$10,1,0))</f>
        <v/>
      </c>
      <c r="F229">
        <f>IF(OR(Database!$BJ229="",Screener!$D$11=""),0,IF(Database!$BJ229=Screener!$D$11,1,0))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IF(OR(N(Database!$BE229)&lt;=0,N(Screener!$D$13)&lt;=0),0,MAX(0,1-ABS(LOG10(N(Database!$BE229)/Screener!$D$13))/W_PEHW))</f>
        <v/>
      </c>
      <c r="J229">
        <f>IF(OR(N(Database!$S229)&lt;=0,N(Screener!$D$14)&lt;=0),0,MAX(0,1-ABS(LOG10(Database!$S229/Screener!$D$14))/0.6))</f>
        <v/>
      </c>
      <c r="K229">
        <f>IF(Database!$B229=Screener!$B$5,-999999,IF(ISNUMBER(SEARCH(","&amp;Database!$A229&amp;",",","&amp;SUBSTITUTE(Screener!$D$17," ","")&amp;",")),2000000,IF(IF(OR(Screener!$B$18="All",AND(Screener!$B$18="With A-share",(Database!$BJ229="Y")),AND(Screener!$B$18="Without A-share",NOT((Database!$BJ229="Y")))),1,0)=0,-999999,IF(Screener!$B$16="cornerstone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Database!BD219</f>
        <v/>
      </c>
      <c r="AF229">
        <f>Database!BJ219</f>
        <v/>
      </c>
      <c r="AG229">
        <f>Database!H219</f>
        <v/>
      </c>
      <c r="AH229">
        <f>Database!BE219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IF(OR(Database!$BD230="",Screener!$D$10=""),0,IF(Database!$BD230=Screener!$D$10,1,0))</f>
        <v/>
      </c>
      <c r="F230">
        <f>IF(OR(Database!$BJ230="",Screener!$D$11=""),0,IF(Database!$BJ230=Screener!$D$11,1,0))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IF(OR(N(Database!$BE230)&lt;=0,N(Screener!$D$13)&lt;=0),0,MAX(0,1-ABS(LOG10(N(Database!$BE230)/Screener!$D$13))/W_PEHW))</f>
        <v/>
      </c>
      <c r="J230">
        <f>IF(OR(N(Database!$S230)&lt;=0,N(Screener!$D$14)&lt;=0),0,MAX(0,1-ABS(LOG10(Database!$S230/Screener!$D$14))/0.6))</f>
        <v/>
      </c>
      <c r="K230">
        <f>IF(Database!$B230=Screener!$B$5,-999999,IF(ISNUMBER(SEARCH(","&amp;Database!$A230&amp;",",","&amp;SUBSTITUTE(Screener!$D$17," ","")&amp;",")),2000000,IF(IF(OR(Screener!$B$18="All",AND(Screener!$B$18="With A-share",(Database!$BJ230="Y")),AND(Screener!$B$18="Without A-share",NOT((Database!$BJ230="Y")))),1,0)=0,-999999,IF(Screener!$B$16="cornerstone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Database!BD220</f>
        <v/>
      </c>
      <c r="AF230">
        <f>Database!BJ220</f>
        <v/>
      </c>
      <c r="AG230">
        <f>Database!H220</f>
        <v/>
      </c>
      <c r="AH230">
        <f>Database!BE220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IF(OR(Database!$BD231="",Screener!$D$10=""),0,IF(Database!$BD231=Screener!$D$10,1,0))</f>
        <v/>
      </c>
      <c r="F231">
        <f>IF(OR(Database!$BJ231="",Screener!$D$11=""),0,IF(Database!$BJ231=Screener!$D$11,1,0))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IF(OR(N(Database!$BE231)&lt;=0,N(Screener!$D$13)&lt;=0),0,MAX(0,1-ABS(LOG10(N(Database!$BE231)/Screener!$D$13))/W_PEHW))</f>
        <v/>
      </c>
      <c r="J231">
        <f>IF(OR(N(Database!$S231)&lt;=0,N(Screener!$D$14)&lt;=0),0,MAX(0,1-ABS(LOG10(Database!$S231/Screener!$D$14))/0.6))</f>
        <v/>
      </c>
      <c r="K231">
        <f>IF(Database!$B231=Screener!$B$5,-999999,IF(ISNUMBER(SEARCH(","&amp;Database!$A231&amp;",",","&amp;SUBSTITUTE(Screener!$D$17," ","")&amp;",")),2000000,IF(IF(OR(Screener!$B$18="All",AND(Screener!$B$18="With A-share",(Database!$BJ231="Y")),AND(Screener!$B$18="Without A-share",NOT((Database!$BJ231="Y")))),1,0)=0,-999999,IF(Screener!$B$16="cornerstone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Database!BD221</f>
        <v/>
      </c>
      <c r="AF231">
        <f>Database!BJ221</f>
        <v/>
      </c>
      <c r="AG231">
        <f>Database!H221</f>
        <v/>
      </c>
      <c r="AH231">
        <f>Database!BE221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IF(OR(Database!$BD232="",Screener!$D$10=""),0,IF(Database!$BD232=Screener!$D$10,1,0))</f>
        <v/>
      </c>
      <c r="F232">
        <f>IF(OR(Database!$BJ232="",Screener!$D$11=""),0,IF(Database!$BJ232=Screener!$D$11,1,0))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IF(OR(N(Database!$BE232)&lt;=0,N(Screener!$D$13)&lt;=0),0,MAX(0,1-ABS(LOG10(N(Database!$BE232)/Screener!$D$13))/W_PEHW))</f>
        <v/>
      </c>
      <c r="J232">
        <f>IF(OR(N(Database!$S232)&lt;=0,N(Screener!$D$14)&lt;=0),0,MAX(0,1-ABS(LOG10(Database!$S232/Screener!$D$14))/0.6))</f>
        <v/>
      </c>
      <c r="K232">
        <f>IF(Database!$B232=Screener!$B$5,-999999,IF(ISNUMBER(SEARCH(","&amp;Database!$A232&amp;",",","&amp;SUBSTITUTE(Screener!$D$17," ","")&amp;",")),2000000,IF(IF(OR(Screener!$B$18="All",AND(Screener!$B$18="With A-share",(Database!$BJ232="Y")),AND(Screener!$B$18="Without A-share",NOT((Database!$BJ232="Y")))),1,0)=0,-999999,IF(Screener!$B$16="cornerstone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Database!BD222</f>
        <v/>
      </c>
      <c r="AF232">
        <f>Database!BJ222</f>
        <v/>
      </c>
      <c r="AG232">
        <f>Database!H222</f>
        <v/>
      </c>
      <c r="AH232">
        <f>Database!BE222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IF(OR(Database!$BD233="",Screener!$D$10=""),0,IF(Database!$BD233=Screener!$D$10,1,0))</f>
        <v/>
      </c>
      <c r="F233">
        <f>IF(OR(Database!$BJ233="",Screener!$D$11=""),0,IF(Database!$BJ233=Screener!$D$11,1,0))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IF(OR(N(Database!$BE233)&lt;=0,N(Screener!$D$13)&lt;=0),0,MAX(0,1-ABS(LOG10(N(Database!$BE233)/Screener!$D$13))/W_PEHW))</f>
        <v/>
      </c>
      <c r="J233">
        <f>IF(OR(N(Database!$S233)&lt;=0,N(Screener!$D$14)&lt;=0),0,MAX(0,1-ABS(LOG10(Database!$S233/Screener!$D$14))/0.6))</f>
        <v/>
      </c>
      <c r="K233">
        <f>IF(Database!$B233=Screener!$B$5,-999999,IF(ISNUMBER(SEARCH(","&amp;Database!$A233&amp;",",","&amp;SUBSTITUTE(Screener!$D$17," ","")&amp;",")),2000000,IF(IF(OR(Screener!$B$18="All",AND(Screener!$B$18="With A-share",(Database!$BJ233="Y")),AND(Screener!$B$18="Without A-share",NOT((Database!$BJ233="Y")))),1,0)=0,-999999,IF(Screener!$B$16="cornerstone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Database!BD223</f>
        <v/>
      </c>
      <c r="AF233">
        <f>Database!BJ223</f>
        <v/>
      </c>
      <c r="AG233">
        <f>Database!H223</f>
        <v/>
      </c>
      <c r="AH233">
        <f>Database!BE223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IF(OR(Database!$BD234="",Screener!$D$10=""),0,IF(Database!$BD234=Screener!$D$10,1,0))</f>
        <v/>
      </c>
      <c r="F234">
        <f>IF(OR(Database!$BJ234="",Screener!$D$11=""),0,IF(Database!$BJ234=Screener!$D$11,1,0))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IF(OR(N(Database!$BE234)&lt;=0,N(Screener!$D$13)&lt;=0),0,MAX(0,1-ABS(LOG10(N(Database!$BE234)/Screener!$D$13))/W_PEHW))</f>
        <v/>
      </c>
      <c r="J234">
        <f>IF(OR(N(Database!$S234)&lt;=0,N(Screener!$D$14)&lt;=0),0,MAX(0,1-ABS(LOG10(Database!$S234/Screener!$D$14))/0.6))</f>
        <v/>
      </c>
      <c r="K234">
        <f>IF(Database!$B234=Screener!$B$5,-999999,IF(ISNUMBER(SEARCH(","&amp;Database!$A234&amp;",",","&amp;SUBSTITUTE(Screener!$D$17," ","")&amp;",")),2000000,IF(IF(OR(Screener!$B$18="All",AND(Screener!$B$18="With A-share",(Database!$BJ234="Y")),AND(Screener!$B$18="Without A-share",NOT((Database!$BJ234="Y")))),1,0)=0,-999999,IF(Screener!$B$16="cornerstone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Database!BD224</f>
        <v/>
      </c>
      <c r="AF234">
        <f>Database!BJ224</f>
        <v/>
      </c>
      <c r="AG234">
        <f>Database!H224</f>
        <v/>
      </c>
      <c r="AH234">
        <f>Database!BE224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IF(OR(Database!$BD235="",Screener!$D$10=""),0,IF(Database!$BD235=Screener!$D$10,1,0))</f>
        <v/>
      </c>
      <c r="F235">
        <f>IF(OR(Database!$BJ235="",Screener!$D$11=""),0,IF(Database!$BJ235=Screener!$D$11,1,0))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IF(OR(N(Database!$BE235)&lt;=0,N(Screener!$D$13)&lt;=0),0,MAX(0,1-ABS(LOG10(N(Database!$BE235)/Screener!$D$13))/W_PEHW))</f>
        <v/>
      </c>
      <c r="J235">
        <f>IF(OR(N(Database!$S235)&lt;=0,N(Screener!$D$14)&lt;=0),0,MAX(0,1-ABS(LOG10(Database!$S235/Screener!$D$14))/0.6))</f>
        <v/>
      </c>
      <c r="K235">
        <f>IF(Database!$B235=Screener!$B$5,-999999,IF(ISNUMBER(SEARCH(","&amp;Database!$A235&amp;",",","&amp;SUBSTITUTE(Screener!$D$17," ","")&amp;",")),2000000,IF(IF(OR(Screener!$B$18="All",AND(Screener!$B$18="With A-share",(Database!$BJ235="Y")),AND(Screener!$B$18="Without A-share",NOT((Database!$BJ235="Y")))),1,0)=0,-999999,IF(Screener!$B$16="cornerstone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Database!BD225</f>
        <v/>
      </c>
      <c r="AF235">
        <f>Database!BJ225</f>
        <v/>
      </c>
      <c r="AG235">
        <f>Database!H225</f>
        <v/>
      </c>
      <c r="AH235">
        <f>Database!BE225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IF(OR(Database!$BD236="",Screener!$D$10=""),0,IF(Database!$BD236=Screener!$D$10,1,0))</f>
        <v/>
      </c>
      <c r="F236">
        <f>IF(OR(Database!$BJ236="",Screener!$D$11=""),0,IF(Database!$BJ236=Screener!$D$11,1,0))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IF(OR(N(Database!$BE236)&lt;=0,N(Screener!$D$13)&lt;=0),0,MAX(0,1-ABS(LOG10(N(Database!$BE236)/Screener!$D$13))/W_PEHW))</f>
        <v/>
      </c>
      <c r="J236">
        <f>IF(OR(N(Database!$S236)&lt;=0,N(Screener!$D$14)&lt;=0),0,MAX(0,1-ABS(LOG10(Database!$S236/Screener!$D$14))/0.6))</f>
        <v/>
      </c>
      <c r="K236">
        <f>IF(Database!$B236=Screener!$B$5,-999999,IF(ISNUMBER(SEARCH(","&amp;Database!$A236&amp;",",","&amp;SUBSTITUTE(Screener!$D$17," ","")&amp;",")),2000000,IF(IF(OR(Screener!$B$18="All",AND(Screener!$B$18="With A-share",(Database!$BJ236="Y")),AND(Screener!$B$18="Without A-share",NOT((Database!$BJ236="Y")))),1,0)=0,-999999,IF(Screener!$B$16="cornerstone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Database!BD226</f>
        <v/>
      </c>
      <c r="AF236">
        <f>Database!BJ226</f>
        <v/>
      </c>
      <c r="AG236">
        <f>Database!H226</f>
        <v/>
      </c>
      <c r="AH236">
        <f>Database!BE226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IF(OR(Database!$BD237="",Screener!$D$10=""),0,IF(Database!$BD237=Screener!$D$10,1,0))</f>
        <v/>
      </c>
      <c r="F237">
        <f>IF(OR(Database!$BJ237="",Screener!$D$11=""),0,IF(Database!$BJ237=Screener!$D$11,1,0))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IF(OR(N(Database!$BE237)&lt;=0,N(Screener!$D$13)&lt;=0),0,MAX(0,1-ABS(LOG10(N(Database!$BE237)/Screener!$D$13))/W_PEHW))</f>
        <v/>
      </c>
      <c r="J237">
        <f>IF(OR(N(Database!$S237)&lt;=0,N(Screener!$D$14)&lt;=0),0,MAX(0,1-ABS(LOG10(Database!$S237/Screener!$D$14))/0.6))</f>
        <v/>
      </c>
      <c r="K237">
        <f>IF(Database!$B237=Screener!$B$5,-999999,IF(ISNUMBER(SEARCH(","&amp;Database!$A237&amp;",",","&amp;SUBSTITUTE(Screener!$D$17," ","")&amp;",")),2000000,IF(IF(OR(Screener!$B$18="All",AND(Screener!$B$18="With A-share",(Database!$BJ237="Y")),AND(Screener!$B$18="Without A-share",NOT((Database!$BJ237="Y")))),1,0)=0,-999999,IF(Screener!$B$16="cornerstone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Database!BD227</f>
        <v/>
      </c>
      <c r="AF237">
        <f>Database!BJ227</f>
        <v/>
      </c>
      <c r="AG237">
        <f>Database!H227</f>
        <v/>
      </c>
      <c r="AH237">
        <f>Database!BE227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IF(OR(Database!$BD238="",Screener!$D$10=""),0,IF(Database!$BD238=Screener!$D$10,1,0))</f>
        <v/>
      </c>
      <c r="F238">
        <f>IF(OR(Database!$BJ238="",Screener!$D$11=""),0,IF(Database!$BJ238=Screener!$D$11,1,0))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IF(OR(N(Database!$BE238)&lt;=0,N(Screener!$D$13)&lt;=0),0,MAX(0,1-ABS(LOG10(N(Database!$BE238)/Screener!$D$13))/W_PEHW))</f>
        <v/>
      </c>
      <c r="J238">
        <f>IF(OR(N(Database!$S238)&lt;=0,N(Screener!$D$14)&lt;=0),0,MAX(0,1-ABS(LOG10(Database!$S238/Screener!$D$14))/0.6))</f>
        <v/>
      </c>
      <c r="K238">
        <f>IF(Database!$B238=Screener!$B$5,-999999,IF(ISNUMBER(SEARCH(","&amp;Database!$A238&amp;",",","&amp;SUBSTITUTE(Screener!$D$17," ","")&amp;",")),2000000,IF(IF(OR(Screener!$B$18="All",AND(Screener!$B$18="With A-share",(Database!$BJ238="Y")),AND(Screener!$B$18="Without A-share",NOT((Database!$BJ238="Y")))),1,0)=0,-999999,IF(Screener!$B$16="cornerstone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Database!BD228</f>
        <v/>
      </c>
      <c r="AF238">
        <f>Database!BJ228</f>
        <v/>
      </c>
      <c r="AG238">
        <f>Database!H228</f>
        <v/>
      </c>
      <c r="AH238">
        <f>Database!BE228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IF(OR(Database!$BD239="",Screener!$D$10=""),0,IF(Database!$BD239=Screener!$D$10,1,0))</f>
        <v/>
      </c>
      <c r="F239">
        <f>IF(OR(Database!$BJ239="",Screener!$D$11=""),0,IF(Database!$BJ239=Screener!$D$11,1,0))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IF(OR(N(Database!$BE239)&lt;=0,N(Screener!$D$13)&lt;=0),0,MAX(0,1-ABS(LOG10(N(Database!$BE239)/Screener!$D$13))/W_PEHW))</f>
        <v/>
      </c>
      <c r="J239">
        <f>IF(OR(N(Database!$S239)&lt;=0,N(Screener!$D$14)&lt;=0),0,MAX(0,1-ABS(LOG10(Database!$S239/Screener!$D$14))/0.6))</f>
        <v/>
      </c>
      <c r="K239">
        <f>IF(Database!$B239=Screener!$B$5,-999999,IF(ISNUMBER(SEARCH(","&amp;Database!$A239&amp;",",","&amp;SUBSTITUTE(Screener!$D$17," ","")&amp;",")),2000000,IF(IF(OR(Screener!$B$18="All",AND(Screener!$B$18="With A-share",(Database!$BJ239="Y")),AND(Screener!$B$18="Without A-share",NOT((Database!$BJ239="Y")))),1,0)=0,-999999,IF(Screener!$B$16="cornerstone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Database!BD229</f>
        <v/>
      </c>
      <c r="AF239">
        <f>Database!BJ229</f>
        <v/>
      </c>
      <c r="AG239">
        <f>Database!H229</f>
        <v/>
      </c>
      <c r="AH239">
        <f>Database!BE229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IF(OR(Database!$BD240="",Screener!$D$10=""),0,IF(Database!$BD240=Screener!$D$10,1,0))</f>
        <v/>
      </c>
      <c r="F240">
        <f>IF(OR(Database!$BJ240="",Screener!$D$11=""),0,IF(Database!$BJ240=Screener!$D$11,1,0))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IF(OR(N(Database!$BE240)&lt;=0,N(Screener!$D$13)&lt;=0),0,MAX(0,1-ABS(LOG10(N(Database!$BE240)/Screener!$D$13))/W_PEHW))</f>
        <v/>
      </c>
      <c r="J240">
        <f>IF(OR(N(Database!$S240)&lt;=0,N(Screener!$D$14)&lt;=0),0,MAX(0,1-ABS(LOG10(Database!$S240/Screener!$D$14))/0.6))</f>
        <v/>
      </c>
      <c r="K240">
        <f>IF(Database!$B240=Screener!$B$5,-999999,IF(ISNUMBER(SEARCH(","&amp;Database!$A240&amp;",",","&amp;SUBSTITUTE(Screener!$D$17," ","")&amp;",")),2000000,IF(IF(OR(Screener!$B$18="All",AND(Screener!$B$18="With A-share",(Database!$BJ240="Y")),AND(Screener!$B$18="Without A-share",NOT((Database!$BJ240="Y")))),1,0)=0,-999999,IF(Screener!$B$16="cornerstone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Database!BD230</f>
        <v/>
      </c>
      <c r="AF240">
        <f>Database!BJ230</f>
        <v/>
      </c>
      <c r="AG240">
        <f>Database!H230</f>
        <v/>
      </c>
      <c r="AH240">
        <f>Database!BE230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IF(OR(Database!$BD241="",Screener!$D$10=""),0,IF(Database!$BD241=Screener!$D$10,1,0))</f>
        <v/>
      </c>
      <c r="F241">
        <f>IF(OR(Database!$BJ241="",Screener!$D$11=""),0,IF(Database!$BJ241=Screener!$D$11,1,0))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IF(OR(N(Database!$BE241)&lt;=0,N(Screener!$D$13)&lt;=0),0,MAX(0,1-ABS(LOG10(N(Database!$BE241)/Screener!$D$13))/W_PEHW))</f>
        <v/>
      </c>
      <c r="J241">
        <f>IF(OR(N(Database!$S241)&lt;=0,N(Screener!$D$14)&lt;=0),0,MAX(0,1-ABS(LOG10(Database!$S241/Screener!$D$14))/0.6))</f>
        <v/>
      </c>
      <c r="K241">
        <f>IF(Database!$B241=Screener!$B$5,-999999,IF(ISNUMBER(SEARCH(","&amp;Database!$A241&amp;",",","&amp;SUBSTITUTE(Screener!$D$17," ","")&amp;",")),2000000,IF(IF(OR(Screener!$B$18="All",AND(Screener!$B$18="With A-share",(Database!$BJ241="Y")),AND(Screener!$B$18="Without A-share",NOT((Database!$BJ241="Y")))),1,0)=0,-999999,IF(Screener!$B$16="cornerstone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Database!BD231</f>
        <v/>
      </c>
      <c r="AF241">
        <f>Database!BJ231</f>
        <v/>
      </c>
      <c r="AG241">
        <f>Database!H231</f>
        <v/>
      </c>
      <c r="AH241">
        <f>Database!BE231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IF(OR(Database!$BD242="",Screener!$D$10=""),0,IF(Database!$BD242=Screener!$D$10,1,0))</f>
        <v/>
      </c>
      <c r="F242">
        <f>IF(OR(Database!$BJ242="",Screener!$D$11=""),0,IF(Database!$BJ242=Screener!$D$11,1,0))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IF(OR(N(Database!$BE242)&lt;=0,N(Screener!$D$13)&lt;=0),0,MAX(0,1-ABS(LOG10(N(Database!$BE242)/Screener!$D$13))/W_PEHW))</f>
        <v/>
      </c>
      <c r="J242">
        <f>IF(OR(N(Database!$S242)&lt;=0,N(Screener!$D$14)&lt;=0),0,MAX(0,1-ABS(LOG10(Database!$S242/Screener!$D$14))/0.6))</f>
        <v/>
      </c>
      <c r="K242">
        <f>IF(Database!$B242=Screener!$B$5,-999999,IF(ISNUMBER(SEARCH(","&amp;Database!$A242&amp;",",","&amp;SUBSTITUTE(Screener!$D$17," ","")&amp;",")),2000000,IF(IF(OR(Screener!$B$18="All",AND(Screener!$B$18="With A-share",(Database!$BJ242="Y")),AND(Screener!$B$18="Without A-share",NOT((Database!$BJ242="Y")))),1,0)=0,-999999,IF(Screener!$B$16="cornerstone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Database!BD232</f>
        <v/>
      </c>
      <c r="AF242">
        <f>Database!BJ232</f>
        <v/>
      </c>
      <c r="AG242">
        <f>Database!H232</f>
        <v/>
      </c>
      <c r="AH242">
        <f>Database!BE232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IF(OR(Database!$BD243="",Screener!$D$10=""),0,IF(Database!$BD243=Screener!$D$10,1,0))</f>
        <v/>
      </c>
      <c r="F243">
        <f>IF(OR(Database!$BJ243="",Screener!$D$11=""),0,IF(Database!$BJ243=Screener!$D$11,1,0))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IF(OR(N(Database!$BE243)&lt;=0,N(Screener!$D$13)&lt;=0),0,MAX(0,1-ABS(LOG10(N(Database!$BE243)/Screener!$D$13))/W_PEHW))</f>
        <v/>
      </c>
      <c r="J243">
        <f>IF(OR(N(Database!$S243)&lt;=0,N(Screener!$D$14)&lt;=0),0,MAX(0,1-ABS(LOG10(Database!$S243/Screener!$D$14))/0.6))</f>
        <v/>
      </c>
      <c r="K243">
        <f>IF(Database!$B243=Screener!$B$5,-999999,IF(ISNUMBER(SEARCH(","&amp;Database!$A243&amp;",",","&amp;SUBSTITUTE(Screener!$D$17," ","")&amp;",")),2000000,IF(IF(OR(Screener!$B$18="All",AND(Screener!$B$18="With A-share",(Database!$BJ243="Y")),AND(Screener!$B$18="Without A-share",NOT((Database!$BJ243="Y")))),1,0)=0,-999999,IF(Screener!$B$16="cornerstone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Database!BD233</f>
        <v/>
      </c>
      <c r="AF243">
        <f>Database!BJ233</f>
        <v/>
      </c>
      <c r="AG243">
        <f>Database!H233</f>
        <v/>
      </c>
      <c r="AH243">
        <f>Database!BE233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IF(OR(Database!$BD244="",Screener!$D$10=""),0,IF(Database!$BD244=Screener!$D$10,1,0))</f>
        <v/>
      </c>
      <c r="F244">
        <f>IF(OR(Database!$BJ244="",Screener!$D$11=""),0,IF(Database!$BJ244=Screener!$D$11,1,0))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IF(OR(N(Database!$BE244)&lt;=0,N(Screener!$D$13)&lt;=0),0,MAX(0,1-ABS(LOG10(N(Database!$BE244)/Screener!$D$13))/W_PEHW))</f>
        <v/>
      </c>
      <c r="J244">
        <f>IF(OR(N(Database!$S244)&lt;=0,N(Screener!$D$14)&lt;=0),0,MAX(0,1-ABS(LOG10(Database!$S244/Screener!$D$14))/0.6))</f>
        <v/>
      </c>
      <c r="K244">
        <f>IF(Database!$B244=Screener!$B$5,-999999,IF(ISNUMBER(SEARCH(","&amp;Database!$A244&amp;",",","&amp;SUBSTITUTE(Screener!$D$17," ","")&amp;",")),2000000,IF(IF(OR(Screener!$B$18="All",AND(Screener!$B$18="With A-share",(Database!$BJ244="Y")),AND(Screener!$B$18="Without A-share",NOT((Database!$BJ244="Y")))),1,0)=0,-999999,IF(Screener!$B$16="cornerstone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Database!BD234</f>
        <v/>
      </c>
      <c r="AF244">
        <f>Database!BJ234</f>
        <v/>
      </c>
      <c r="AG244">
        <f>Database!H234</f>
        <v/>
      </c>
      <c r="AH244">
        <f>Database!BE234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IF(OR(Database!$BD245="",Screener!$D$10=""),0,IF(Database!$BD245=Screener!$D$10,1,0))</f>
        <v/>
      </c>
      <c r="F245">
        <f>IF(OR(Database!$BJ245="",Screener!$D$11=""),0,IF(Database!$BJ245=Screener!$D$11,1,0))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IF(OR(N(Database!$BE245)&lt;=0,N(Screener!$D$13)&lt;=0),0,MAX(0,1-ABS(LOG10(N(Database!$BE245)/Screener!$D$13))/W_PEHW))</f>
        <v/>
      </c>
      <c r="J245">
        <f>IF(OR(N(Database!$S245)&lt;=0,N(Screener!$D$14)&lt;=0),0,MAX(0,1-ABS(LOG10(Database!$S245/Screener!$D$14))/0.6))</f>
        <v/>
      </c>
      <c r="K245">
        <f>IF(Database!$B245=Screener!$B$5,-999999,IF(ISNUMBER(SEARCH(","&amp;Database!$A245&amp;",",","&amp;SUBSTITUTE(Screener!$D$17," ","")&amp;",")),2000000,IF(IF(OR(Screener!$B$18="All",AND(Screener!$B$18="With A-share",(Database!$BJ245="Y")),AND(Screener!$B$18="Without A-share",NOT((Database!$BJ245="Y")))),1,0)=0,-999999,IF(Screener!$B$16="cornerstone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Database!BD235</f>
        <v/>
      </c>
      <c r="AF245">
        <f>Database!BJ235</f>
        <v/>
      </c>
      <c r="AG245">
        <f>Database!H235</f>
        <v/>
      </c>
      <c r="AH245">
        <f>Database!BE235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IF(OR(Database!$BD246="",Screener!$D$10=""),0,IF(Database!$BD246=Screener!$D$10,1,0))</f>
        <v/>
      </c>
      <c r="F246">
        <f>IF(OR(Database!$BJ246="",Screener!$D$11=""),0,IF(Database!$BJ246=Screener!$D$11,1,0))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IF(OR(N(Database!$BE246)&lt;=0,N(Screener!$D$13)&lt;=0),0,MAX(0,1-ABS(LOG10(N(Database!$BE246)/Screener!$D$13))/W_PEHW))</f>
        <v/>
      </c>
      <c r="J246">
        <f>IF(OR(N(Database!$S246)&lt;=0,N(Screener!$D$14)&lt;=0),0,MAX(0,1-ABS(LOG10(Database!$S246/Screener!$D$14))/0.6))</f>
        <v/>
      </c>
      <c r="K246">
        <f>IF(Database!$B246=Screener!$B$5,-999999,IF(ISNUMBER(SEARCH(","&amp;Database!$A246&amp;",",","&amp;SUBSTITUTE(Screener!$D$17," ","")&amp;",")),2000000,IF(IF(OR(Screener!$B$18="All",AND(Screener!$B$18="With A-share",(Database!$BJ246="Y")),AND(Screener!$B$18="Without A-share",NOT((Database!$BJ246="Y")))),1,0)=0,-999999,IF(Screener!$B$16="cornerstone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Database!BD236</f>
        <v/>
      </c>
      <c r="AF246">
        <f>Database!BJ236</f>
        <v/>
      </c>
      <c r="AG246">
        <f>Database!H236</f>
        <v/>
      </c>
      <c r="AH246">
        <f>Database!BE236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IF(OR(Database!$BD247="",Screener!$D$10=""),0,IF(Database!$BD247=Screener!$D$10,1,0))</f>
        <v/>
      </c>
      <c r="F247">
        <f>IF(OR(Database!$BJ247="",Screener!$D$11=""),0,IF(Database!$BJ247=Screener!$D$11,1,0))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IF(OR(N(Database!$BE247)&lt;=0,N(Screener!$D$13)&lt;=0),0,MAX(0,1-ABS(LOG10(N(Database!$BE247)/Screener!$D$13))/W_PEHW))</f>
        <v/>
      </c>
      <c r="J247">
        <f>IF(OR(N(Database!$S247)&lt;=0,N(Screener!$D$14)&lt;=0),0,MAX(0,1-ABS(LOG10(Database!$S247/Screener!$D$14))/0.6))</f>
        <v/>
      </c>
      <c r="K247">
        <f>IF(Database!$B247=Screener!$B$5,-999999,IF(ISNUMBER(SEARCH(","&amp;Database!$A247&amp;",",","&amp;SUBSTITUTE(Screener!$D$17," ","")&amp;",")),2000000,IF(IF(OR(Screener!$B$18="All",AND(Screener!$B$18="With A-share",(Database!$BJ247="Y")),AND(Screener!$B$18="Without A-share",NOT((Database!$BJ247="Y")))),1,0)=0,-999999,IF(Screener!$B$16="cornerstone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Database!BD237</f>
        <v/>
      </c>
      <c r="AF247">
        <f>Database!BJ237</f>
        <v/>
      </c>
      <c r="AG247">
        <f>Database!H237</f>
        <v/>
      </c>
      <c r="AH247">
        <f>Database!BE237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IF(OR(Database!$BD248="",Screener!$D$10=""),0,IF(Database!$BD248=Screener!$D$10,1,0))</f>
        <v/>
      </c>
      <c r="F248">
        <f>IF(OR(Database!$BJ248="",Screener!$D$11=""),0,IF(Database!$BJ248=Screener!$D$11,1,0))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IF(OR(N(Database!$BE248)&lt;=0,N(Screener!$D$13)&lt;=0),0,MAX(0,1-ABS(LOG10(N(Database!$BE248)/Screener!$D$13))/W_PEHW))</f>
        <v/>
      </c>
      <c r="J248">
        <f>IF(OR(N(Database!$S248)&lt;=0,N(Screener!$D$14)&lt;=0),0,MAX(0,1-ABS(LOG10(Database!$S248/Screener!$D$14))/0.6))</f>
        <v/>
      </c>
      <c r="K248">
        <f>IF(Database!$B248=Screener!$B$5,-999999,IF(ISNUMBER(SEARCH(","&amp;Database!$A248&amp;",",","&amp;SUBSTITUTE(Screener!$D$17," ","")&amp;",")),2000000,IF(IF(OR(Screener!$B$18="All",AND(Screener!$B$18="With A-share",(Database!$BJ248="Y")),AND(Screener!$B$18="Without A-share",NOT((Database!$BJ248="Y")))),1,0)=0,-999999,IF(Screener!$B$16="cornerstone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Database!BD238</f>
        <v/>
      </c>
      <c r="AF248">
        <f>Database!BJ238</f>
        <v/>
      </c>
      <c r="AG248">
        <f>Database!H238</f>
        <v/>
      </c>
      <c r="AH248">
        <f>Database!BE238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IF(OR(Database!$BD249="",Screener!$D$10=""),0,IF(Database!$BD249=Screener!$D$10,1,0))</f>
        <v/>
      </c>
      <c r="F249">
        <f>IF(OR(Database!$BJ249="",Screener!$D$11=""),0,IF(Database!$BJ249=Screener!$D$11,1,0))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IF(OR(N(Database!$BE249)&lt;=0,N(Screener!$D$13)&lt;=0),0,MAX(0,1-ABS(LOG10(N(Database!$BE249)/Screener!$D$13))/W_PEHW))</f>
        <v/>
      </c>
      <c r="J249">
        <f>IF(OR(N(Database!$S249)&lt;=0,N(Screener!$D$14)&lt;=0),0,MAX(0,1-ABS(LOG10(Database!$S249/Screener!$D$14))/0.6))</f>
        <v/>
      </c>
      <c r="K249">
        <f>IF(Database!$B249=Screener!$B$5,-999999,IF(ISNUMBER(SEARCH(","&amp;Database!$A249&amp;",",","&amp;SUBSTITUTE(Screener!$D$17," ","")&amp;",")),2000000,IF(IF(OR(Screener!$B$18="All",AND(Screener!$B$18="With A-share",(Database!$BJ249="Y")),AND(Screener!$B$18="Without A-share",NOT((Database!$BJ249="Y")))),1,0)=0,-999999,IF(Screener!$B$16="cornerstone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Database!BD239</f>
        <v/>
      </c>
      <c r="AF249">
        <f>Database!BJ239</f>
        <v/>
      </c>
      <c r="AG249">
        <f>Database!H239</f>
        <v/>
      </c>
      <c r="AH249">
        <f>Database!BE239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IF(OR(Database!$BD250="",Screener!$D$10=""),0,IF(Database!$BD250=Screener!$D$10,1,0))</f>
        <v/>
      </c>
      <c r="F250">
        <f>IF(OR(Database!$BJ250="",Screener!$D$11=""),0,IF(Database!$BJ250=Screener!$D$11,1,0))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IF(OR(N(Database!$BE250)&lt;=0,N(Screener!$D$13)&lt;=0),0,MAX(0,1-ABS(LOG10(N(Database!$BE250)/Screener!$D$13))/W_PEHW))</f>
        <v/>
      </c>
      <c r="J250">
        <f>IF(OR(N(Database!$S250)&lt;=0,N(Screener!$D$14)&lt;=0),0,MAX(0,1-ABS(LOG10(Database!$S250/Screener!$D$14))/0.6))</f>
        <v/>
      </c>
      <c r="K250">
        <f>IF(Database!$B250=Screener!$B$5,-999999,IF(ISNUMBER(SEARCH(","&amp;Database!$A250&amp;",",","&amp;SUBSTITUTE(Screener!$D$17," ","")&amp;",")),2000000,IF(IF(OR(Screener!$B$18="All",AND(Screener!$B$18="With A-share",(Database!$BJ250="Y")),AND(Screener!$B$18="Without A-share",NOT((Database!$BJ250="Y")))),1,0)=0,-999999,IF(Screener!$B$16="cornerstone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Database!BD240</f>
        <v/>
      </c>
      <c r="AF250">
        <f>Database!BJ240</f>
        <v/>
      </c>
      <c r="AG250">
        <f>Database!H240</f>
        <v/>
      </c>
      <c r="AH250">
        <f>Database!BE240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IF(OR(Database!$BD251="",Screener!$D$10=""),0,IF(Database!$BD251=Screener!$D$10,1,0))</f>
        <v/>
      </c>
      <c r="F251">
        <f>IF(OR(Database!$BJ251="",Screener!$D$11=""),0,IF(Database!$BJ251=Screener!$D$11,1,0))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IF(OR(N(Database!$BE251)&lt;=0,N(Screener!$D$13)&lt;=0),0,MAX(0,1-ABS(LOG10(N(Database!$BE251)/Screener!$D$13))/W_PEHW))</f>
        <v/>
      </c>
      <c r="J251">
        <f>IF(OR(N(Database!$S251)&lt;=0,N(Screener!$D$14)&lt;=0),0,MAX(0,1-ABS(LOG10(Database!$S251/Screener!$D$14))/0.6))</f>
        <v/>
      </c>
      <c r="K251">
        <f>IF(Database!$B251=Screener!$B$5,-999999,IF(ISNUMBER(SEARCH(","&amp;Database!$A251&amp;",",","&amp;SUBSTITUTE(Screener!$D$17," ","")&amp;",")),2000000,IF(IF(OR(Screener!$B$18="All",AND(Screener!$B$18="With A-share",(Database!$BJ251="Y")),AND(Screener!$B$18="Without A-share",NOT((Database!$BJ251="Y")))),1,0)=0,-999999,IF(Screener!$B$16="cornerstone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Database!BD241</f>
        <v/>
      </c>
      <c r="AF251">
        <f>Database!BJ241</f>
        <v/>
      </c>
      <c r="AG251">
        <f>Database!H241</f>
        <v/>
      </c>
      <c r="AH251">
        <f>Database!BE241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IF(OR(Database!$BD252="",Screener!$D$10=""),0,IF(Database!$BD252=Screener!$D$10,1,0))</f>
        <v/>
      </c>
      <c r="F252">
        <f>IF(OR(Database!$BJ252="",Screener!$D$11=""),0,IF(Database!$BJ252=Screener!$D$11,1,0))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IF(OR(N(Database!$BE252)&lt;=0,N(Screener!$D$13)&lt;=0),0,MAX(0,1-ABS(LOG10(N(Database!$BE252)/Screener!$D$13))/W_PEHW))</f>
        <v/>
      </c>
      <c r="J252">
        <f>IF(OR(N(Database!$S252)&lt;=0,N(Screener!$D$14)&lt;=0),0,MAX(0,1-ABS(LOG10(Database!$S252/Screener!$D$14))/0.6))</f>
        <v/>
      </c>
      <c r="K252">
        <f>IF(Database!$B252=Screener!$B$5,-999999,IF(ISNUMBER(SEARCH(","&amp;Database!$A252&amp;",",","&amp;SUBSTITUTE(Screener!$D$17," ","")&amp;",")),2000000,IF(IF(OR(Screener!$B$18="All",AND(Screener!$B$18="With A-share",(Database!$BJ252="Y")),AND(Screener!$B$18="Without A-share",NOT((Database!$BJ252="Y")))),1,0)=0,-999999,IF(Screener!$B$16="cornerstone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Database!BD242</f>
        <v/>
      </c>
      <c r="AF252">
        <f>Database!BJ242</f>
        <v/>
      </c>
      <c r="AG252">
        <f>Database!H242</f>
        <v/>
      </c>
      <c r="AH252">
        <f>Database!BE242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IF(OR(Database!$BD253="",Screener!$D$10=""),0,IF(Database!$BD253=Screener!$D$10,1,0))</f>
        <v/>
      </c>
      <c r="F253">
        <f>IF(OR(Database!$BJ253="",Screener!$D$11=""),0,IF(Database!$BJ253=Screener!$D$11,1,0))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IF(OR(N(Database!$BE253)&lt;=0,N(Screener!$D$13)&lt;=0),0,MAX(0,1-ABS(LOG10(N(Database!$BE253)/Screener!$D$13))/W_PEHW))</f>
        <v/>
      </c>
      <c r="J253">
        <f>IF(OR(N(Database!$S253)&lt;=0,N(Screener!$D$14)&lt;=0),0,MAX(0,1-ABS(LOG10(Database!$S253/Screener!$D$14))/0.6))</f>
        <v/>
      </c>
      <c r="K253">
        <f>IF(Database!$B253=Screener!$B$5,-999999,IF(ISNUMBER(SEARCH(","&amp;Database!$A253&amp;",",","&amp;SUBSTITUTE(Screener!$D$17," ","")&amp;",")),2000000,IF(IF(OR(Screener!$B$18="All",AND(Screener!$B$18="With A-share",(Database!$BJ253="Y")),AND(Screener!$B$18="Without A-share",NOT((Database!$BJ253="Y")))),1,0)=0,-999999,IF(Screener!$B$16="cornerstone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Database!BD243</f>
        <v/>
      </c>
      <c r="AF253">
        <f>Database!BJ243</f>
        <v/>
      </c>
      <c r="AG253">
        <f>Database!H243</f>
        <v/>
      </c>
      <c r="AH253">
        <f>Database!BE243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IF(OR(Database!$BD254="",Screener!$D$10=""),0,IF(Database!$BD254=Screener!$D$10,1,0))</f>
        <v/>
      </c>
      <c r="F254">
        <f>IF(OR(Database!$BJ254="",Screener!$D$11=""),0,IF(Database!$BJ254=Screener!$D$11,1,0))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IF(OR(N(Database!$BE254)&lt;=0,N(Screener!$D$13)&lt;=0),0,MAX(0,1-ABS(LOG10(N(Database!$BE254)/Screener!$D$13))/W_PEHW))</f>
        <v/>
      </c>
      <c r="J254">
        <f>IF(OR(N(Database!$S254)&lt;=0,N(Screener!$D$14)&lt;=0),0,MAX(0,1-ABS(LOG10(Database!$S254/Screener!$D$14))/0.6))</f>
        <v/>
      </c>
      <c r="K254">
        <f>IF(Database!$B254=Screener!$B$5,-999999,IF(ISNUMBER(SEARCH(","&amp;Database!$A254&amp;",",","&amp;SUBSTITUTE(Screener!$D$17," ","")&amp;",")),2000000,IF(IF(OR(Screener!$B$18="All",AND(Screener!$B$18="With A-share",(Database!$BJ254="Y")),AND(Screener!$B$18="Without A-share",NOT((Database!$BJ254="Y")))),1,0)=0,-999999,IF(Screener!$B$16="cornerstone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Database!BD244</f>
        <v/>
      </c>
      <c r="AF254">
        <f>Database!BJ244</f>
        <v/>
      </c>
      <c r="AG254">
        <f>Database!H244</f>
        <v/>
      </c>
      <c r="AH254">
        <f>Database!BE244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IF(OR(Database!$BD255="",Screener!$D$10=""),0,IF(Database!$BD255=Screener!$D$10,1,0))</f>
        <v/>
      </c>
      <c r="F255">
        <f>IF(OR(Database!$BJ255="",Screener!$D$11=""),0,IF(Database!$BJ255=Screener!$D$11,1,0))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IF(OR(N(Database!$BE255)&lt;=0,N(Screener!$D$13)&lt;=0),0,MAX(0,1-ABS(LOG10(N(Database!$BE255)/Screener!$D$13))/W_PEHW))</f>
        <v/>
      </c>
      <c r="J255">
        <f>IF(OR(N(Database!$S255)&lt;=0,N(Screener!$D$14)&lt;=0),0,MAX(0,1-ABS(LOG10(Database!$S255/Screener!$D$14))/0.6))</f>
        <v/>
      </c>
      <c r="K255">
        <f>IF(Database!$B255=Screener!$B$5,-999999,IF(ISNUMBER(SEARCH(","&amp;Database!$A255&amp;",",","&amp;SUBSTITUTE(Screener!$D$17," ","")&amp;",")),2000000,IF(IF(OR(Screener!$B$18="All",AND(Screener!$B$18="With A-share",(Database!$BJ255="Y")),AND(Screener!$B$18="Without A-share",NOT((Database!$BJ255="Y")))),1,0)=0,-999999,IF(Screener!$B$16="cornerstone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Database!BD245</f>
        <v/>
      </c>
      <c r="AF255">
        <f>Database!BJ245</f>
        <v/>
      </c>
      <c r="AG255">
        <f>Database!H245</f>
        <v/>
      </c>
      <c r="AH255">
        <f>Database!BE245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IF(OR(Database!$BD256="",Screener!$D$10=""),0,IF(Database!$BD256=Screener!$D$10,1,0))</f>
        <v/>
      </c>
      <c r="F256">
        <f>IF(OR(Database!$BJ256="",Screener!$D$11=""),0,IF(Database!$BJ256=Screener!$D$11,1,0))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IF(OR(N(Database!$BE256)&lt;=0,N(Screener!$D$13)&lt;=0),0,MAX(0,1-ABS(LOG10(N(Database!$BE256)/Screener!$D$13))/W_PEHW))</f>
        <v/>
      </c>
      <c r="J256">
        <f>IF(OR(N(Database!$S256)&lt;=0,N(Screener!$D$14)&lt;=0),0,MAX(0,1-ABS(LOG10(Database!$S256/Screener!$D$14))/0.6))</f>
        <v/>
      </c>
      <c r="K256">
        <f>IF(Database!$B256=Screener!$B$5,-999999,IF(ISNUMBER(SEARCH(","&amp;Database!$A256&amp;",",","&amp;SUBSTITUTE(Screener!$D$17," ","")&amp;",")),2000000,IF(IF(OR(Screener!$B$18="All",AND(Screener!$B$18="With A-share",(Database!$BJ256="Y")),AND(Screener!$B$18="Without A-share",NOT((Database!$BJ256="Y")))),1,0)=0,-999999,IF(Screener!$B$16="cornerstone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Database!BD246</f>
        <v/>
      </c>
      <c r="AF256">
        <f>Database!BJ246</f>
        <v/>
      </c>
      <c r="AG256">
        <f>Database!H246</f>
        <v/>
      </c>
      <c r="AH256">
        <f>Database!BE246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IF(OR(Database!$BD257="",Screener!$D$10=""),0,IF(Database!$BD257=Screener!$D$10,1,0))</f>
        <v/>
      </c>
      <c r="F257">
        <f>IF(OR(Database!$BJ257="",Screener!$D$11=""),0,IF(Database!$BJ257=Screener!$D$11,1,0))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IF(OR(N(Database!$BE257)&lt;=0,N(Screener!$D$13)&lt;=0),0,MAX(0,1-ABS(LOG10(N(Database!$BE257)/Screener!$D$13))/W_PEHW))</f>
        <v/>
      </c>
      <c r="J257">
        <f>IF(OR(N(Database!$S257)&lt;=0,N(Screener!$D$14)&lt;=0),0,MAX(0,1-ABS(LOG10(Database!$S257/Screener!$D$14))/0.6))</f>
        <v/>
      </c>
      <c r="K257">
        <f>IF(Database!$B257=Screener!$B$5,-999999,IF(ISNUMBER(SEARCH(","&amp;Database!$A257&amp;",",","&amp;SUBSTITUTE(Screener!$D$17," ","")&amp;",")),2000000,IF(IF(OR(Screener!$B$18="All",AND(Screener!$B$18="With A-share",(Database!$BJ257="Y")),AND(Screener!$B$18="Without A-share",NOT((Database!$BJ257="Y")))),1,0)=0,-999999,IF(Screener!$B$16="cornerstone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Database!BD247</f>
        <v/>
      </c>
      <c r="AF257">
        <f>Database!BJ247</f>
        <v/>
      </c>
      <c r="AG257">
        <f>Database!H247</f>
        <v/>
      </c>
      <c r="AH257">
        <f>Database!BE247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IF(OR(Database!$BD258="",Screener!$D$10=""),0,IF(Database!$BD258=Screener!$D$10,1,0))</f>
        <v/>
      </c>
      <c r="F258">
        <f>IF(OR(Database!$BJ258="",Screener!$D$11=""),0,IF(Database!$BJ258=Screener!$D$11,1,0))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IF(OR(N(Database!$BE258)&lt;=0,N(Screener!$D$13)&lt;=0),0,MAX(0,1-ABS(LOG10(N(Database!$BE258)/Screener!$D$13))/W_PEHW))</f>
        <v/>
      </c>
      <c r="J258">
        <f>IF(OR(N(Database!$S258)&lt;=0,N(Screener!$D$14)&lt;=0),0,MAX(0,1-ABS(LOG10(Database!$S258/Screener!$D$14))/0.6))</f>
        <v/>
      </c>
      <c r="K258">
        <f>IF(Database!$B258=Screener!$B$5,-999999,IF(ISNUMBER(SEARCH(","&amp;Database!$A258&amp;",",","&amp;SUBSTITUTE(Screener!$D$17," ","")&amp;",")),2000000,IF(IF(OR(Screener!$B$18="All",AND(Screener!$B$18="With A-share",(Database!$BJ258="Y")),AND(Screener!$B$18="Without A-share",NOT((Database!$BJ258="Y")))),1,0)=0,-999999,IF(Screener!$B$16="cornerstone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Database!BD248</f>
        <v/>
      </c>
      <c r="AF258">
        <f>Database!BJ248</f>
        <v/>
      </c>
      <c r="AG258">
        <f>Database!H248</f>
        <v/>
      </c>
      <c r="AH258">
        <f>Database!BE248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IF(OR(Database!$BD259="",Screener!$D$10=""),0,IF(Database!$BD259=Screener!$D$10,1,0))</f>
        <v/>
      </c>
      <c r="F259">
        <f>IF(OR(Database!$BJ259="",Screener!$D$11=""),0,IF(Database!$BJ259=Screener!$D$11,1,0))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IF(OR(N(Database!$BE259)&lt;=0,N(Screener!$D$13)&lt;=0),0,MAX(0,1-ABS(LOG10(N(Database!$BE259)/Screener!$D$13))/W_PEHW))</f>
        <v/>
      </c>
      <c r="J259">
        <f>IF(OR(N(Database!$S259)&lt;=0,N(Screener!$D$14)&lt;=0),0,MAX(0,1-ABS(LOG10(Database!$S259/Screener!$D$14))/0.6))</f>
        <v/>
      </c>
      <c r="K259">
        <f>IF(Database!$B259=Screener!$B$5,-999999,IF(ISNUMBER(SEARCH(","&amp;Database!$A259&amp;",",","&amp;SUBSTITUTE(Screener!$D$17," ","")&amp;",")),2000000,IF(IF(OR(Screener!$B$18="All",AND(Screener!$B$18="With A-share",(Database!$BJ259="Y")),AND(Screener!$B$18="Without A-share",NOT((Database!$BJ259="Y")))),1,0)=0,-999999,IF(Screener!$B$16="cornerstone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Database!BD249</f>
        <v/>
      </c>
      <c r="AF259">
        <f>Database!BJ249</f>
        <v/>
      </c>
      <c r="AG259">
        <f>Database!H249</f>
        <v/>
      </c>
      <c r="AH259">
        <f>Database!BE249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IF(OR(Database!$BD260="",Screener!$D$10=""),0,IF(Database!$BD260=Screener!$D$10,1,0))</f>
        <v/>
      </c>
      <c r="F260">
        <f>IF(OR(Database!$BJ260="",Screener!$D$11=""),0,IF(Database!$BJ260=Screener!$D$11,1,0))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IF(OR(N(Database!$BE260)&lt;=0,N(Screener!$D$13)&lt;=0),0,MAX(0,1-ABS(LOG10(N(Database!$BE260)/Screener!$D$13))/W_PEHW))</f>
        <v/>
      </c>
      <c r="J260">
        <f>IF(OR(N(Database!$S260)&lt;=0,N(Screener!$D$14)&lt;=0),0,MAX(0,1-ABS(LOG10(Database!$S260/Screener!$D$14))/0.6))</f>
        <v/>
      </c>
      <c r="K260">
        <f>IF(Database!$B260=Screener!$B$5,-999999,IF(ISNUMBER(SEARCH(","&amp;Database!$A260&amp;",",","&amp;SUBSTITUTE(Screener!$D$17," ","")&amp;",")),2000000,IF(IF(OR(Screener!$B$18="All",AND(Screener!$B$18="With A-share",(Database!$BJ260="Y")),AND(Screener!$B$18="Without A-share",NOT((Database!$BJ260="Y")))),1,0)=0,-999999,IF(Screener!$B$16="cornerstone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Database!BD250</f>
        <v/>
      </c>
      <c r="AF260">
        <f>Database!BJ250</f>
        <v/>
      </c>
      <c r="AG260">
        <f>Database!H250</f>
        <v/>
      </c>
      <c r="AH260">
        <f>Database!BE250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IF(OR(Database!$BD261="",Screener!$D$10=""),0,IF(Database!$BD261=Screener!$D$10,1,0))</f>
        <v/>
      </c>
      <c r="F261">
        <f>IF(OR(Database!$BJ261="",Screener!$D$11=""),0,IF(Database!$BJ261=Screener!$D$11,1,0))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IF(OR(N(Database!$BE261)&lt;=0,N(Screener!$D$13)&lt;=0),0,MAX(0,1-ABS(LOG10(N(Database!$BE261)/Screener!$D$13))/W_PEHW))</f>
        <v/>
      </c>
      <c r="J261">
        <f>IF(OR(N(Database!$S261)&lt;=0,N(Screener!$D$14)&lt;=0),0,MAX(0,1-ABS(LOG10(Database!$S261/Screener!$D$14))/0.6))</f>
        <v/>
      </c>
      <c r="K261">
        <f>IF(Database!$B261=Screener!$B$5,-999999,IF(ISNUMBER(SEARCH(","&amp;Database!$A261&amp;",",","&amp;SUBSTITUTE(Screener!$D$17," ","")&amp;",")),2000000,IF(IF(OR(Screener!$B$18="All",AND(Screener!$B$18="With A-share",(Database!$BJ261="Y")),AND(Screener!$B$18="Without A-share",NOT((Database!$BJ261="Y")))),1,0)=0,-999999,IF(Screener!$B$16="cornerstone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Database!BD251</f>
        <v/>
      </c>
      <c r="AF261">
        <f>Database!BJ251</f>
        <v/>
      </c>
      <c r="AG261">
        <f>Database!H251</f>
        <v/>
      </c>
      <c r="AH261">
        <f>Database!BE251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IF(OR(Database!$BD262="",Screener!$D$10=""),0,IF(Database!$BD262=Screener!$D$10,1,0))</f>
        <v/>
      </c>
      <c r="F262">
        <f>IF(OR(Database!$BJ262="",Screener!$D$11=""),0,IF(Database!$BJ262=Screener!$D$11,1,0))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IF(OR(N(Database!$BE262)&lt;=0,N(Screener!$D$13)&lt;=0),0,MAX(0,1-ABS(LOG10(N(Database!$BE262)/Screener!$D$13))/W_PEHW))</f>
        <v/>
      </c>
      <c r="J262">
        <f>IF(OR(N(Database!$S262)&lt;=0,N(Screener!$D$14)&lt;=0),0,MAX(0,1-ABS(LOG10(Database!$S262/Screener!$D$14))/0.6))</f>
        <v/>
      </c>
      <c r="K262">
        <f>IF(Database!$B262=Screener!$B$5,-999999,IF(ISNUMBER(SEARCH(","&amp;Database!$A262&amp;",",","&amp;SUBSTITUTE(Screener!$D$17," ","")&amp;",")),2000000,IF(IF(OR(Screener!$B$18="All",AND(Screener!$B$18="With A-share",(Database!$BJ262="Y")),AND(Screener!$B$18="Without A-share",NOT((Database!$BJ262="Y")))),1,0)=0,-999999,IF(Screener!$B$16="cornerstone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Database!BD252</f>
        <v/>
      </c>
      <c r="AF262">
        <f>Database!BJ252</f>
        <v/>
      </c>
      <c r="AG262">
        <f>Database!H252</f>
        <v/>
      </c>
      <c r="AH262">
        <f>Database!BE252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IF(OR(Database!$BD263="",Screener!$D$10=""),0,IF(Database!$BD263=Screener!$D$10,1,0))</f>
        <v/>
      </c>
      <c r="F263">
        <f>IF(OR(Database!$BJ263="",Screener!$D$11=""),0,IF(Database!$BJ263=Screener!$D$11,1,0))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IF(OR(N(Database!$BE263)&lt;=0,N(Screener!$D$13)&lt;=0),0,MAX(0,1-ABS(LOG10(N(Database!$BE263)/Screener!$D$13))/W_PEHW))</f>
        <v/>
      </c>
      <c r="J263">
        <f>IF(OR(N(Database!$S263)&lt;=0,N(Screener!$D$14)&lt;=0),0,MAX(0,1-ABS(LOG10(Database!$S263/Screener!$D$14))/0.6))</f>
        <v/>
      </c>
      <c r="K263">
        <f>IF(Database!$B263=Screener!$B$5,-999999,IF(ISNUMBER(SEARCH(","&amp;Database!$A263&amp;",",","&amp;SUBSTITUTE(Screener!$D$17," ","")&amp;",")),2000000,IF(IF(OR(Screener!$B$18="All",AND(Screener!$B$18="With A-share",(Database!$BJ263="Y")),AND(Screener!$B$18="Without A-share",NOT((Database!$BJ263="Y")))),1,0)=0,-999999,IF(Screener!$B$16="cornerstone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Database!BD253</f>
        <v/>
      </c>
      <c r="AF263">
        <f>Database!BJ253</f>
        <v/>
      </c>
      <c r="AG263">
        <f>Database!H253</f>
        <v/>
      </c>
      <c r="AH263">
        <f>Database!BE253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IF(OR(Database!$BD264="",Screener!$D$10=""),0,IF(Database!$BD264=Screener!$D$10,1,0))</f>
        <v/>
      </c>
      <c r="F264">
        <f>IF(OR(Database!$BJ264="",Screener!$D$11=""),0,IF(Database!$BJ264=Screener!$D$11,1,0))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IF(OR(N(Database!$BE264)&lt;=0,N(Screener!$D$13)&lt;=0),0,MAX(0,1-ABS(LOG10(N(Database!$BE264)/Screener!$D$13))/W_PEHW))</f>
        <v/>
      </c>
      <c r="J264">
        <f>IF(OR(N(Database!$S264)&lt;=0,N(Screener!$D$14)&lt;=0),0,MAX(0,1-ABS(LOG10(Database!$S264/Screener!$D$14))/0.6))</f>
        <v/>
      </c>
      <c r="K264">
        <f>IF(Database!$B264=Screener!$B$5,-999999,IF(ISNUMBER(SEARCH(","&amp;Database!$A264&amp;",",","&amp;SUBSTITUTE(Screener!$D$17," ","")&amp;",")),2000000,IF(IF(OR(Screener!$B$18="All",AND(Screener!$B$18="With A-share",(Database!$BJ264="Y")),AND(Screener!$B$18="Without A-share",NOT((Database!$BJ264="Y")))),1,0)=0,-999999,IF(Screener!$B$16="cornerstone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Database!BD254</f>
        <v/>
      </c>
      <c r="AF264">
        <f>Database!BJ254</f>
        <v/>
      </c>
      <c r="AG264">
        <f>Database!H254</f>
        <v/>
      </c>
      <c r="AH264">
        <f>Database!BE254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IF(OR(Database!$BD265="",Screener!$D$10=""),0,IF(Database!$BD265=Screener!$D$10,1,0))</f>
        <v/>
      </c>
      <c r="F265">
        <f>IF(OR(Database!$BJ265="",Screener!$D$11=""),0,IF(Database!$BJ265=Screener!$D$11,1,0))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IF(OR(N(Database!$BE265)&lt;=0,N(Screener!$D$13)&lt;=0),0,MAX(0,1-ABS(LOG10(N(Database!$BE265)/Screener!$D$13))/W_PEHW))</f>
        <v/>
      </c>
      <c r="J265">
        <f>IF(OR(N(Database!$S265)&lt;=0,N(Screener!$D$14)&lt;=0),0,MAX(0,1-ABS(LOG10(Database!$S265/Screener!$D$14))/0.6))</f>
        <v/>
      </c>
      <c r="K265">
        <f>IF(Database!$B265=Screener!$B$5,-999999,IF(ISNUMBER(SEARCH(","&amp;Database!$A265&amp;",",","&amp;SUBSTITUTE(Screener!$D$17," ","")&amp;",")),2000000,IF(IF(OR(Screener!$B$18="All",AND(Screener!$B$18="With A-share",(Database!$BJ265="Y")),AND(Screener!$B$18="Without A-share",NOT((Database!$BJ265="Y")))),1,0)=0,-999999,IF(Screener!$B$16="cornerstone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Database!BD255</f>
        <v/>
      </c>
      <c r="AF265">
        <f>Database!BJ255</f>
        <v/>
      </c>
      <c r="AG265">
        <f>Database!H255</f>
        <v/>
      </c>
      <c r="AH265">
        <f>Database!BE255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IF(OR(Database!$BD266="",Screener!$D$10=""),0,IF(Database!$BD266=Screener!$D$10,1,0))</f>
        <v/>
      </c>
      <c r="F266">
        <f>IF(OR(Database!$BJ266="",Screener!$D$11=""),0,IF(Database!$BJ266=Screener!$D$11,1,0))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IF(OR(N(Database!$BE266)&lt;=0,N(Screener!$D$13)&lt;=0),0,MAX(0,1-ABS(LOG10(N(Database!$BE266)/Screener!$D$13))/W_PEHW))</f>
        <v/>
      </c>
      <c r="J266">
        <f>IF(OR(N(Database!$S266)&lt;=0,N(Screener!$D$14)&lt;=0),0,MAX(0,1-ABS(LOG10(Database!$S266/Screener!$D$14))/0.6))</f>
        <v/>
      </c>
      <c r="K266">
        <f>IF(Database!$B266=Screener!$B$5,-999999,IF(ISNUMBER(SEARCH(","&amp;Database!$A266&amp;",",","&amp;SUBSTITUTE(Screener!$D$17," ","")&amp;",")),2000000,IF(IF(OR(Screener!$B$18="All",AND(Screener!$B$18="With A-share",(Database!$BJ266="Y")),AND(Screener!$B$18="Without A-share",NOT((Database!$BJ266="Y")))),1,0)=0,-999999,IF(Screener!$B$16="cornerstone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Database!BD256</f>
        <v/>
      </c>
      <c r="AF266">
        <f>Database!BJ256</f>
        <v/>
      </c>
      <c r="AG266">
        <f>Database!H256</f>
        <v/>
      </c>
      <c r="AH266">
        <f>Database!BE256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IF(OR(Database!$BD267="",Screener!$D$10=""),0,IF(Database!$BD267=Screener!$D$10,1,0))</f>
        <v/>
      </c>
      <c r="F267">
        <f>IF(OR(Database!$BJ267="",Screener!$D$11=""),0,IF(Database!$BJ267=Screener!$D$11,1,0))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IF(OR(N(Database!$BE267)&lt;=0,N(Screener!$D$13)&lt;=0),0,MAX(0,1-ABS(LOG10(N(Database!$BE267)/Screener!$D$13))/W_PEHW))</f>
        <v/>
      </c>
      <c r="J267">
        <f>IF(OR(N(Database!$S267)&lt;=0,N(Screener!$D$14)&lt;=0),0,MAX(0,1-ABS(LOG10(Database!$S267/Screener!$D$14))/0.6))</f>
        <v/>
      </c>
      <c r="K267">
        <f>IF(Database!$B267=Screener!$B$5,-999999,IF(ISNUMBER(SEARCH(","&amp;Database!$A267&amp;",",","&amp;SUBSTITUTE(Screener!$D$17," ","")&amp;",")),2000000,IF(IF(OR(Screener!$B$18="All",AND(Screener!$B$18="With A-share",(Database!$BJ267="Y")),AND(Screener!$B$18="Without A-share",NOT((Database!$BJ267="Y")))),1,0)=0,-999999,IF(Screener!$B$16="cornerstone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Database!BD257</f>
        <v/>
      </c>
      <c r="AF267">
        <f>Database!BJ257</f>
        <v/>
      </c>
      <c r="AG267">
        <f>Database!H257</f>
        <v/>
      </c>
      <c r="AH267">
        <f>Database!BE257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IF(OR(Database!$BD268="",Screener!$D$10=""),0,IF(Database!$BD268=Screener!$D$10,1,0))</f>
        <v/>
      </c>
      <c r="F268">
        <f>IF(OR(Database!$BJ268="",Screener!$D$11=""),0,IF(Database!$BJ268=Screener!$D$11,1,0))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IF(OR(N(Database!$BE268)&lt;=0,N(Screener!$D$13)&lt;=0),0,MAX(0,1-ABS(LOG10(N(Database!$BE268)/Screener!$D$13))/W_PEHW))</f>
        <v/>
      </c>
      <c r="J268">
        <f>IF(OR(N(Database!$S268)&lt;=0,N(Screener!$D$14)&lt;=0),0,MAX(0,1-ABS(LOG10(Database!$S268/Screener!$D$14))/0.6))</f>
        <v/>
      </c>
      <c r="K268">
        <f>IF(Database!$B268=Screener!$B$5,-999999,IF(ISNUMBER(SEARCH(","&amp;Database!$A268&amp;",",","&amp;SUBSTITUTE(Screener!$D$17," ","")&amp;",")),2000000,IF(IF(OR(Screener!$B$18="All",AND(Screener!$B$18="With A-share",(Database!$BJ268="Y")),AND(Screener!$B$18="Without A-share",NOT((Database!$BJ268="Y")))),1,0)=0,-999999,IF(Screener!$B$16="cornerstone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Database!BD258</f>
        <v/>
      </c>
      <c r="AF268">
        <f>Database!BJ258</f>
        <v/>
      </c>
      <c r="AG268">
        <f>Database!H258</f>
        <v/>
      </c>
      <c r="AH268">
        <f>Database!BE258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IF(OR(Database!$BD269="",Screener!$D$10=""),0,IF(Database!$BD269=Screener!$D$10,1,0))</f>
        <v/>
      </c>
      <c r="F269">
        <f>IF(OR(Database!$BJ269="",Screener!$D$11=""),0,IF(Database!$BJ269=Screener!$D$11,1,0))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IF(OR(N(Database!$BE269)&lt;=0,N(Screener!$D$13)&lt;=0),0,MAX(0,1-ABS(LOG10(N(Database!$BE269)/Screener!$D$13))/W_PEHW))</f>
        <v/>
      </c>
      <c r="J269">
        <f>IF(OR(N(Database!$S269)&lt;=0,N(Screener!$D$14)&lt;=0),0,MAX(0,1-ABS(LOG10(Database!$S269/Screener!$D$14))/0.6))</f>
        <v/>
      </c>
      <c r="K269">
        <f>IF(Database!$B269=Screener!$B$5,-999999,IF(ISNUMBER(SEARCH(","&amp;Database!$A269&amp;",",","&amp;SUBSTITUTE(Screener!$D$17," ","")&amp;",")),2000000,IF(IF(OR(Screener!$B$18="All",AND(Screener!$B$18="With A-share",(Database!$BJ269="Y")),AND(Screener!$B$18="Without A-share",NOT((Database!$BJ269="Y")))),1,0)=0,-999999,IF(Screener!$B$16="cornerstone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Database!BD259</f>
        <v/>
      </c>
      <c r="AF269">
        <f>Database!BJ259</f>
        <v/>
      </c>
      <c r="AG269">
        <f>Database!H259</f>
        <v/>
      </c>
      <c r="AH269">
        <f>Database!BE259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IF(OR(Database!$BD270="",Screener!$D$10=""),0,IF(Database!$BD270=Screener!$D$10,1,0))</f>
        <v/>
      </c>
      <c r="F270">
        <f>IF(OR(Database!$BJ270="",Screener!$D$11=""),0,IF(Database!$BJ270=Screener!$D$11,1,0))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IF(OR(N(Database!$BE270)&lt;=0,N(Screener!$D$13)&lt;=0),0,MAX(0,1-ABS(LOG10(N(Database!$BE270)/Screener!$D$13))/W_PEHW))</f>
        <v/>
      </c>
      <c r="J270">
        <f>IF(OR(N(Database!$S270)&lt;=0,N(Screener!$D$14)&lt;=0),0,MAX(0,1-ABS(LOG10(Database!$S270/Screener!$D$14))/0.6))</f>
        <v/>
      </c>
      <c r="K270">
        <f>IF(Database!$B270=Screener!$B$5,-999999,IF(ISNUMBER(SEARCH(","&amp;Database!$A270&amp;",",","&amp;SUBSTITUTE(Screener!$D$17," ","")&amp;",")),2000000,IF(IF(OR(Screener!$B$18="All",AND(Screener!$B$18="With A-share",(Database!$BJ270="Y")),AND(Screener!$B$18="Without A-share",NOT((Database!$BJ270="Y")))),1,0)=0,-999999,IF(Screener!$B$16="cornerstone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Database!BD260</f>
        <v/>
      </c>
      <c r="AF270">
        <f>Database!BJ260</f>
        <v/>
      </c>
      <c r="AG270">
        <f>Database!H260</f>
        <v/>
      </c>
      <c r="AH270">
        <f>Database!BE260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IF(OR(Database!$BD271="",Screener!$D$10=""),0,IF(Database!$BD271=Screener!$D$10,1,0))</f>
        <v/>
      </c>
      <c r="F271">
        <f>IF(OR(Database!$BJ271="",Screener!$D$11=""),0,IF(Database!$BJ271=Screener!$D$11,1,0))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IF(OR(N(Database!$BE271)&lt;=0,N(Screener!$D$13)&lt;=0),0,MAX(0,1-ABS(LOG10(N(Database!$BE271)/Screener!$D$13))/W_PEHW))</f>
        <v/>
      </c>
      <c r="J271">
        <f>IF(OR(N(Database!$S271)&lt;=0,N(Screener!$D$14)&lt;=0),0,MAX(0,1-ABS(LOG10(Database!$S271/Screener!$D$14))/0.6))</f>
        <v/>
      </c>
      <c r="K271">
        <f>IF(Database!$B271=Screener!$B$5,-999999,IF(ISNUMBER(SEARCH(","&amp;Database!$A271&amp;",",","&amp;SUBSTITUTE(Screener!$D$17," ","")&amp;",")),2000000,IF(IF(OR(Screener!$B$18="All",AND(Screener!$B$18="With A-share",(Database!$BJ271="Y")),AND(Screener!$B$18="Without A-share",NOT((Database!$BJ271="Y")))),1,0)=0,-999999,IF(Screener!$B$16="cornerstone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Database!BD261</f>
        <v/>
      </c>
      <c r="AF271">
        <f>Database!BJ261</f>
        <v/>
      </c>
      <c r="AG271">
        <f>Database!H261</f>
        <v/>
      </c>
      <c r="AH271">
        <f>Database!BE261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IF(OR(Database!$BD272="",Screener!$D$10=""),0,IF(Database!$BD272=Screener!$D$10,1,0))</f>
        <v/>
      </c>
      <c r="F272">
        <f>IF(OR(Database!$BJ272="",Screener!$D$11=""),0,IF(Database!$BJ272=Screener!$D$11,1,0))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IF(OR(N(Database!$BE272)&lt;=0,N(Screener!$D$13)&lt;=0),0,MAX(0,1-ABS(LOG10(N(Database!$BE272)/Screener!$D$13))/W_PEHW))</f>
        <v/>
      </c>
      <c r="J272">
        <f>IF(OR(N(Database!$S272)&lt;=0,N(Screener!$D$14)&lt;=0),0,MAX(0,1-ABS(LOG10(Database!$S272/Screener!$D$14))/0.6))</f>
        <v/>
      </c>
      <c r="K272">
        <f>IF(Database!$B272=Screener!$B$5,-999999,IF(ISNUMBER(SEARCH(","&amp;Database!$A272&amp;",",","&amp;SUBSTITUTE(Screener!$D$17," ","")&amp;",")),2000000,IF(IF(OR(Screener!$B$18="All",AND(Screener!$B$18="With A-share",(Database!$BJ272="Y")),AND(Screener!$B$18="Without A-share",NOT((Database!$BJ272="Y")))),1,0)=0,-999999,IF(Screener!$B$16="cornerstone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Database!BD262</f>
        <v/>
      </c>
      <c r="AF272">
        <f>Database!BJ262</f>
        <v/>
      </c>
      <c r="AG272">
        <f>Database!H262</f>
        <v/>
      </c>
      <c r="AH272">
        <f>Database!BE262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IF(OR(Database!$BD273="",Screener!$D$10=""),0,IF(Database!$BD273=Screener!$D$10,1,0))</f>
        <v/>
      </c>
      <c r="F273">
        <f>IF(OR(Database!$BJ273="",Screener!$D$11=""),0,IF(Database!$BJ273=Screener!$D$11,1,0))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IF(OR(N(Database!$BE273)&lt;=0,N(Screener!$D$13)&lt;=0),0,MAX(0,1-ABS(LOG10(N(Database!$BE273)/Screener!$D$13))/W_PEHW))</f>
        <v/>
      </c>
      <c r="J273">
        <f>IF(OR(N(Database!$S273)&lt;=0,N(Screener!$D$14)&lt;=0),0,MAX(0,1-ABS(LOG10(Database!$S273/Screener!$D$14))/0.6))</f>
        <v/>
      </c>
      <c r="K273">
        <f>IF(Database!$B273=Screener!$B$5,-999999,IF(ISNUMBER(SEARCH(","&amp;Database!$A273&amp;",",","&amp;SUBSTITUTE(Screener!$D$17," ","")&amp;",")),2000000,IF(IF(OR(Screener!$B$18="All",AND(Screener!$B$18="With A-share",(Database!$BJ273="Y")),AND(Screener!$B$18="Without A-share",NOT((Database!$BJ273="Y")))),1,0)=0,-999999,IF(Screener!$B$16="cornerstone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Database!BD263</f>
        <v/>
      </c>
      <c r="AF273">
        <f>Database!BJ263</f>
        <v/>
      </c>
      <c r="AG273">
        <f>Database!H263</f>
        <v/>
      </c>
      <c r="AH273">
        <f>Database!BE263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IF(OR(Database!$BD274="",Screener!$D$10=""),0,IF(Database!$BD274=Screener!$D$10,1,0))</f>
        <v/>
      </c>
      <c r="F274">
        <f>IF(OR(Database!$BJ274="",Screener!$D$11=""),0,IF(Database!$BJ274=Screener!$D$11,1,0))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IF(OR(N(Database!$BE274)&lt;=0,N(Screener!$D$13)&lt;=0),0,MAX(0,1-ABS(LOG10(N(Database!$BE274)/Screener!$D$13))/W_PEHW))</f>
        <v/>
      </c>
      <c r="J274">
        <f>IF(OR(N(Database!$S274)&lt;=0,N(Screener!$D$14)&lt;=0),0,MAX(0,1-ABS(LOG10(Database!$S274/Screener!$D$14))/0.6))</f>
        <v/>
      </c>
      <c r="K274">
        <f>IF(Database!$B274=Screener!$B$5,-999999,IF(ISNUMBER(SEARCH(","&amp;Database!$A274&amp;",",","&amp;SUBSTITUTE(Screener!$D$17," ","")&amp;",")),2000000,IF(IF(OR(Screener!$B$18="All",AND(Screener!$B$18="With A-share",(Database!$BJ274="Y")),AND(Screener!$B$18="Without A-share",NOT((Database!$BJ274="Y")))),1,0)=0,-999999,IF(Screener!$B$16="cornerstone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Database!BD264</f>
        <v/>
      </c>
      <c r="AF274">
        <f>Database!BJ264</f>
        <v/>
      </c>
      <c r="AG274">
        <f>Database!H264</f>
        <v/>
      </c>
      <c r="AH274">
        <f>Database!BE264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IF(OR(Database!$BD275="",Screener!$D$10=""),0,IF(Database!$BD275=Screener!$D$10,1,0))</f>
        <v/>
      </c>
      <c r="F275">
        <f>IF(OR(Database!$BJ275="",Screener!$D$11=""),0,IF(Database!$BJ275=Screener!$D$11,1,0))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IF(OR(N(Database!$BE275)&lt;=0,N(Screener!$D$13)&lt;=0),0,MAX(0,1-ABS(LOG10(N(Database!$BE275)/Screener!$D$13))/W_PEHW))</f>
        <v/>
      </c>
      <c r="J275">
        <f>IF(OR(N(Database!$S275)&lt;=0,N(Screener!$D$14)&lt;=0),0,MAX(0,1-ABS(LOG10(Database!$S275/Screener!$D$14))/0.6))</f>
        <v/>
      </c>
      <c r="K275">
        <f>IF(Database!$B275=Screener!$B$5,-999999,IF(ISNUMBER(SEARCH(","&amp;Database!$A275&amp;",",","&amp;SUBSTITUTE(Screener!$D$17," ","")&amp;",")),2000000,IF(IF(OR(Screener!$B$18="All",AND(Screener!$B$18="With A-share",(Database!$BJ275="Y")),AND(Screener!$B$18="Without A-share",NOT((Database!$BJ275="Y")))),1,0)=0,-999999,IF(Screener!$B$16="cornerstone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Database!BD265</f>
        <v/>
      </c>
      <c r="AF275">
        <f>Database!BJ265</f>
        <v/>
      </c>
      <c r="AG275">
        <f>Database!H265</f>
        <v/>
      </c>
      <c r="AH275">
        <f>Database!BE265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IF(OR(Database!$BD276="",Screener!$D$10=""),0,IF(Database!$BD276=Screener!$D$10,1,0))</f>
        <v/>
      </c>
      <c r="F276">
        <f>IF(OR(Database!$BJ276="",Screener!$D$11=""),0,IF(Database!$BJ276=Screener!$D$11,1,0))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IF(OR(N(Database!$BE276)&lt;=0,N(Screener!$D$13)&lt;=0),0,MAX(0,1-ABS(LOG10(N(Database!$BE276)/Screener!$D$13))/W_PEHW))</f>
        <v/>
      </c>
      <c r="J276">
        <f>IF(OR(N(Database!$S276)&lt;=0,N(Screener!$D$14)&lt;=0),0,MAX(0,1-ABS(LOG10(Database!$S276/Screener!$D$14))/0.6))</f>
        <v/>
      </c>
      <c r="K276">
        <f>IF(Database!$B276=Screener!$B$5,-999999,IF(ISNUMBER(SEARCH(","&amp;Database!$A276&amp;",",","&amp;SUBSTITUTE(Screener!$D$17," ","")&amp;",")),2000000,IF(IF(OR(Screener!$B$18="All",AND(Screener!$B$18="With A-share",(Database!$BJ276="Y")),AND(Screener!$B$18="Without A-share",NOT((Database!$BJ276="Y")))),1,0)=0,-999999,IF(Screener!$B$16="cornerstone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Database!BD266</f>
        <v/>
      </c>
      <c r="AF276">
        <f>Database!BJ266</f>
        <v/>
      </c>
      <c r="AG276">
        <f>Database!H266</f>
        <v/>
      </c>
      <c r="AH276">
        <f>Database!BE266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IF(OR(Database!$BD277="",Screener!$D$10=""),0,IF(Database!$BD277=Screener!$D$10,1,0))</f>
        <v/>
      </c>
      <c r="F277">
        <f>IF(OR(Database!$BJ277="",Screener!$D$11=""),0,IF(Database!$BJ277=Screener!$D$11,1,0))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IF(OR(N(Database!$BE277)&lt;=0,N(Screener!$D$13)&lt;=0),0,MAX(0,1-ABS(LOG10(N(Database!$BE277)/Screener!$D$13))/W_PEHW))</f>
        <v/>
      </c>
      <c r="J277">
        <f>IF(OR(N(Database!$S277)&lt;=0,N(Screener!$D$14)&lt;=0),0,MAX(0,1-ABS(LOG10(Database!$S277/Screener!$D$14))/0.6))</f>
        <v/>
      </c>
      <c r="K277">
        <f>IF(Database!$B277=Screener!$B$5,-999999,IF(ISNUMBER(SEARCH(","&amp;Database!$A277&amp;",",","&amp;SUBSTITUTE(Screener!$D$17," ","")&amp;",")),2000000,IF(IF(OR(Screener!$B$18="All",AND(Screener!$B$18="With A-share",(Database!$BJ277="Y")),AND(Screener!$B$18="Without A-share",NOT((Database!$BJ277="Y")))),1,0)=0,-999999,IF(Screener!$B$16="cornerstone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Database!BD267</f>
        <v/>
      </c>
      <c r="AF277">
        <f>Database!BJ267</f>
        <v/>
      </c>
      <c r="AG277">
        <f>Database!H267</f>
        <v/>
      </c>
      <c r="AH277">
        <f>Database!BE267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IF(OR(Database!$BD278="",Screener!$D$10=""),0,IF(Database!$BD278=Screener!$D$10,1,0))</f>
        <v/>
      </c>
      <c r="F278">
        <f>IF(OR(Database!$BJ278="",Screener!$D$11=""),0,IF(Database!$BJ278=Screener!$D$11,1,0))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IF(OR(N(Database!$BE278)&lt;=0,N(Screener!$D$13)&lt;=0),0,MAX(0,1-ABS(LOG10(N(Database!$BE278)/Screener!$D$13))/W_PEHW))</f>
        <v/>
      </c>
      <c r="J278">
        <f>IF(OR(N(Database!$S278)&lt;=0,N(Screener!$D$14)&lt;=0),0,MAX(0,1-ABS(LOG10(Database!$S278/Screener!$D$14))/0.6))</f>
        <v/>
      </c>
      <c r="K278">
        <f>IF(Database!$B278=Screener!$B$5,-999999,IF(ISNUMBER(SEARCH(","&amp;Database!$A278&amp;",",","&amp;SUBSTITUTE(Screener!$D$17," ","")&amp;",")),2000000,IF(IF(OR(Screener!$B$18="All",AND(Screener!$B$18="With A-share",(Database!$BJ278="Y")),AND(Screener!$B$18="Without A-share",NOT((Database!$BJ278="Y")))),1,0)=0,-999999,IF(Screener!$B$16="cornerstone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Database!BD268</f>
        <v/>
      </c>
      <c r="AF278">
        <f>Database!BJ268</f>
        <v/>
      </c>
      <c r="AG278">
        <f>Database!H268</f>
        <v/>
      </c>
      <c r="AH278">
        <f>Database!BE268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IF(OR(Database!$BD279="",Screener!$D$10=""),0,IF(Database!$BD279=Screener!$D$10,1,0))</f>
        <v/>
      </c>
      <c r="F279">
        <f>IF(OR(Database!$BJ279="",Screener!$D$11=""),0,IF(Database!$BJ279=Screener!$D$11,1,0))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IF(OR(N(Database!$BE279)&lt;=0,N(Screener!$D$13)&lt;=0),0,MAX(0,1-ABS(LOG10(N(Database!$BE279)/Screener!$D$13))/W_PEHW))</f>
        <v/>
      </c>
      <c r="J279">
        <f>IF(OR(N(Database!$S279)&lt;=0,N(Screener!$D$14)&lt;=0),0,MAX(0,1-ABS(LOG10(Database!$S279/Screener!$D$14))/0.6))</f>
        <v/>
      </c>
      <c r="K279">
        <f>IF(Database!$B279=Screener!$B$5,-999999,IF(ISNUMBER(SEARCH(","&amp;Database!$A279&amp;",",","&amp;SUBSTITUTE(Screener!$D$17," ","")&amp;",")),2000000,IF(IF(OR(Screener!$B$18="All",AND(Screener!$B$18="With A-share",(Database!$BJ279="Y")),AND(Screener!$B$18="Without A-share",NOT((Database!$BJ279="Y")))),1,0)=0,-999999,IF(Screener!$B$16="cornerstone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Database!BD269</f>
        <v/>
      </c>
      <c r="AF279">
        <f>Database!BJ269</f>
        <v/>
      </c>
      <c r="AG279">
        <f>Database!H269</f>
        <v/>
      </c>
      <c r="AH279">
        <f>Database!BE269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IF(OR(Database!$BD280="",Screener!$D$10=""),0,IF(Database!$BD280=Screener!$D$10,1,0))</f>
        <v/>
      </c>
      <c r="F280">
        <f>IF(OR(Database!$BJ280="",Screener!$D$11=""),0,IF(Database!$BJ280=Screener!$D$11,1,0))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IF(OR(N(Database!$BE280)&lt;=0,N(Screener!$D$13)&lt;=0),0,MAX(0,1-ABS(LOG10(N(Database!$BE280)/Screener!$D$13))/W_PEHW))</f>
        <v/>
      </c>
      <c r="J280">
        <f>IF(OR(N(Database!$S280)&lt;=0,N(Screener!$D$14)&lt;=0),0,MAX(0,1-ABS(LOG10(Database!$S280/Screener!$D$14))/0.6))</f>
        <v/>
      </c>
      <c r="K280">
        <f>IF(Database!$B280=Screener!$B$5,-999999,IF(ISNUMBER(SEARCH(","&amp;Database!$A280&amp;",",","&amp;SUBSTITUTE(Screener!$D$17," ","")&amp;",")),2000000,IF(IF(OR(Screener!$B$18="All",AND(Screener!$B$18="With A-share",(Database!$BJ280="Y")),AND(Screener!$B$18="Without A-share",NOT((Database!$BJ280="Y")))),1,0)=0,-999999,IF(Screener!$B$16="cornerstone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Database!BD270</f>
        <v/>
      </c>
      <c r="AF280">
        <f>Database!BJ270</f>
        <v/>
      </c>
      <c r="AG280">
        <f>Database!H270</f>
        <v/>
      </c>
      <c r="AH280">
        <f>Database!BE270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IF(OR(Database!$BD281="",Screener!$D$10=""),0,IF(Database!$BD281=Screener!$D$10,1,0))</f>
        <v/>
      </c>
      <c r="F281">
        <f>IF(OR(Database!$BJ281="",Screener!$D$11=""),0,IF(Database!$BJ281=Screener!$D$11,1,0))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IF(OR(N(Database!$BE281)&lt;=0,N(Screener!$D$13)&lt;=0),0,MAX(0,1-ABS(LOG10(N(Database!$BE281)/Screener!$D$13))/W_PEHW))</f>
        <v/>
      </c>
      <c r="J281">
        <f>IF(OR(N(Database!$S281)&lt;=0,N(Screener!$D$14)&lt;=0),0,MAX(0,1-ABS(LOG10(Database!$S281/Screener!$D$14))/0.6))</f>
        <v/>
      </c>
      <c r="K281">
        <f>IF(Database!$B281=Screener!$B$5,-999999,IF(ISNUMBER(SEARCH(","&amp;Database!$A281&amp;",",","&amp;SUBSTITUTE(Screener!$D$17," ","")&amp;",")),2000000,IF(IF(OR(Screener!$B$18="All",AND(Screener!$B$18="With A-share",(Database!$BJ281="Y")),AND(Screener!$B$18="Without A-share",NOT((Database!$BJ281="Y")))),1,0)=0,-999999,IF(Screener!$B$16="cornerstone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Database!BD271</f>
        <v/>
      </c>
      <c r="AF281">
        <f>Database!BJ271</f>
        <v/>
      </c>
      <c r="AG281">
        <f>Database!H271</f>
        <v/>
      </c>
      <c r="AH281">
        <f>Database!BE271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IF(OR(Database!$BD282="",Screener!$D$10=""),0,IF(Database!$BD282=Screener!$D$10,1,0))</f>
        <v/>
      </c>
      <c r="F282">
        <f>IF(OR(Database!$BJ282="",Screener!$D$11=""),0,IF(Database!$BJ282=Screener!$D$11,1,0))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IF(OR(N(Database!$BE282)&lt;=0,N(Screener!$D$13)&lt;=0),0,MAX(0,1-ABS(LOG10(N(Database!$BE282)/Screener!$D$13))/W_PEHW))</f>
        <v/>
      </c>
      <c r="J282">
        <f>IF(OR(N(Database!$S282)&lt;=0,N(Screener!$D$14)&lt;=0),0,MAX(0,1-ABS(LOG10(Database!$S282/Screener!$D$14))/0.6))</f>
        <v/>
      </c>
      <c r="K282">
        <f>IF(Database!$B282=Screener!$B$5,-999999,IF(ISNUMBER(SEARCH(","&amp;Database!$A282&amp;",",","&amp;SUBSTITUTE(Screener!$D$17," ","")&amp;",")),2000000,IF(IF(OR(Screener!$B$18="All",AND(Screener!$B$18="With A-share",(Database!$BJ282="Y")),AND(Screener!$B$18="Without A-share",NOT((Database!$BJ282="Y")))),1,0)=0,-999999,IF(Screener!$B$16="cornerstone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Database!BD272</f>
        <v/>
      </c>
      <c r="AF282">
        <f>Database!BJ272</f>
        <v/>
      </c>
      <c r="AG282">
        <f>Database!H272</f>
        <v/>
      </c>
      <c r="AH282">
        <f>Database!BE272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IF(OR(Database!$BD283="",Screener!$D$10=""),0,IF(Database!$BD283=Screener!$D$10,1,0))</f>
        <v/>
      </c>
      <c r="F283">
        <f>IF(OR(Database!$BJ283="",Screener!$D$11=""),0,IF(Database!$BJ283=Screener!$D$11,1,0))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IF(OR(N(Database!$BE283)&lt;=0,N(Screener!$D$13)&lt;=0),0,MAX(0,1-ABS(LOG10(N(Database!$BE283)/Screener!$D$13))/W_PEHW))</f>
        <v/>
      </c>
      <c r="J283">
        <f>IF(OR(N(Database!$S283)&lt;=0,N(Screener!$D$14)&lt;=0),0,MAX(0,1-ABS(LOG10(Database!$S283/Screener!$D$14))/0.6))</f>
        <v/>
      </c>
      <c r="K283">
        <f>IF(Database!$B283=Screener!$B$5,-999999,IF(ISNUMBER(SEARCH(","&amp;Database!$A283&amp;",",","&amp;SUBSTITUTE(Screener!$D$17," ","")&amp;",")),2000000,IF(IF(OR(Screener!$B$18="All",AND(Screener!$B$18="With A-share",(Database!$BJ283="Y")),AND(Screener!$B$18="Without A-share",NOT((Database!$BJ283="Y")))),1,0)=0,-999999,IF(Screener!$B$16="cornerstone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Database!BD273</f>
        <v/>
      </c>
      <c r="AF283">
        <f>Database!BJ273</f>
        <v/>
      </c>
      <c r="AG283">
        <f>Database!H273</f>
        <v/>
      </c>
      <c r="AH283">
        <f>Database!BE273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IF(OR(Database!$BD284="",Screener!$D$10=""),0,IF(Database!$BD284=Screener!$D$10,1,0))</f>
        <v/>
      </c>
      <c r="F284">
        <f>IF(OR(Database!$BJ284="",Screener!$D$11=""),0,IF(Database!$BJ284=Screener!$D$11,1,0))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IF(OR(N(Database!$BE284)&lt;=0,N(Screener!$D$13)&lt;=0),0,MAX(0,1-ABS(LOG10(N(Database!$BE284)/Screener!$D$13))/W_PEHW))</f>
        <v/>
      </c>
      <c r="J284">
        <f>IF(OR(N(Database!$S284)&lt;=0,N(Screener!$D$14)&lt;=0),0,MAX(0,1-ABS(LOG10(Database!$S284/Screener!$D$14))/0.6))</f>
        <v/>
      </c>
      <c r="K284">
        <f>IF(Database!$B284=Screener!$B$5,-999999,IF(ISNUMBER(SEARCH(","&amp;Database!$A284&amp;",",","&amp;SUBSTITUTE(Screener!$D$17," ","")&amp;",")),2000000,IF(IF(OR(Screener!$B$18="All",AND(Screener!$B$18="With A-share",(Database!$BJ284="Y")),AND(Screener!$B$18="Without A-share",NOT((Database!$BJ284="Y")))),1,0)=0,-999999,IF(Screener!$B$16="cornerstone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Database!BD274</f>
        <v/>
      </c>
      <c r="AF284">
        <f>Database!BJ274</f>
        <v/>
      </c>
      <c r="AG284">
        <f>Database!H274</f>
        <v/>
      </c>
      <c r="AH284">
        <f>Database!BE274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IF(OR(Database!$BD285="",Screener!$D$10=""),0,IF(Database!$BD285=Screener!$D$10,1,0))</f>
        <v/>
      </c>
      <c r="F285">
        <f>IF(OR(Database!$BJ285="",Screener!$D$11=""),0,IF(Database!$BJ285=Screener!$D$11,1,0))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IF(OR(N(Database!$BE285)&lt;=0,N(Screener!$D$13)&lt;=0),0,MAX(0,1-ABS(LOG10(N(Database!$BE285)/Screener!$D$13))/W_PEHW))</f>
        <v/>
      </c>
      <c r="J285">
        <f>IF(OR(N(Database!$S285)&lt;=0,N(Screener!$D$14)&lt;=0),0,MAX(0,1-ABS(LOG10(Database!$S285/Screener!$D$14))/0.6))</f>
        <v/>
      </c>
      <c r="K285">
        <f>IF(Database!$B285=Screener!$B$5,-999999,IF(ISNUMBER(SEARCH(","&amp;Database!$A285&amp;",",","&amp;SUBSTITUTE(Screener!$D$17," ","")&amp;",")),2000000,IF(IF(OR(Screener!$B$18="All",AND(Screener!$B$18="With A-share",(Database!$BJ285="Y")),AND(Screener!$B$18="Without A-share",NOT((Database!$BJ285="Y")))),1,0)=0,-999999,IF(Screener!$B$16="cornerstone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Database!BD275</f>
        <v/>
      </c>
      <c r="AF285">
        <f>Database!BJ275</f>
        <v/>
      </c>
      <c r="AG285">
        <f>Database!H275</f>
        <v/>
      </c>
      <c r="AH285">
        <f>Database!BE275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IF(OR(Database!$BD286="",Screener!$D$10=""),0,IF(Database!$BD286=Screener!$D$10,1,0))</f>
        <v/>
      </c>
      <c r="F286">
        <f>IF(OR(Database!$BJ286="",Screener!$D$11=""),0,IF(Database!$BJ286=Screener!$D$11,1,0))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IF(OR(N(Database!$BE286)&lt;=0,N(Screener!$D$13)&lt;=0),0,MAX(0,1-ABS(LOG10(N(Database!$BE286)/Screener!$D$13))/W_PEHW))</f>
        <v/>
      </c>
      <c r="J286">
        <f>IF(OR(N(Database!$S286)&lt;=0,N(Screener!$D$14)&lt;=0),0,MAX(0,1-ABS(LOG10(Database!$S286/Screener!$D$14))/0.6))</f>
        <v/>
      </c>
      <c r="K286">
        <f>IF(Database!$B286=Screener!$B$5,-999999,IF(ISNUMBER(SEARCH(","&amp;Database!$A286&amp;",",","&amp;SUBSTITUTE(Screener!$D$17," ","")&amp;",")),2000000,IF(IF(OR(Screener!$B$18="All",AND(Screener!$B$18="With A-share",(Database!$BJ286="Y")),AND(Screener!$B$18="Without A-share",NOT((Database!$BJ286="Y")))),1,0)=0,-999999,IF(Screener!$B$16="cornerstone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Database!BD276</f>
        <v/>
      </c>
      <c r="AF286">
        <f>Database!BJ276</f>
        <v/>
      </c>
      <c r="AG286">
        <f>Database!H276</f>
        <v/>
      </c>
      <c r="AH286">
        <f>Database!BE276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IF(OR(Database!$BD287="",Screener!$D$10=""),0,IF(Database!$BD287=Screener!$D$10,1,0))</f>
        <v/>
      </c>
      <c r="F287">
        <f>IF(OR(Database!$BJ287="",Screener!$D$11=""),0,IF(Database!$BJ287=Screener!$D$11,1,0))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IF(OR(N(Database!$BE287)&lt;=0,N(Screener!$D$13)&lt;=0),0,MAX(0,1-ABS(LOG10(N(Database!$BE287)/Screener!$D$13))/W_PEHW))</f>
        <v/>
      </c>
      <c r="J287">
        <f>IF(OR(N(Database!$S287)&lt;=0,N(Screener!$D$14)&lt;=0),0,MAX(0,1-ABS(LOG10(Database!$S287/Screener!$D$14))/0.6))</f>
        <v/>
      </c>
      <c r="K287">
        <f>IF(Database!$B287=Screener!$B$5,-999999,IF(ISNUMBER(SEARCH(","&amp;Database!$A287&amp;",",","&amp;SUBSTITUTE(Screener!$D$17," ","")&amp;",")),2000000,IF(IF(OR(Screener!$B$18="All",AND(Screener!$B$18="With A-share",(Database!$BJ287="Y")),AND(Screener!$B$18="Without A-share",NOT((Database!$BJ287="Y")))),1,0)=0,-999999,IF(Screener!$B$16="cornerstone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Database!BD277</f>
        <v/>
      </c>
      <c r="AF287">
        <f>Database!BJ277</f>
        <v/>
      </c>
      <c r="AG287">
        <f>Database!H277</f>
        <v/>
      </c>
      <c r="AH287">
        <f>Database!BE277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IF(OR(Database!$BD288="",Screener!$D$10=""),0,IF(Database!$BD288=Screener!$D$10,1,0))</f>
        <v/>
      </c>
      <c r="F288">
        <f>IF(OR(Database!$BJ288="",Screener!$D$11=""),0,IF(Database!$BJ288=Screener!$D$11,1,0))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IF(OR(N(Database!$BE288)&lt;=0,N(Screener!$D$13)&lt;=0),0,MAX(0,1-ABS(LOG10(N(Database!$BE288)/Screener!$D$13))/W_PEHW))</f>
        <v/>
      </c>
      <c r="J288">
        <f>IF(OR(N(Database!$S288)&lt;=0,N(Screener!$D$14)&lt;=0),0,MAX(0,1-ABS(LOG10(Database!$S288/Screener!$D$14))/0.6))</f>
        <v/>
      </c>
      <c r="K288">
        <f>IF(Database!$B288=Screener!$B$5,-999999,IF(ISNUMBER(SEARCH(","&amp;Database!$A288&amp;",",","&amp;SUBSTITUTE(Screener!$D$17," ","")&amp;",")),2000000,IF(IF(OR(Screener!$B$18="All",AND(Screener!$B$18="With A-share",(Database!$BJ288="Y")),AND(Screener!$B$18="Without A-share",NOT((Database!$BJ288="Y")))),1,0)=0,-999999,IF(Screener!$B$16="cornerstone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Database!BD278</f>
        <v/>
      </c>
      <c r="AF288">
        <f>Database!BJ278</f>
        <v/>
      </c>
      <c r="AG288">
        <f>Database!H278</f>
        <v/>
      </c>
      <c r="AH288">
        <f>Database!BE278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IF(OR(Database!$BD289="",Screener!$D$10=""),0,IF(Database!$BD289=Screener!$D$10,1,0))</f>
        <v/>
      </c>
      <c r="F289">
        <f>IF(OR(Database!$BJ289="",Screener!$D$11=""),0,IF(Database!$BJ289=Screener!$D$11,1,0))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IF(OR(N(Database!$BE289)&lt;=0,N(Screener!$D$13)&lt;=0),0,MAX(0,1-ABS(LOG10(N(Database!$BE289)/Screener!$D$13))/W_PEHW))</f>
        <v/>
      </c>
      <c r="J289">
        <f>IF(OR(N(Database!$S289)&lt;=0,N(Screener!$D$14)&lt;=0),0,MAX(0,1-ABS(LOG10(Database!$S289/Screener!$D$14))/0.6))</f>
        <v/>
      </c>
      <c r="K289">
        <f>IF(Database!$B289=Screener!$B$5,-999999,IF(ISNUMBER(SEARCH(","&amp;Database!$A289&amp;",",","&amp;SUBSTITUTE(Screener!$D$17," ","")&amp;",")),2000000,IF(IF(OR(Screener!$B$18="All",AND(Screener!$B$18="With A-share",(Database!$BJ289="Y")),AND(Screener!$B$18="Without A-share",NOT((Database!$BJ289="Y")))),1,0)=0,-999999,IF(Screener!$B$16="cornerstone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Database!BD279</f>
        <v/>
      </c>
      <c r="AF289">
        <f>Database!BJ279</f>
        <v/>
      </c>
      <c r="AG289">
        <f>Database!H279</f>
        <v/>
      </c>
      <c r="AH289">
        <f>Database!BE279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IF(OR(Database!$BD290="",Screener!$D$10=""),0,IF(Database!$BD290=Screener!$D$10,1,0))</f>
        <v/>
      </c>
      <c r="F290">
        <f>IF(OR(Database!$BJ290="",Screener!$D$11=""),0,IF(Database!$BJ290=Screener!$D$11,1,0))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IF(OR(N(Database!$BE290)&lt;=0,N(Screener!$D$13)&lt;=0),0,MAX(0,1-ABS(LOG10(N(Database!$BE290)/Screener!$D$13))/W_PEHW))</f>
        <v/>
      </c>
      <c r="J290">
        <f>IF(OR(N(Database!$S290)&lt;=0,N(Screener!$D$14)&lt;=0),0,MAX(0,1-ABS(LOG10(Database!$S290/Screener!$D$14))/0.6))</f>
        <v/>
      </c>
      <c r="K290">
        <f>IF(Database!$B290=Screener!$B$5,-999999,IF(ISNUMBER(SEARCH(","&amp;Database!$A290&amp;",",","&amp;SUBSTITUTE(Screener!$D$17," ","")&amp;",")),2000000,IF(IF(OR(Screener!$B$18="All",AND(Screener!$B$18="With A-share",(Database!$BJ290="Y")),AND(Screener!$B$18="Without A-share",NOT((Database!$BJ290="Y")))),1,0)=0,-999999,IF(Screener!$B$16="cornerstone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Database!BD280</f>
        <v/>
      </c>
      <c r="AF290">
        <f>Database!BJ280</f>
        <v/>
      </c>
      <c r="AG290">
        <f>Database!H280</f>
        <v/>
      </c>
      <c r="AH290">
        <f>Database!BE280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IF(OR(Database!$BD291="",Screener!$D$10=""),0,IF(Database!$BD291=Screener!$D$10,1,0))</f>
        <v/>
      </c>
      <c r="F291">
        <f>IF(OR(Database!$BJ291="",Screener!$D$11=""),0,IF(Database!$BJ291=Screener!$D$11,1,0))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IF(OR(N(Database!$BE291)&lt;=0,N(Screener!$D$13)&lt;=0),0,MAX(0,1-ABS(LOG10(N(Database!$BE291)/Screener!$D$13))/W_PEHW))</f>
        <v/>
      </c>
      <c r="J291">
        <f>IF(OR(N(Database!$S291)&lt;=0,N(Screener!$D$14)&lt;=0),0,MAX(0,1-ABS(LOG10(Database!$S291/Screener!$D$14))/0.6))</f>
        <v/>
      </c>
      <c r="K291">
        <f>IF(Database!$B291=Screener!$B$5,-999999,IF(ISNUMBER(SEARCH(","&amp;Database!$A291&amp;",",","&amp;SUBSTITUTE(Screener!$D$17," ","")&amp;",")),2000000,IF(IF(OR(Screener!$B$18="All",AND(Screener!$B$18="With A-share",(Database!$BJ291="Y")),AND(Screener!$B$18="Without A-share",NOT((Database!$BJ291="Y")))),1,0)=0,-999999,IF(Screener!$B$16="cornerstone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Database!BD281</f>
        <v/>
      </c>
      <c r="AF291">
        <f>Database!BJ281</f>
        <v/>
      </c>
      <c r="AG291">
        <f>Database!H281</f>
        <v/>
      </c>
      <c r="AH291">
        <f>Database!BE281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IF(OR(Database!$BD292="",Screener!$D$10=""),0,IF(Database!$BD292=Screener!$D$10,1,0))</f>
        <v/>
      </c>
      <c r="F292">
        <f>IF(OR(Database!$BJ292="",Screener!$D$11=""),0,IF(Database!$BJ292=Screener!$D$11,1,0))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IF(OR(N(Database!$BE292)&lt;=0,N(Screener!$D$13)&lt;=0),0,MAX(0,1-ABS(LOG10(N(Database!$BE292)/Screener!$D$13))/W_PEHW))</f>
        <v/>
      </c>
      <c r="J292">
        <f>IF(OR(N(Database!$S292)&lt;=0,N(Screener!$D$14)&lt;=0),0,MAX(0,1-ABS(LOG10(Database!$S292/Screener!$D$14))/0.6))</f>
        <v/>
      </c>
      <c r="K292">
        <f>IF(Database!$B292=Screener!$B$5,-999999,IF(ISNUMBER(SEARCH(","&amp;Database!$A292&amp;",",","&amp;SUBSTITUTE(Screener!$D$17," ","")&amp;",")),2000000,IF(IF(OR(Screener!$B$18="All",AND(Screener!$B$18="With A-share",(Database!$BJ292="Y")),AND(Screener!$B$18="Without A-share",NOT((Database!$BJ292="Y")))),1,0)=0,-999999,IF(Screener!$B$16="cornerstone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Database!BD282</f>
        <v/>
      </c>
      <c r="AF292">
        <f>Database!BJ282</f>
        <v/>
      </c>
      <c r="AG292">
        <f>Database!H282</f>
        <v/>
      </c>
      <c r="AH292">
        <f>Database!BE282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IF(OR(Database!$BD293="",Screener!$D$10=""),0,IF(Database!$BD293=Screener!$D$10,1,0))</f>
        <v/>
      </c>
      <c r="F293">
        <f>IF(OR(Database!$BJ293="",Screener!$D$11=""),0,IF(Database!$BJ293=Screener!$D$11,1,0))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IF(OR(N(Database!$BE293)&lt;=0,N(Screener!$D$13)&lt;=0),0,MAX(0,1-ABS(LOG10(N(Database!$BE293)/Screener!$D$13))/W_PEHW))</f>
        <v/>
      </c>
      <c r="J293">
        <f>IF(OR(N(Database!$S293)&lt;=0,N(Screener!$D$14)&lt;=0),0,MAX(0,1-ABS(LOG10(Database!$S293/Screener!$D$14))/0.6))</f>
        <v/>
      </c>
      <c r="K293">
        <f>IF(Database!$B293=Screener!$B$5,-999999,IF(ISNUMBER(SEARCH(","&amp;Database!$A293&amp;",",","&amp;SUBSTITUTE(Screener!$D$17," ","")&amp;",")),2000000,IF(IF(OR(Screener!$B$18="All",AND(Screener!$B$18="With A-share",(Database!$BJ293="Y")),AND(Screener!$B$18="Without A-share",NOT((Database!$BJ293="Y")))),1,0)=0,-999999,IF(Screener!$B$16="cornerstone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Database!BD283</f>
        <v/>
      </c>
      <c r="AF293">
        <f>Database!BJ283</f>
        <v/>
      </c>
      <c r="AG293">
        <f>Database!H283</f>
        <v/>
      </c>
      <c r="AH293">
        <f>Database!BE283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IF(OR(Database!$BD294="",Screener!$D$10=""),0,IF(Database!$BD294=Screener!$D$10,1,0))</f>
        <v/>
      </c>
      <c r="F294">
        <f>IF(OR(Database!$BJ294="",Screener!$D$11=""),0,IF(Database!$BJ294=Screener!$D$11,1,0))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IF(OR(N(Database!$BE294)&lt;=0,N(Screener!$D$13)&lt;=0),0,MAX(0,1-ABS(LOG10(N(Database!$BE294)/Screener!$D$13))/W_PEHW))</f>
        <v/>
      </c>
      <c r="J294">
        <f>IF(OR(N(Database!$S294)&lt;=0,N(Screener!$D$14)&lt;=0),0,MAX(0,1-ABS(LOG10(Database!$S294/Screener!$D$14))/0.6))</f>
        <v/>
      </c>
      <c r="K294">
        <f>IF(Database!$B294=Screener!$B$5,-999999,IF(ISNUMBER(SEARCH(","&amp;Database!$A294&amp;",",","&amp;SUBSTITUTE(Screener!$D$17," ","")&amp;",")),2000000,IF(IF(OR(Screener!$B$18="All",AND(Screener!$B$18="With A-share",(Database!$BJ294="Y")),AND(Screener!$B$18="Without A-share",NOT((Database!$BJ294="Y")))),1,0)=0,-999999,IF(Screener!$B$16="cornerstone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Database!BD284</f>
        <v/>
      </c>
      <c r="AF294">
        <f>Database!BJ284</f>
        <v/>
      </c>
      <c r="AG294">
        <f>Database!H284</f>
        <v/>
      </c>
      <c r="AH294">
        <f>Database!BE284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IF(OR(Database!$BD295="",Screener!$D$10=""),0,IF(Database!$BD295=Screener!$D$10,1,0))</f>
        <v/>
      </c>
      <c r="F295">
        <f>IF(OR(Database!$BJ295="",Screener!$D$11=""),0,IF(Database!$BJ295=Screener!$D$11,1,0))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IF(OR(N(Database!$BE295)&lt;=0,N(Screener!$D$13)&lt;=0),0,MAX(0,1-ABS(LOG10(N(Database!$BE295)/Screener!$D$13))/W_PEHW))</f>
        <v/>
      </c>
      <c r="J295">
        <f>IF(OR(N(Database!$S295)&lt;=0,N(Screener!$D$14)&lt;=0),0,MAX(0,1-ABS(LOG10(Database!$S295/Screener!$D$14))/0.6))</f>
        <v/>
      </c>
      <c r="K295">
        <f>IF(Database!$B295=Screener!$B$5,-999999,IF(ISNUMBER(SEARCH(","&amp;Database!$A295&amp;",",","&amp;SUBSTITUTE(Screener!$D$17," ","")&amp;",")),2000000,IF(IF(OR(Screener!$B$18="All",AND(Screener!$B$18="With A-share",(Database!$BJ295="Y")),AND(Screener!$B$18="Without A-share",NOT((Database!$BJ295="Y")))),1,0)=0,-999999,IF(Screener!$B$16="cornerstone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Database!BD285</f>
        <v/>
      </c>
      <c r="AF295">
        <f>Database!BJ285</f>
        <v/>
      </c>
      <c r="AG295">
        <f>Database!H285</f>
        <v/>
      </c>
      <c r="AH295">
        <f>Database!BE285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IF(OR(Database!$BD296="",Screener!$D$10=""),0,IF(Database!$BD296=Screener!$D$10,1,0))</f>
        <v/>
      </c>
      <c r="F296">
        <f>IF(OR(Database!$BJ296="",Screener!$D$11=""),0,IF(Database!$BJ296=Screener!$D$11,1,0))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IF(OR(N(Database!$BE296)&lt;=0,N(Screener!$D$13)&lt;=0),0,MAX(0,1-ABS(LOG10(N(Database!$BE296)/Screener!$D$13))/W_PEHW))</f>
        <v/>
      </c>
      <c r="J296">
        <f>IF(OR(N(Database!$S296)&lt;=0,N(Screener!$D$14)&lt;=0),0,MAX(0,1-ABS(LOG10(Database!$S296/Screener!$D$14))/0.6))</f>
        <v/>
      </c>
      <c r="K296">
        <f>IF(Database!$B296=Screener!$B$5,-999999,IF(ISNUMBER(SEARCH(","&amp;Database!$A296&amp;",",","&amp;SUBSTITUTE(Screener!$D$17," ","")&amp;",")),2000000,IF(IF(OR(Screener!$B$18="All",AND(Screener!$B$18="With A-share",(Database!$BJ296="Y")),AND(Screener!$B$18="Without A-share",NOT((Database!$BJ296="Y")))),1,0)=0,-999999,IF(Screener!$B$16="cornerstone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Database!BD286</f>
        <v/>
      </c>
      <c r="AF296">
        <f>Database!BJ286</f>
        <v/>
      </c>
      <c r="AG296">
        <f>Database!H286</f>
        <v/>
      </c>
      <c r="AH296">
        <f>Database!BE286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IF(OR(Database!$BD297="",Screener!$D$10=""),0,IF(Database!$BD297=Screener!$D$10,1,0))</f>
        <v/>
      </c>
      <c r="F297">
        <f>IF(OR(Database!$BJ297="",Screener!$D$11=""),0,IF(Database!$BJ297=Screener!$D$11,1,0))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IF(OR(N(Database!$BE297)&lt;=0,N(Screener!$D$13)&lt;=0),0,MAX(0,1-ABS(LOG10(N(Database!$BE297)/Screener!$D$13))/W_PEHW))</f>
        <v/>
      </c>
      <c r="J297">
        <f>IF(OR(N(Database!$S297)&lt;=0,N(Screener!$D$14)&lt;=0),0,MAX(0,1-ABS(LOG10(Database!$S297/Screener!$D$14))/0.6))</f>
        <v/>
      </c>
      <c r="K297">
        <f>IF(Database!$B297=Screener!$B$5,-999999,IF(ISNUMBER(SEARCH(","&amp;Database!$A297&amp;",",","&amp;SUBSTITUTE(Screener!$D$17," ","")&amp;",")),2000000,IF(IF(OR(Screener!$B$18="All",AND(Screener!$B$18="With A-share",(Database!$BJ297="Y")),AND(Screener!$B$18="Without A-share",NOT((Database!$BJ297="Y")))),1,0)=0,-999999,IF(Screener!$B$16="cornerstone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Database!BD287</f>
        <v/>
      </c>
      <c r="AF297">
        <f>Database!BJ287</f>
        <v/>
      </c>
      <c r="AG297">
        <f>Database!H287</f>
        <v/>
      </c>
      <c r="AH297">
        <f>Database!BE287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IF(OR(Database!$BD298="",Screener!$D$10=""),0,IF(Database!$BD298=Screener!$D$10,1,0))</f>
        <v/>
      </c>
      <c r="F298">
        <f>IF(OR(Database!$BJ298="",Screener!$D$11=""),0,IF(Database!$BJ298=Screener!$D$11,1,0))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IF(OR(N(Database!$BE298)&lt;=0,N(Screener!$D$13)&lt;=0),0,MAX(0,1-ABS(LOG10(N(Database!$BE298)/Screener!$D$13))/W_PEHW))</f>
        <v/>
      </c>
      <c r="J298">
        <f>IF(OR(N(Database!$S298)&lt;=0,N(Screener!$D$14)&lt;=0),0,MAX(0,1-ABS(LOG10(Database!$S298/Screener!$D$14))/0.6))</f>
        <v/>
      </c>
      <c r="K298">
        <f>IF(Database!$B298=Screener!$B$5,-999999,IF(ISNUMBER(SEARCH(","&amp;Database!$A298&amp;",",","&amp;SUBSTITUTE(Screener!$D$17," ","")&amp;",")),2000000,IF(IF(OR(Screener!$B$18="All",AND(Screener!$B$18="With A-share",(Database!$BJ298="Y")),AND(Screener!$B$18="Without A-share",NOT((Database!$BJ298="Y")))),1,0)=0,-999999,IF(Screener!$B$16="cornerstone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Database!BD288</f>
        <v/>
      </c>
      <c r="AF298">
        <f>Database!BJ288</f>
        <v/>
      </c>
      <c r="AG298">
        <f>Database!H288</f>
        <v/>
      </c>
      <c r="AH298">
        <f>Database!BE288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IF(OR(Database!$BD299="",Screener!$D$10=""),0,IF(Database!$BD299=Screener!$D$10,1,0))</f>
        <v/>
      </c>
      <c r="F299">
        <f>IF(OR(Database!$BJ299="",Screener!$D$11=""),0,IF(Database!$BJ299=Screener!$D$11,1,0))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IF(OR(N(Database!$BE299)&lt;=0,N(Screener!$D$13)&lt;=0),0,MAX(0,1-ABS(LOG10(N(Database!$BE299)/Screener!$D$13))/W_PEHW))</f>
        <v/>
      </c>
      <c r="J299">
        <f>IF(OR(N(Database!$S299)&lt;=0,N(Screener!$D$14)&lt;=0),0,MAX(0,1-ABS(LOG10(Database!$S299/Screener!$D$14))/0.6))</f>
        <v/>
      </c>
      <c r="K299">
        <f>IF(Database!$B299=Screener!$B$5,-999999,IF(ISNUMBER(SEARCH(","&amp;Database!$A299&amp;",",","&amp;SUBSTITUTE(Screener!$D$17," ","")&amp;",")),2000000,IF(IF(OR(Screener!$B$18="All",AND(Screener!$B$18="With A-share",(Database!$BJ299="Y")),AND(Screener!$B$18="Without A-share",NOT((Database!$BJ299="Y")))),1,0)=0,-999999,IF(Screener!$B$16="cornerstone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Database!BD289</f>
        <v/>
      </c>
      <c r="AF299">
        <f>Database!BJ289</f>
        <v/>
      </c>
      <c r="AG299">
        <f>Database!H289</f>
        <v/>
      </c>
      <c r="AH299">
        <f>Database!BE289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IF(OR(Database!$BD300="",Screener!$D$10=""),0,IF(Database!$BD300=Screener!$D$10,1,0))</f>
        <v/>
      </c>
      <c r="F300">
        <f>IF(OR(Database!$BJ300="",Screener!$D$11=""),0,IF(Database!$BJ300=Screener!$D$11,1,0))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IF(OR(N(Database!$BE300)&lt;=0,N(Screener!$D$13)&lt;=0),0,MAX(0,1-ABS(LOG10(N(Database!$BE300)/Screener!$D$13))/W_PEHW))</f>
        <v/>
      </c>
      <c r="J300">
        <f>IF(OR(N(Database!$S300)&lt;=0,N(Screener!$D$14)&lt;=0),0,MAX(0,1-ABS(LOG10(Database!$S300/Screener!$D$14))/0.6))</f>
        <v/>
      </c>
      <c r="K300">
        <f>IF(Database!$B300=Screener!$B$5,-999999,IF(ISNUMBER(SEARCH(","&amp;Database!$A300&amp;",",","&amp;SUBSTITUTE(Screener!$D$17," ","")&amp;",")),2000000,IF(IF(OR(Screener!$B$18="All",AND(Screener!$B$18="With A-share",(Database!$BJ300="Y")),AND(Screener!$B$18="Without A-share",NOT((Database!$BJ300="Y")))),1,0)=0,-999999,IF(Screener!$B$16="cornerstone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Database!BD290</f>
        <v/>
      </c>
      <c r="AF300">
        <f>Database!BJ290</f>
        <v/>
      </c>
      <c r="AG300">
        <f>Database!H290</f>
        <v/>
      </c>
      <c r="AH300">
        <f>Database!BE290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IF(OR(Database!$BD301="",Screener!$D$10=""),0,IF(Database!$BD301=Screener!$D$10,1,0))</f>
        <v/>
      </c>
      <c r="F301">
        <f>IF(OR(Database!$BJ301="",Screener!$D$11=""),0,IF(Database!$BJ301=Screener!$D$11,1,0))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IF(OR(N(Database!$BE301)&lt;=0,N(Screener!$D$13)&lt;=0),0,MAX(0,1-ABS(LOG10(N(Database!$BE301)/Screener!$D$13))/W_PEHW))</f>
        <v/>
      </c>
      <c r="J301">
        <f>IF(OR(N(Database!$S301)&lt;=0,N(Screener!$D$14)&lt;=0),0,MAX(0,1-ABS(LOG10(Database!$S301/Screener!$D$14))/0.6))</f>
        <v/>
      </c>
      <c r="K301">
        <f>IF(Database!$B301=Screener!$B$5,-999999,IF(ISNUMBER(SEARCH(","&amp;Database!$A301&amp;",",","&amp;SUBSTITUTE(Screener!$D$17," ","")&amp;",")),2000000,IF(IF(OR(Screener!$B$18="All",AND(Screener!$B$18="With A-share",(Database!$BJ301="Y")),AND(Screener!$B$18="Without A-share",NOT((Database!$BJ301="Y")))),1,0)=0,-999999,IF(Screener!$B$16="cornerstone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Database!BD291</f>
        <v/>
      </c>
      <c r="AF301">
        <f>Database!BJ291</f>
        <v/>
      </c>
      <c r="AG301">
        <f>Database!H291</f>
        <v/>
      </c>
      <c r="AH301">
        <f>Database!BE291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IF(OR(Database!$BD302="",Screener!$D$10=""),0,IF(Database!$BD302=Screener!$D$10,1,0))</f>
        <v/>
      </c>
      <c r="F302">
        <f>IF(OR(Database!$BJ302="",Screener!$D$11=""),0,IF(Database!$BJ302=Screener!$D$11,1,0))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IF(OR(N(Database!$BE302)&lt;=0,N(Screener!$D$13)&lt;=0),0,MAX(0,1-ABS(LOG10(N(Database!$BE302)/Screener!$D$13))/W_PEHW))</f>
        <v/>
      </c>
      <c r="J302">
        <f>IF(OR(N(Database!$S302)&lt;=0,N(Screener!$D$14)&lt;=0),0,MAX(0,1-ABS(LOG10(Database!$S302/Screener!$D$14))/0.6))</f>
        <v/>
      </c>
      <c r="K302">
        <f>IF(Database!$B302=Screener!$B$5,-999999,IF(ISNUMBER(SEARCH(","&amp;Database!$A302&amp;",",","&amp;SUBSTITUTE(Screener!$D$17," ","")&amp;",")),2000000,IF(IF(OR(Screener!$B$18="All",AND(Screener!$B$18="With A-share",(Database!$BJ302="Y")),AND(Screener!$B$18="Without A-share",NOT((Database!$BJ302="Y")))),1,0)=0,-999999,IF(Screener!$B$16="cornerstone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Database!BD292</f>
        <v/>
      </c>
      <c r="AF302">
        <f>Database!BJ292</f>
        <v/>
      </c>
      <c r="AG302">
        <f>Database!H292</f>
        <v/>
      </c>
      <c r="AH302">
        <f>Database!BE292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IF(OR(Database!$BD303="",Screener!$D$10=""),0,IF(Database!$BD303=Screener!$D$10,1,0))</f>
        <v/>
      </c>
      <c r="F303">
        <f>IF(OR(Database!$BJ303="",Screener!$D$11=""),0,IF(Database!$BJ303=Screener!$D$11,1,0))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IF(OR(N(Database!$BE303)&lt;=0,N(Screener!$D$13)&lt;=0),0,MAX(0,1-ABS(LOG10(N(Database!$BE303)/Screener!$D$13))/W_PEHW))</f>
        <v/>
      </c>
      <c r="J303">
        <f>IF(OR(N(Database!$S303)&lt;=0,N(Screener!$D$14)&lt;=0),0,MAX(0,1-ABS(LOG10(Database!$S303/Screener!$D$14))/0.6))</f>
        <v/>
      </c>
      <c r="K303">
        <f>IF(Database!$B303=Screener!$B$5,-999999,IF(ISNUMBER(SEARCH(","&amp;Database!$A303&amp;",",","&amp;SUBSTITUTE(Screener!$D$17," ","")&amp;",")),2000000,IF(IF(OR(Screener!$B$18="All",AND(Screener!$B$18="With A-share",(Database!$BJ303="Y")),AND(Screener!$B$18="Without A-share",NOT((Database!$BJ303="Y")))),1,0)=0,-999999,IF(Screener!$B$16="cornerstone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Database!BD293</f>
        <v/>
      </c>
      <c r="AF303">
        <f>Database!BJ293</f>
        <v/>
      </c>
      <c r="AG303">
        <f>Database!H293</f>
        <v/>
      </c>
      <c r="AH303">
        <f>Database!BE293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IF(OR(Database!$BD304="",Screener!$D$10=""),0,IF(Database!$BD304=Screener!$D$10,1,0))</f>
        <v/>
      </c>
      <c r="F304">
        <f>IF(OR(Database!$BJ304="",Screener!$D$11=""),0,IF(Database!$BJ304=Screener!$D$11,1,0))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IF(OR(N(Database!$BE304)&lt;=0,N(Screener!$D$13)&lt;=0),0,MAX(0,1-ABS(LOG10(N(Database!$BE304)/Screener!$D$13))/W_PEHW))</f>
        <v/>
      </c>
      <c r="J304">
        <f>IF(OR(N(Database!$S304)&lt;=0,N(Screener!$D$14)&lt;=0),0,MAX(0,1-ABS(LOG10(Database!$S304/Screener!$D$14))/0.6))</f>
        <v/>
      </c>
      <c r="K304">
        <f>IF(Database!$B304=Screener!$B$5,-999999,IF(ISNUMBER(SEARCH(","&amp;Database!$A304&amp;",",","&amp;SUBSTITUTE(Screener!$D$17," ","")&amp;",")),2000000,IF(IF(OR(Screener!$B$18="All",AND(Screener!$B$18="With A-share",(Database!$BJ304="Y")),AND(Screener!$B$18="Without A-share",NOT((Database!$BJ304="Y")))),1,0)=0,-999999,IF(Screener!$B$16="cornerstone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Database!BD294</f>
        <v/>
      </c>
      <c r="AF304">
        <f>Database!BJ294</f>
        <v/>
      </c>
      <c r="AG304">
        <f>Database!H294</f>
        <v/>
      </c>
      <c r="AH304">
        <f>Database!BE294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IF(OR(Database!$BD305="",Screener!$D$10=""),0,IF(Database!$BD305=Screener!$D$10,1,0))</f>
        <v/>
      </c>
      <c r="F305">
        <f>IF(OR(Database!$BJ305="",Screener!$D$11=""),0,IF(Database!$BJ305=Screener!$D$11,1,0))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IF(OR(N(Database!$BE305)&lt;=0,N(Screener!$D$13)&lt;=0),0,MAX(0,1-ABS(LOG10(N(Database!$BE305)/Screener!$D$13))/W_PEHW))</f>
        <v/>
      </c>
      <c r="J305">
        <f>IF(OR(N(Database!$S305)&lt;=0,N(Screener!$D$14)&lt;=0),0,MAX(0,1-ABS(LOG10(Database!$S305/Screener!$D$14))/0.6))</f>
        <v/>
      </c>
      <c r="K305">
        <f>IF(Database!$B305=Screener!$B$5,-999999,IF(ISNUMBER(SEARCH(","&amp;Database!$A305&amp;",",","&amp;SUBSTITUTE(Screener!$D$17," ","")&amp;",")),2000000,IF(IF(OR(Screener!$B$18="All",AND(Screener!$B$18="With A-share",(Database!$BJ305="Y")),AND(Screener!$B$18="Without A-share",NOT((Database!$BJ305="Y")))),1,0)=0,-999999,IF(Screener!$B$16="cornerstone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Database!BD295</f>
        <v/>
      </c>
      <c r="AF305">
        <f>Database!BJ295</f>
        <v/>
      </c>
      <c r="AG305">
        <f>Database!H295</f>
        <v/>
      </c>
      <c r="AH305">
        <f>Database!BE295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IF(OR(Database!$BD306="",Screener!$D$10=""),0,IF(Database!$BD306=Screener!$D$10,1,0))</f>
        <v/>
      </c>
      <c r="F306">
        <f>IF(OR(Database!$BJ306="",Screener!$D$11=""),0,IF(Database!$BJ306=Screener!$D$11,1,0))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IF(OR(N(Database!$BE306)&lt;=0,N(Screener!$D$13)&lt;=0),0,MAX(0,1-ABS(LOG10(N(Database!$BE306)/Screener!$D$13))/W_PEHW))</f>
        <v/>
      </c>
      <c r="J306">
        <f>IF(OR(N(Database!$S306)&lt;=0,N(Screener!$D$14)&lt;=0),0,MAX(0,1-ABS(LOG10(Database!$S306/Screener!$D$14))/0.6))</f>
        <v/>
      </c>
      <c r="K306">
        <f>IF(Database!$B306=Screener!$B$5,-999999,IF(ISNUMBER(SEARCH(","&amp;Database!$A306&amp;",",","&amp;SUBSTITUTE(Screener!$D$17," ","")&amp;",")),2000000,IF(IF(OR(Screener!$B$18="All",AND(Screener!$B$18="With A-share",(Database!$BJ306="Y")),AND(Screener!$B$18="Without A-share",NOT((Database!$BJ306="Y")))),1,0)=0,-999999,IF(Screener!$B$16="cornerstone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Database!BD296</f>
        <v/>
      </c>
      <c r="AF306">
        <f>Database!BJ296</f>
        <v/>
      </c>
      <c r="AG306">
        <f>Database!H296</f>
        <v/>
      </c>
      <c r="AH306">
        <f>Database!BE296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IF(OR(Database!$BD307="",Screener!$D$10=""),0,IF(Database!$BD307=Screener!$D$10,1,0))</f>
        <v/>
      </c>
      <c r="F307">
        <f>IF(OR(Database!$BJ307="",Screener!$D$11=""),0,IF(Database!$BJ307=Screener!$D$11,1,0))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IF(OR(N(Database!$BE307)&lt;=0,N(Screener!$D$13)&lt;=0),0,MAX(0,1-ABS(LOG10(N(Database!$BE307)/Screener!$D$13))/W_PEHW))</f>
        <v/>
      </c>
      <c r="J307">
        <f>IF(OR(N(Database!$S307)&lt;=0,N(Screener!$D$14)&lt;=0),0,MAX(0,1-ABS(LOG10(Database!$S307/Screener!$D$14))/0.6))</f>
        <v/>
      </c>
      <c r="K307">
        <f>IF(Database!$B307=Screener!$B$5,-999999,IF(ISNUMBER(SEARCH(","&amp;Database!$A307&amp;",",","&amp;SUBSTITUTE(Screener!$D$17," ","")&amp;",")),2000000,IF(IF(OR(Screener!$B$18="All",AND(Screener!$B$18="With A-share",(Database!$BJ307="Y")),AND(Screener!$B$18="Without A-share",NOT((Database!$BJ307="Y")))),1,0)=0,-999999,IF(Screener!$B$16="cornerstone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Database!BD297</f>
        <v/>
      </c>
      <c r="AF307">
        <f>Database!BJ297</f>
        <v/>
      </c>
      <c r="AG307">
        <f>Database!H297</f>
        <v/>
      </c>
      <c r="AH307">
        <f>Database!BE297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IF(OR(Database!$BD308="",Screener!$D$10=""),0,IF(Database!$BD308=Screener!$D$10,1,0))</f>
        <v/>
      </c>
      <c r="F308">
        <f>IF(OR(Database!$BJ308="",Screener!$D$11=""),0,IF(Database!$BJ308=Screener!$D$11,1,0))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IF(OR(N(Database!$BE308)&lt;=0,N(Screener!$D$13)&lt;=0),0,MAX(0,1-ABS(LOG10(N(Database!$BE308)/Screener!$D$13))/W_PEHW))</f>
        <v/>
      </c>
      <c r="J308">
        <f>IF(OR(N(Database!$S308)&lt;=0,N(Screener!$D$14)&lt;=0),0,MAX(0,1-ABS(LOG10(Database!$S308/Screener!$D$14))/0.6))</f>
        <v/>
      </c>
      <c r="K308">
        <f>IF(Database!$B308=Screener!$B$5,-999999,IF(ISNUMBER(SEARCH(","&amp;Database!$A308&amp;",",","&amp;SUBSTITUTE(Screener!$D$17," ","")&amp;",")),2000000,IF(IF(OR(Screener!$B$18="All",AND(Screener!$B$18="With A-share",(Database!$BJ308="Y")),AND(Screener!$B$18="Without A-share",NOT((Database!$BJ308="Y")))),1,0)=0,-999999,IF(Screener!$B$16="cornerstone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Database!BD298</f>
        <v/>
      </c>
      <c r="AF308">
        <f>Database!BJ298</f>
        <v/>
      </c>
      <c r="AG308">
        <f>Database!H298</f>
        <v/>
      </c>
      <c r="AH308">
        <f>Database!BE298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IF(OR(Database!$BD309="",Screener!$D$10=""),0,IF(Database!$BD309=Screener!$D$10,1,0))</f>
        <v/>
      </c>
      <c r="F309">
        <f>IF(OR(Database!$BJ309="",Screener!$D$11=""),0,IF(Database!$BJ309=Screener!$D$11,1,0))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IF(OR(N(Database!$BE309)&lt;=0,N(Screener!$D$13)&lt;=0),0,MAX(0,1-ABS(LOG10(N(Database!$BE309)/Screener!$D$13))/W_PEHW))</f>
        <v/>
      </c>
      <c r="J309">
        <f>IF(OR(N(Database!$S309)&lt;=0,N(Screener!$D$14)&lt;=0),0,MAX(0,1-ABS(LOG10(Database!$S309/Screener!$D$14))/0.6))</f>
        <v/>
      </c>
      <c r="K309">
        <f>IF(Database!$B309=Screener!$B$5,-999999,IF(ISNUMBER(SEARCH(","&amp;Database!$A309&amp;",",","&amp;SUBSTITUTE(Screener!$D$17," ","")&amp;",")),2000000,IF(IF(OR(Screener!$B$18="All",AND(Screener!$B$18="With A-share",(Database!$BJ309="Y")),AND(Screener!$B$18="Without A-share",NOT((Database!$BJ309="Y")))),1,0)=0,-999999,IF(Screener!$B$16="cornerstone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Database!BD299</f>
        <v/>
      </c>
      <c r="AF309">
        <f>Database!BJ299</f>
        <v/>
      </c>
      <c r="AG309">
        <f>Database!H299</f>
        <v/>
      </c>
      <c r="AH309">
        <f>Database!BE299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IF(OR(Database!$BD310="",Screener!$D$10=""),0,IF(Database!$BD310=Screener!$D$10,1,0))</f>
        <v/>
      </c>
      <c r="F310">
        <f>IF(OR(Database!$BJ310="",Screener!$D$11=""),0,IF(Database!$BJ310=Screener!$D$11,1,0))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IF(OR(N(Database!$BE310)&lt;=0,N(Screener!$D$13)&lt;=0),0,MAX(0,1-ABS(LOG10(N(Database!$BE310)/Screener!$D$13))/W_PEHW))</f>
        <v/>
      </c>
      <c r="J310">
        <f>IF(OR(N(Database!$S310)&lt;=0,N(Screener!$D$14)&lt;=0),0,MAX(0,1-ABS(LOG10(Database!$S310/Screener!$D$14))/0.6))</f>
        <v/>
      </c>
      <c r="K310">
        <f>IF(Database!$B310=Screener!$B$5,-999999,IF(ISNUMBER(SEARCH(","&amp;Database!$A310&amp;",",","&amp;SUBSTITUTE(Screener!$D$17," ","")&amp;",")),2000000,IF(IF(OR(Screener!$B$18="All",AND(Screener!$B$18="With A-share",(Database!$BJ310="Y")),AND(Screener!$B$18="Without A-share",NOT((Database!$BJ310="Y")))),1,0)=0,-999999,IF(Screener!$B$16="cornerstone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Database!BD300</f>
        <v/>
      </c>
      <c r="AF310">
        <f>Database!BJ300</f>
        <v/>
      </c>
      <c r="AG310">
        <f>Database!H300</f>
        <v/>
      </c>
      <c r="AH310">
        <f>Database!BE300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IF(OR(Database!$BD311="",Screener!$D$10=""),0,IF(Database!$BD311=Screener!$D$10,1,0))</f>
        <v/>
      </c>
      <c r="F311">
        <f>IF(OR(Database!$BJ311="",Screener!$D$11=""),0,IF(Database!$BJ311=Screener!$D$11,1,0))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IF(OR(N(Database!$BE311)&lt;=0,N(Screener!$D$13)&lt;=0),0,MAX(0,1-ABS(LOG10(N(Database!$BE311)/Screener!$D$13))/W_PEHW))</f>
        <v/>
      </c>
      <c r="J311">
        <f>IF(OR(N(Database!$S311)&lt;=0,N(Screener!$D$14)&lt;=0),0,MAX(0,1-ABS(LOG10(Database!$S311/Screener!$D$14))/0.6))</f>
        <v/>
      </c>
      <c r="K311">
        <f>IF(Database!$B311=Screener!$B$5,-999999,IF(ISNUMBER(SEARCH(","&amp;Database!$A311&amp;",",","&amp;SUBSTITUTE(Screener!$D$17," ","")&amp;",")),2000000,IF(IF(OR(Screener!$B$18="All",AND(Screener!$B$18="With A-share",(Database!$BJ311="Y")),AND(Screener!$B$18="Without A-share",NOT((Database!$BJ311="Y")))),1,0)=0,-999999,IF(Screener!$B$16="cornerstone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Database!BD301</f>
        <v/>
      </c>
      <c r="AF311">
        <f>Database!BJ301</f>
        <v/>
      </c>
      <c r="AG311">
        <f>Database!H301</f>
        <v/>
      </c>
      <c r="AH311">
        <f>Database!BE301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IF(OR(Database!$BD312="",Screener!$D$10=""),0,IF(Database!$BD312=Screener!$D$10,1,0))</f>
        <v/>
      </c>
      <c r="F312">
        <f>IF(OR(Database!$BJ312="",Screener!$D$11=""),0,IF(Database!$BJ312=Screener!$D$11,1,0))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IF(OR(N(Database!$BE312)&lt;=0,N(Screener!$D$13)&lt;=0),0,MAX(0,1-ABS(LOG10(N(Database!$BE312)/Screener!$D$13))/W_PEHW))</f>
        <v/>
      </c>
      <c r="J312">
        <f>IF(OR(N(Database!$S312)&lt;=0,N(Screener!$D$14)&lt;=0),0,MAX(0,1-ABS(LOG10(Database!$S312/Screener!$D$14))/0.6))</f>
        <v/>
      </c>
      <c r="K312">
        <f>IF(Database!$B312=Screener!$B$5,-999999,IF(ISNUMBER(SEARCH(","&amp;Database!$A312&amp;",",","&amp;SUBSTITUTE(Screener!$D$17," ","")&amp;",")),2000000,IF(IF(OR(Screener!$B$18="All",AND(Screener!$B$18="With A-share",(Database!$BJ312="Y")),AND(Screener!$B$18="Without A-share",NOT((Database!$BJ312="Y")))),1,0)=0,-999999,IF(Screener!$B$16="cornerstone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Database!BD302</f>
        <v/>
      </c>
      <c r="AF312">
        <f>Database!BJ302</f>
        <v/>
      </c>
      <c r="AG312">
        <f>Database!H302</f>
        <v/>
      </c>
      <c r="AH312">
        <f>Database!BE302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IF(OR(Database!$BD313="",Screener!$D$10=""),0,IF(Database!$BD313=Screener!$D$10,1,0))</f>
        <v/>
      </c>
      <c r="F313">
        <f>IF(OR(Database!$BJ313="",Screener!$D$11=""),0,IF(Database!$BJ313=Screener!$D$11,1,0))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IF(OR(N(Database!$BE313)&lt;=0,N(Screener!$D$13)&lt;=0),0,MAX(0,1-ABS(LOG10(N(Database!$BE313)/Screener!$D$13))/W_PEHW))</f>
        <v/>
      </c>
      <c r="J313">
        <f>IF(OR(N(Database!$S313)&lt;=0,N(Screener!$D$14)&lt;=0),0,MAX(0,1-ABS(LOG10(Database!$S313/Screener!$D$14))/0.6))</f>
        <v/>
      </c>
      <c r="K313">
        <f>IF(Database!$B313=Screener!$B$5,-999999,IF(ISNUMBER(SEARCH(","&amp;Database!$A313&amp;",",","&amp;SUBSTITUTE(Screener!$D$17," ","")&amp;",")),2000000,IF(IF(OR(Screener!$B$18="All",AND(Screener!$B$18="With A-share",(Database!$BJ313="Y")),AND(Screener!$B$18="Without A-share",NOT((Database!$BJ313="Y")))),1,0)=0,-999999,IF(Screener!$B$16="cornerstone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Database!BD303</f>
        <v/>
      </c>
      <c r="AF313">
        <f>Database!BJ303</f>
        <v/>
      </c>
      <c r="AG313">
        <f>Database!H303</f>
        <v/>
      </c>
      <c r="AH313">
        <f>Database!BE303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IF(OR(Database!$BD314="",Screener!$D$10=""),0,IF(Database!$BD314=Screener!$D$10,1,0))</f>
        <v/>
      </c>
      <c r="F314">
        <f>IF(OR(Database!$BJ314="",Screener!$D$11=""),0,IF(Database!$BJ314=Screener!$D$11,1,0))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IF(OR(N(Database!$BE314)&lt;=0,N(Screener!$D$13)&lt;=0),0,MAX(0,1-ABS(LOG10(N(Database!$BE314)/Screener!$D$13))/W_PEHW))</f>
        <v/>
      </c>
      <c r="J314">
        <f>IF(OR(N(Database!$S314)&lt;=0,N(Screener!$D$14)&lt;=0),0,MAX(0,1-ABS(LOG10(Database!$S314/Screener!$D$14))/0.6))</f>
        <v/>
      </c>
      <c r="K314">
        <f>IF(Database!$B314=Screener!$B$5,-999999,IF(ISNUMBER(SEARCH(","&amp;Database!$A314&amp;",",","&amp;SUBSTITUTE(Screener!$D$17," ","")&amp;",")),2000000,IF(IF(OR(Screener!$B$18="All",AND(Screener!$B$18="With A-share",(Database!$BJ314="Y")),AND(Screener!$B$18="Without A-share",NOT((Database!$BJ314="Y")))),1,0)=0,-999999,IF(Screener!$B$16="cornerstone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Database!BD304</f>
        <v/>
      </c>
      <c r="AF314">
        <f>Database!BJ304</f>
        <v/>
      </c>
      <c r="AG314">
        <f>Database!H304</f>
        <v/>
      </c>
      <c r="AH314">
        <f>Database!BE304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IF(OR(Database!$BD315="",Screener!$D$10=""),0,IF(Database!$BD315=Screener!$D$10,1,0))</f>
        <v/>
      </c>
      <c r="F315">
        <f>IF(OR(Database!$BJ315="",Screener!$D$11=""),0,IF(Database!$BJ315=Screener!$D$11,1,0))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IF(OR(N(Database!$BE315)&lt;=0,N(Screener!$D$13)&lt;=0),0,MAX(0,1-ABS(LOG10(N(Database!$BE315)/Screener!$D$13))/W_PEHW))</f>
        <v/>
      </c>
      <c r="J315">
        <f>IF(OR(N(Database!$S315)&lt;=0,N(Screener!$D$14)&lt;=0),0,MAX(0,1-ABS(LOG10(Database!$S315/Screener!$D$14))/0.6))</f>
        <v/>
      </c>
      <c r="K315">
        <f>IF(Database!$B315=Screener!$B$5,-999999,IF(ISNUMBER(SEARCH(","&amp;Database!$A315&amp;",",","&amp;SUBSTITUTE(Screener!$D$17," ","")&amp;",")),2000000,IF(IF(OR(Screener!$B$18="All",AND(Screener!$B$18="With A-share",(Database!$BJ315="Y")),AND(Screener!$B$18="Without A-share",NOT((Database!$BJ315="Y")))),1,0)=0,-999999,IF(Screener!$B$16="cornerstone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Database!BD305</f>
        <v/>
      </c>
      <c r="AF315">
        <f>Database!BJ305</f>
        <v/>
      </c>
      <c r="AG315">
        <f>Database!H305</f>
        <v/>
      </c>
      <c r="AH315">
        <f>Database!BE305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IF(OR(Database!$BD316="",Screener!$D$10=""),0,IF(Database!$BD316=Screener!$D$10,1,0))</f>
        <v/>
      </c>
      <c r="F316">
        <f>IF(OR(Database!$BJ316="",Screener!$D$11=""),0,IF(Database!$BJ316=Screener!$D$11,1,0))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IF(OR(N(Database!$BE316)&lt;=0,N(Screener!$D$13)&lt;=0),0,MAX(0,1-ABS(LOG10(N(Database!$BE316)/Screener!$D$13))/W_PEHW))</f>
        <v/>
      </c>
      <c r="J316">
        <f>IF(OR(N(Database!$S316)&lt;=0,N(Screener!$D$14)&lt;=0),0,MAX(0,1-ABS(LOG10(Database!$S316/Screener!$D$14))/0.6))</f>
        <v/>
      </c>
      <c r="K316">
        <f>IF(Database!$B316=Screener!$B$5,-999999,IF(ISNUMBER(SEARCH(","&amp;Database!$A316&amp;",",","&amp;SUBSTITUTE(Screener!$D$17," ","")&amp;",")),2000000,IF(IF(OR(Screener!$B$18="All",AND(Screener!$B$18="With A-share",(Database!$BJ316="Y")),AND(Screener!$B$18="Without A-share",NOT((Database!$BJ316="Y")))),1,0)=0,-999999,IF(Screener!$B$16="cornerstone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Database!BD306</f>
        <v/>
      </c>
      <c r="AF316">
        <f>Database!BJ306</f>
        <v/>
      </c>
      <c r="AG316">
        <f>Database!H306</f>
        <v/>
      </c>
      <c r="AH316">
        <f>Database!BE306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IF(OR(Database!$BD317="",Screener!$D$10=""),0,IF(Database!$BD317=Screener!$D$10,1,0))</f>
        <v/>
      </c>
      <c r="F317">
        <f>IF(OR(Database!$BJ317="",Screener!$D$11=""),0,IF(Database!$BJ317=Screener!$D$11,1,0))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IF(OR(N(Database!$BE317)&lt;=0,N(Screener!$D$13)&lt;=0),0,MAX(0,1-ABS(LOG10(N(Database!$BE317)/Screener!$D$13))/W_PEHW))</f>
        <v/>
      </c>
      <c r="J317">
        <f>IF(OR(N(Database!$S317)&lt;=0,N(Screener!$D$14)&lt;=0),0,MAX(0,1-ABS(LOG10(Database!$S317/Screener!$D$14))/0.6))</f>
        <v/>
      </c>
      <c r="K317">
        <f>IF(Database!$B317=Screener!$B$5,-999999,IF(ISNUMBER(SEARCH(","&amp;Database!$A317&amp;",",","&amp;SUBSTITUTE(Screener!$D$17," ","")&amp;",")),2000000,IF(IF(OR(Screener!$B$18="All",AND(Screener!$B$18="With A-share",(Database!$BJ317="Y")),AND(Screener!$B$18="Without A-share",NOT((Database!$BJ317="Y")))),1,0)=0,-999999,IF(Screener!$B$16="cornerstone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Database!BD307</f>
        <v/>
      </c>
      <c r="AF317">
        <f>Database!BJ307</f>
        <v/>
      </c>
      <c r="AG317">
        <f>Database!H307</f>
        <v/>
      </c>
      <c r="AH317">
        <f>Database!BE307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IF(OR(Database!$BD318="",Screener!$D$10=""),0,IF(Database!$BD318=Screener!$D$10,1,0))</f>
        <v/>
      </c>
      <c r="F318">
        <f>IF(OR(Database!$BJ318="",Screener!$D$11=""),0,IF(Database!$BJ318=Screener!$D$11,1,0))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IF(OR(N(Database!$BE318)&lt;=0,N(Screener!$D$13)&lt;=0),0,MAX(0,1-ABS(LOG10(N(Database!$BE318)/Screener!$D$13))/W_PEHW))</f>
        <v/>
      </c>
      <c r="J318">
        <f>IF(OR(N(Database!$S318)&lt;=0,N(Screener!$D$14)&lt;=0),0,MAX(0,1-ABS(LOG10(Database!$S318/Screener!$D$14))/0.6))</f>
        <v/>
      </c>
      <c r="K318">
        <f>IF(Database!$B318=Screener!$B$5,-999999,IF(ISNUMBER(SEARCH(","&amp;Database!$A318&amp;",",","&amp;SUBSTITUTE(Screener!$D$17," ","")&amp;",")),2000000,IF(IF(OR(Screener!$B$18="All",AND(Screener!$B$18="With A-share",(Database!$BJ318="Y")),AND(Screener!$B$18="Without A-share",NOT((Database!$BJ318="Y")))),1,0)=0,-999999,IF(Screener!$B$16="cornerstone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Database!BD308</f>
        <v/>
      </c>
      <c r="AF318">
        <f>Database!BJ308</f>
        <v/>
      </c>
      <c r="AG318">
        <f>Database!H308</f>
        <v/>
      </c>
      <c r="AH318">
        <f>Database!BE308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IF(OR(Database!$BD319="",Screener!$D$10=""),0,IF(Database!$BD319=Screener!$D$10,1,0))</f>
        <v/>
      </c>
      <c r="F319">
        <f>IF(OR(Database!$BJ319="",Screener!$D$11=""),0,IF(Database!$BJ319=Screener!$D$11,1,0))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IF(OR(N(Database!$BE319)&lt;=0,N(Screener!$D$13)&lt;=0),0,MAX(0,1-ABS(LOG10(N(Database!$BE319)/Screener!$D$13))/W_PEHW))</f>
        <v/>
      </c>
      <c r="J319">
        <f>IF(OR(N(Database!$S319)&lt;=0,N(Screener!$D$14)&lt;=0),0,MAX(0,1-ABS(LOG10(Database!$S319/Screener!$D$14))/0.6))</f>
        <v/>
      </c>
      <c r="K319">
        <f>IF(Database!$B319=Screener!$B$5,-999999,IF(ISNUMBER(SEARCH(","&amp;Database!$A319&amp;",",","&amp;SUBSTITUTE(Screener!$D$17," ","")&amp;",")),2000000,IF(IF(OR(Screener!$B$18="All",AND(Screener!$B$18="With A-share",(Database!$BJ319="Y")),AND(Screener!$B$18="Without A-share",NOT((Database!$BJ319="Y")))),1,0)=0,-999999,IF(Screener!$B$16="cornerstone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Database!BD309</f>
        <v/>
      </c>
      <c r="AF319">
        <f>Database!BJ309</f>
        <v/>
      </c>
      <c r="AG319">
        <f>Database!H309</f>
        <v/>
      </c>
      <c r="AH319">
        <f>Database!BE309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IF(OR(Database!$BD320="",Screener!$D$10=""),0,IF(Database!$BD320=Screener!$D$10,1,0))</f>
        <v/>
      </c>
      <c r="F320">
        <f>IF(OR(Database!$BJ320="",Screener!$D$11=""),0,IF(Database!$BJ320=Screener!$D$11,1,0))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IF(OR(N(Database!$BE320)&lt;=0,N(Screener!$D$13)&lt;=0),0,MAX(0,1-ABS(LOG10(N(Database!$BE320)/Screener!$D$13))/W_PEHW))</f>
        <v/>
      </c>
      <c r="J320">
        <f>IF(OR(N(Database!$S320)&lt;=0,N(Screener!$D$14)&lt;=0),0,MAX(0,1-ABS(LOG10(Database!$S320/Screener!$D$14))/0.6))</f>
        <v/>
      </c>
      <c r="K320">
        <f>IF(Database!$B320=Screener!$B$5,-999999,IF(ISNUMBER(SEARCH(","&amp;Database!$A320&amp;",",","&amp;SUBSTITUTE(Screener!$D$17," ","")&amp;",")),2000000,IF(IF(OR(Screener!$B$18="All",AND(Screener!$B$18="With A-share",(Database!$BJ320="Y")),AND(Screener!$B$18="Without A-share",NOT((Database!$BJ320="Y")))),1,0)=0,-999999,IF(Screener!$B$16="cornerstone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Database!BD310</f>
        <v/>
      </c>
      <c r="AF320">
        <f>Database!BJ310</f>
        <v/>
      </c>
      <c r="AG320">
        <f>Database!H310</f>
        <v/>
      </c>
      <c r="AH320">
        <f>Database!BE310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IF(OR(Database!$BD321="",Screener!$D$10=""),0,IF(Database!$BD321=Screener!$D$10,1,0))</f>
        <v/>
      </c>
      <c r="F321">
        <f>IF(OR(Database!$BJ321="",Screener!$D$11=""),0,IF(Database!$BJ321=Screener!$D$11,1,0))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IF(OR(N(Database!$BE321)&lt;=0,N(Screener!$D$13)&lt;=0),0,MAX(0,1-ABS(LOG10(N(Database!$BE321)/Screener!$D$13))/W_PEHW))</f>
        <v/>
      </c>
      <c r="J321">
        <f>IF(OR(N(Database!$S321)&lt;=0,N(Screener!$D$14)&lt;=0),0,MAX(0,1-ABS(LOG10(Database!$S321/Screener!$D$14))/0.6))</f>
        <v/>
      </c>
      <c r="K321">
        <f>IF(Database!$B321=Screener!$B$5,-999999,IF(ISNUMBER(SEARCH(","&amp;Database!$A321&amp;",",","&amp;SUBSTITUTE(Screener!$D$17," ","")&amp;",")),2000000,IF(IF(OR(Screener!$B$18="All",AND(Screener!$B$18="With A-share",(Database!$BJ321="Y")),AND(Screener!$B$18="Without A-share",NOT((Database!$BJ321="Y")))),1,0)=0,-999999,IF(Screener!$B$16="cornerstone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Database!BD311</f>
        <v/>
      </c>
      <c r="AF321">
        <f>Database!BJ311</f>
        <v/>
      </c>
      <c r="AG321">
        <f>Database!H311</f>
        <v/>
      </c>
      <c r="AH321">
        <f>Database!BE311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IF(OR(Database!$BD322="",Screener!$D$10=""),0,IF(Database!$BD322=Screener!$D$10,1,0))</f>
        <v/>
      </c>
      <c r="F322">
        <f>IF(OR(Database!$BJ322="",Screener!$D$11=""),0,IF(Database!$BJ322=Screener!$D$11,1,0))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IF(OR(N(Database!$BE322)&lt;=0,N(Screener!$D$13)&lt;=0),0,MAX(0,1-ABS(LOG10(N(Database!$BE322)/Screener!$D$13))/W_PEHW))</f>
        <v/>
      </c>
      <c r="J322">
        <f>IF(OR(N(Database!$S322)&lt;=0,N(Screener!$D$14)&lt;=0),0,MAX(0,1-ABS(LOG10(Database!$S322/Screener!$D$14))/0.6))</f>
        <v/>
      </c>
      <c r="K322">
        <f>IF(Database!$B322=Screener!$B$5,-999999,IF(ISNUMBER(SEARCH(","&amp;Database!$A322&amp;",",","&amp;SUBSTITUTE(Screener!$D$17," ","")&amp;",")),2000000,IF(IF(OR(Screener!$B$18="All",AND(Screener!$B$18="With A-share",(Database!$BJ322="Y")),AND(Screener!$B$18="Without A-share",NOT((Database!$BJ322="Y")))),1,0)=0,-999999,IF(Screener!$B$16="cornerstone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Database!BD312</f>
        <v/>
      </c>
      <c r="AF322">
        <f>Database!BJ312</f>
        <v/>
      </c>
      <c r="AG322">
        <f>Database!H312</f>
        <v/>
      </c>
      <c r="AH322">
        <f>Database!BE312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IF(OR(Database!$BD323="",Screener!$D$10=""),0,IF(Database!$BD323=Screener!$D$10,1,0))</f>
        <v/>
      </c>
      <c r="F323">
        <f>IF(OR(Database!$BJ323="",Screener!$D$11=""),0,IF(Database!$BJ323=Screener!$D$11,1,0))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IF(OR(N(Database!$BE323)&lt;=0,N(Screener!$D$13)&lt;=0),0,MAX(0,1-ABS(LOG10(N(Database!$BE323)/Screener!$D$13))/W_PEHW))</f>
        <v/>
      </c>
      <c r="J323">
        <f>IF(OR(N(Database!$S323)&lt;=0,N(Screener!$D$14)&lt;=0),0,MAX(0,1-ABS(LOG10(Database!$S323/Screener!$D$14))/0.6))</f>
        <v/>
      </c>
      <c r="K323">
        <f>IF(Database!$B323=Screener!$B$5,-999999,IF(ISNUMBER(SEARCH(","&amp;Database!$A323&amp;",",","&amp;SUBSTITUTE(Screener!$D$17," ","")&amp;",")),2000000,IF(IF(OR(Screener!$B$18="All",AND(Screener!$B$18="With A-share",(Database!$BJ323="Y")),AND(Screener!$B$18="Without A-share",NOT((Database!$BJ323="Y")))),1,0)=0,-999999,IF(Screener!$B$16="cornerstone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Database!BD313</f>
        <v/>
      </c>
      <c r="AF323">
        <f>Database!BJ313</f>
        <v/>
      </c>
      <c r="AG323">
        <f>Database!H313</f>
        <v/>
      </c>
      <c r="AH323">
        <f>Database!BE313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IF(OR(Database!$BD324="",Screener!$D$10=""),0,IF(Database!$BD324=Screener!$D$10,1,0))</f>
        <v/>
      </c>
      <c r="F324">
        <f>IF(OR(Database!$BJ324="",Screener!$D$11=""),0,IF(Database!$BJ324=Screener!$D$11,1,0))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IF(OR(N(Database!$BE324)&lt;=0,N(Screener!$D$13)&lt;=0),0,MAX(0,1-ABS(LOG10(N(Database!$BE324)/Screener!$D$13))/W_PEHW))</f>
        <v/>
      </c>
      <c r="J324">
        <f>IF(OR(N(Database!$S324)&lt;=0,N(Screener!$D$14)&lt;=0),0,MAX(0,1-ABS(LOG10(Database!$S324/Screener!$D$14))/0.6))</f>
        <v/>
      </c>
      <c r="K324">
        <f>IF(Database!$B324=Screener!$B$5,-999999,IF(ISNUMBER(SEARCH(","&amp;Database!$A324&amp;",",","&amp;SUBSTITUTE(Screener!$D$17," ","")&amp;",")),2000000,IF(IF(OR(Screener!$B$18="All",AND(Screener!$B$18="With A-share",(Database!$BJ324="Y")),AND(Screener!$B$18="Without A-share",NOT((Database!$BJ324="Y")))),1,0)=0,-999999,IF(Screener!$B$16="cornerstone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Database!BD314</f>
        <v/>
      </c>
      <c r="AF324">
        <f>Database!BJ314</f>
        <v/>
      </c>
      <c r="AG324">
        <f>Database!H314</f>
        <v/>
      </c>
      <c r="AH324">
        <f>Database!BE314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IF(OR(Database!$BD325="",Screener!$D$10=""),0,IF(Database!$BD325=Screener!$D$10,1,0))</f>
        <v/>
      </c>
      <c r="F325">
        <f>IF(OR(Database!$BJ325="",Screener!$D$11=""),0,IF(Database!$BJ325=Screener!$D$11,1,0))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IF(OR(N(Database!$BE325)&lt;=0,N(Screener!$D$13)&lt;=0),0,MAX(0,1-ABS(LOG10(N(Database!$BE325)/Screener!$D$13))/W_PEHW))</f>
        <v/>
      </c>
      <c r="J325">
        <f>IF(OR(N(Database!$S325)&lt;=0,N(Screener!$D$14)&lt;=0),0,MAX(0,1-ABS(LOG10(Database!$S325/Screener!$D$14))/0.6))</f>
        <v/>
      </c>
      <c r="K325">
        <f>IF(Database!$B325=Screener!$B$5,-999999,IF(ISNUMBER(SEARCH(","&amp;Database!$A325&amp;",",","&amp;SUBSTITUTE(Screener!$D$17," ","")&amp;",")),2000000,IF(IF(OR(Screener!$B$18="All",AND(Screener!$B$18="With A-share",(Database!$BJ325="Y")),AND(Screener!$B$18="Without A-share",NOT((Database!$BJ325="Y")))),1,0)=0,-999999,IF(Screener!$B$16="cornerstone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Database!BD315</f>
        <v/>
      </c>
      <c r="AF325">
        <f>Database!BJ315</f>
        <v/>
      </c>
      <c r="AG325">
        <f>Database!H315</f>
        <v/>
      </c>
      <c r="AH325">
        <f>Database!BE315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IF(OR(Database!$BD326="",Screener!$D$10=""),0,IF(Database!$BD326=Screener!$D$10,1,0))</f>
        <v/>
      </c>
      <c r="F326">
        <f>IF(OR(Database!$BJ326="",Screener!$D$11=""),0,IF(Database!$BJ326=Screener!$D$11,1,0))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IF(OR(N(Database!$BE326)&lt;=0,N(Screener!$D$13)&lt;=0),0,MAX(0,1-ABS(LOG10(N(Database!$BE326)/Screener!$D$13))/W_PEHW))</f>
        <v/>
      </c>
      <c r="J326">
        <f>IF(OR(N(Database!$S326)&lt;=0,N(Screener!$D$14)&lt;=0),0,MAX(0,1-ABS(LOG10(Database!$S326/Screener!$D$14))/0.6))</f>
        <v/>
      </c>
      <c r="K326">
        <f>IF(Database!$B326=Screener!$B$5,-999999,IF(ISNUMBER(SEARCH(","&amp;Database!$A326&amp;",",","&amp;SUBSTITUTE(Screener!$D$17," ","")&amp;",")),2000000,IF(IF(OR(Screener!$B$18="All",AND(Screener!$B$18="With A-share",(Database!$BJ326="Y")),AND(Screener!$B$18="Without A-share",NOT((Database!$BJ326="Y")))),1,0)=0,-999999,IF(Screener!$B$16="cornerstone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Database!BD316</f>
        <v/>
      </c>
      <c r="AF326">
        <f>Database!BJ316</f>
        <v/>
      </c>
      <c r="AG326">
        <f>Database!H316</f>
        <v/>
      </c>
      <c r="AH326">
        <f>Database!BE316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IF(OR(Database!$BD327="",Screener!$D$10=""),0,IF(Database!$BD327=Screener!$D$10,1,0))</f>
        <v/>
      </c>
      <c r="F327">
        <f>IF(OR(Database!$BJ327="",Screener!$D$11=""),0,IF(Database!$BJ327=Screener!$D$11,1,0))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IF(OR(N(Database!$BE327)&lt;=0,N(Screener!$D$13)&lt;=0),0,MAX(0,1-ABS(LOG10(N(Database!$BE327)/Screener!$D$13))/W_PEHW))</f>
        <v/>
      </c>
      <c r="J327">
        <f>IF(OR(N(Database!$S327)&lt;=0,N(Screener!$D$14)&lt;=0),0,MAX(0,1-ABS(LOG10(Database!$S327/Screener!$D$14))/0.6))</f>
        <v/>
      </c>
      <c r="K327">
        <f>IF(Database!$B327=Screener!$B$5,-999999,IF(ISNUMBER(SEARCH(","&amp;Database!$A327&amp;",",","&amp;SUBSTITUTE(Screener!$D$17," ","")&amp;",")),2000000,IF(IF(OR(Screener!$B$18="All",AND(Screener!$B$18="With A-share",(Database!$BJ327="Y")),AND(Screener!$B$18="Without A-share",NOT((Database!$BJ327="Y")))),1,0)=0,-999999,IF(Screener!$B$16="cornerstone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Database!BD317</f>
        <v/>
      </c>
      <c r="AF327">
        <f>Database!BJ317</f>
        <v/>
      </c>
      <c r="AG327">
        <f>Database!H317</f>
        <v/>
      </c>
      <c r="AH327">
        <f>Database!BE317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IF(OR(Database!$BD328="",Screener!$D$10=""),0,IF(Database!$BD328=Screener!$D$10,1,0))</f>
        <v/>
      </c>
      <c r="F328">
        <f>IF(OR(Database!$BJ328="",Screener!$D$11=""),0,IF(Database!$BJ328=Screener!$D$11,1,0))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IF(OR(N(Database!$BE328)&lt;=0,N(Screener!$D$13)&lt;=0),0,MAX(0,1-ABS(LOG10(N(Database!$BE328)/Screener!$D$13))/W_PEHW))</f>
        <v/>
      </c>
      <c r="J328">
        <f>IF(OR(N(Database!$S328)&lt;=0,N(Screener!$D$14)&lt;=0),0,MAX(0,1-ABS(LOG10(Database!$S328/Screener!$D$14))/0.6))</f>
        <v/>
      </c>
      <c r="K328">
        <f>IF(Database!$B328=Screener!$B$5,-999999,IF(ISNUMBER(SEARCH(","&amp;Database!$A328&amp;",",","&amp;SUBSTITUTE(Screener!$D$17," ","")&amp;",")),2000000,IF(IF(OR(Screener!$B$18="All",AND(Screener!$B$18="With A-share",(Database!$BJ328="Y")),AND(Screener!$B$18="Without A-share",NOT((Database!$BJ328="Y")))),1,0)=0,-999999,IF(Screener!$B$16="cornerstone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Database!BD318</f>
        <v/>
      </c>
      <c r="AF328">
        <f>Database!BJ318</f>
        <v/>
      </c>
      <c r="AG328">
        <f>Database!H318</f>
        <v/>
      </c>
      <c r="AH328">
        <f>Database!BE318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IF(OR(Database!$BD329="",Screener!$D$10=""),0,IF(Database!$BD329=Screener!$D$10,1,0))</f>
        <v/>
      </c>
      <c r="F329">
        <f>IF(OR(Database!$BJ329="",Screener!$D$11=""),0,IF(Database!$BJ329=Screener!$D$11,1,0))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IF(OR(N(Database!$BE329)&lt;=0,N(Screener!$D$13)&lt;=0),0,MAX(0,1-ABS(LOG10(N(Database!$BE329)/Screener!$D$13))/W_PEHW))</f>
        <v/>
      </c>
      <c r="J329">
        <f>IF(OR(N(Database!$S329)&lt;=0,N(Screener!$D$14)&lt;=0),0,MAX(0,1-ABS(LOG10(Database!$S329/Screener!$D$14))/0.6))</f>
        <v/>
      </c>
      <c r="K329">
        <f>IF(Database!$B329=Screener!$B$5,-999999,IF(ISNUMBER(SEARCH(","&amp;Database!$A329&amp;",",","&amp;SUBSTITUTE(Screener!$D$17," ","")&amp;",")),2000000,IF(IF(OR(Screener!$B$18="All",AND(Screener!$B$18="With A-share",(Database!$BJ329="Y")),AND(Screener!$B$18="Without A-share",NOT((Database!$BJ329="Y")))),1,0)=0,-999999,IF(Screener!$B$16="cornerstone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Database!BD319</f>
        <v/>
      </c>
      <c r="AF329">
        <f>Database!BJ319</f>
        <v/>
      </c>
      <c r="AG329">
        <f>Database!H319</f>
        <v/>
      </c>
      <c r="AH329">
        <f>Database!BE319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IF(OR(Database!$BD330="",Screener!$D$10=""),0,IF(Database!$BD330=Screener!$D$10,1,0))</f>
        <v/>
      </c>
      <c r="F330">
        <f>IF(OR(Database!$BJ330="",Screener!$D$11=""),0,IF(Database!$BJ330=Screener!$D$11,1,0))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IF(OR(N(Database!$BE330)&lt;=0,N(Screener!$D$13)&lt;=0),0,MAX(0,1-ABS(LOG10(N(Database!$BE330)/Screener!$D$13))/W_PEHW))</f>
        <v/>
      </c>
      <c r="J330">
        <f>IF(OR(N(Database!$S330)&lt;=0,N(Screener!$D$14)&lt;=0),0,MAX(0,1-ABS(LOG10(Database!$S330/Screener!$D$14))/0.6))</f>
        <v/>
      </c>
      <c r="K330">
        <f>IF(Database!$B330=Screener!$B$5,-999999,IF(ISNUMBER(SEARCH(","&amp;Database!$A330&amp;",",","&amp;SUBSTITUTE(Screener!$D$17," ","")&amp;",")),2000000,IF(IF(OR(Screener!$B$18="All",AND(Screener!$B$18="With A-share",(Database!$BJ330="Y")),AND(Screener!$B$18="Without A-share",NOT((Database!$BJ330="Y")))),1,0)=0,-999999,IF(Screener!$B$16="cornerstone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Database!BD320</f>
        <v/>
      </c>
      <c r="AF330">
        <f>Database!BJ320</f>
        <v/>
      </c>
      <c r="AG330">
        <f>Database!H320</f>
        <v/>
      </c>
      <c r="AH330">
        <f>Database!BE320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IF(OR(Database!$BD331="",Screener!$D$10=""),0,IF(Database!$BD331=Screener!$D$10,1,0))</f>
        <v/>
      </c>
      <c r="F331">
        <f>IF(OR(Database!$BJ331="",Screener!$D$11=""),0,IF(Database!$BJ331=Screener!$D$11,1,0))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IF(OR(N(Database!$BE331)&lt;=0,N(Screener!$D$13)&lt;=0),0,MAX(0,1-ABS(LOG10(N(Database!$BE331)/Screener!$D$13))/W_PEHW))</f>
        <v/>
      </c>
      <c r="J331">
        <f>IF(OR(N(Database!$S331)&lt;=0,N(Screener!$D$14)&lt;=0),0,MAX(0,1-ABS(LOG10(Database!$S331/Screener!$D$14))/0.6))</f>
        <v/>
      </c>
      <c r="K331">
        <f>IF(Database!$B331=Screener!$B$5,-999999,IF(ISNUMBER(SEARCH(","&amp;Database!$A331&amp;",",","&amp;SUBSTITUTE(Screener!$D$17," ","")&amp;",")),2000000,IF(IF(OR(Screener!$B$18="All",AND(Screener!$B$18="With A-share",(Database!$BJ331="Y")),AND(Screener!$B$18="Without A-share",NOT((Database!$BJ331="Y")))),1,0)=0,-999999,IF(Screener!$B$16="cornerstone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Database!BD321</f>
        <v/>
      </c>
      <c r="AF331">
        <f>Database!BJ321</f>
        <v/>
      </c>
      <c r="AG331">
        <f>Database!H321</f>
        <v/>
      </c>
      <c r="AH331">
        <f>Database!BE321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IF(OR(Database!$BD332="",Screener!$D$10=""),0,IF(Database!$BD332=Screener!$D$10,1,0))</f>
        <v/>
      </c>
      <c r="F332">
        <f>IF(OR(Database!$BJ332="",Screener!$D$11=""),0,IF(Database!$BJ332=Screener!$D$11,1,0))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IF(OR(N(Database!$BE332)&lt;=0,N(Screener!$D$13)&lt;=0),0,MAX(0,1-ABS(LOG10(N(Database!$BE332)/Screener!$D$13))/W_PEHW))</f>
        <v/>
      </c>
      <c r="J332">
        <f>IF(OR(N(Database!$S332)&lt;=0,N(Screener!$D$14)&lt;=0),0,MAX(0,1-ABS(LOG10(Database!$S332/Screener!$D$14))/0.6))</f>
        <v/>
      </c>
      <c r="K332">
        <f>IF(Database!$B332=Screener!$B$5,-999999,IF(ISNUMBER(SEARCH(","&amp;Database!$A332&amp;",",","&amp;SUBSTITUTE(Screener!$D$17," ","")&amp;",")),2000000,IF(IF(OR(Screener!$B$18="All",AND(Screener!$B$18="With A-share",(Database!$BJ332="Y")),AND(Screener!$B$18="Without A-share",NOT((Database!$BJ332="Y")))),1,0)=0,-999999,IF(Screener!$B$16="cornerstone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Database!BD322</f>
        <v/>
      </c>
      <c r="AF332">
        <f>Database!BJ322</f>
        <v/>
      </c>
      <c r="AG332">
        <f>Database!H322</f>
        <v/>
      </c>
      <c r="AH332">
        <f>Database!BE322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IF(OR(Database!$BD333="",Screener!$D$10=""),0,IF(Database!$BD333=Screener!$D$10,1,0))</f>
        <v/>
      </c>
      <c r="F333">
        <f>IF(OR(Database!$BJ333="",Screener!$D$11=""),0,IF(Database!$BJ333=Screener!$D$11,1,0))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IF(OR(N(Database!$BE333)&lt;=0,N(Screener!$D$13)&lt;=0),0,MAX(0,1-ABS(LOG10(N(Database!$BE333)/Screener!$D$13))/W_PEHW))</f>
        <v/>
      </c>
      <c r="J333">
        <f>IF(OR(N(Database!$S333)&lt;=0,N(Screener!$D$14)&lt;=0),0,MAX(0,1-ABS(LOG10(Database!$S333/Screener!$D$14))/0.6))</f>
        <v/>
      </c>
      <c r="K333">
        <f>IF(Database!$B333=Screener!$B$5,-999999,IF(ISNUMBER(SEARCH(","&amp;Database!$A333&amp;",",","&amp;SUBSTITUTE(Screener!$D$17," ","")&amp;",")),2000000,IF(IF(OR(Screener!$B$18="All",AND(Screener!$B$18="With A-share",(Database!$BJ333="Y")),AND(Screener!$B$18="Without A-share",NOT((Database!$BJ333="Y")))),1,0)=0,-999999,IF(Screener!$B$16="cornerstone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Database!BD323</f>
        <v/>
      </c>
      <c r="AF333">
        <f>Database!BJ323</f>
        <v/>
      </c>
      <c r="AG333">
        <f>Database!H323</f>
        <v/>
      </c>
      <c r="AH333">
        <f>Database!BE323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IF(OR(Database!$BD334="",Screener!$D$10=""),0,IF(Database!$BD334=Screener!$D$10,1,0))</f>
        <v/>
      </c>
      <c r="F334">
        <f>IF(OR(Database!$BJ334="",Screener!$D$11=""),0,IF(Database!$BJ334=Screener!$D$11,1,0))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IF(OR(N(Database!$BE334)&lt;=0,N(Screener!$D$13)&lt;=0),0,MAX(0,1-ABS(LOG10(N(Database!$BE334)/Screener!$D$13))/W_PEHW))</f>
        <v/>
      </c>
      <c r="J334">
        <f>IF(OR(N(Database!$S334)&lt;=0,N(Screener!$D$14)&lt;=0),0,MAX(0,1-ABS(LOG10(Database!$S334/Screener!$D$14))/0.6))</f>
        <v/>
      </c>
      <c r="K334">
        <f>IF(Database!$B334=Screener!$B$5,-999999,IF(ISNUMBER(SEARCH(","&amp;Database!$A334&amp;",",","&amp;SUBSTITUTE(Screener!$D$17," ","")&amp;",")),2000000,IF(IF(OR(Screener!$B$18="All",AND(Screener!$B$18="With A-share",(Database!$BJ334="Y")),AND(Screener!$B$18="Without A-share",NOT((Database!$BJ334="Y")))),1,0)=0,-999999,IF(Screener!$B$16="cornerstone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Database!BD324</f>
        <v/>
      </c>
      <c r="AF334">
        <f>Database!BJ324</f>
        <v/>
      </c>
      <c r="AG334">
        <f>Database!H324</f>
        <v/>
      </c>
      <c r="AH334">
        <f>Database!BE324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IF(OR(Database!$BD335="",Screener!$D$10=""),0,IF(Database!$BD335=Screener!$D$10,1,0))</f>
        <v/>
      </c>
      <c r="F335">
        <f>IF(OR(Database!$BJ335="",Screener!$D$11=""),0,IF(Database!$BJ335=Screener!$D$11,1,0))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IF(OR(N(Database!$BE335)&lt;=0,N(Screener!$D$13)&lt;=0),0,MAX(0,1-ABS(LOG10(N(Database!$BE335)/Screener!$D$13))/W_PEHW))</f>
        <v/>
      </c>
      <c r="J335">
        <f>IF(OR(N(Database!$S335)&lt;=0,N(Screener!$D$14)&lt;=0),0,MAX(0,1-ABS(LOG10(Database!$S335/Screener!$D$14))/0.6))</f>
        <v/>
      </c>
      <c r="K335">
        <f>IF(Database!$B335=Screener!$B$5,-999999,IF(ISNUMBER(SEARCH(","&amp;Database!$A335&amp;",",","&amp;SUBSTITUTE(Screener!$D$17," ","")&amp;",")),2000000,IF(IF(OR(Screener!$B$18="All",AND(Screener!$B$18="With A-share",(Database!$BJ335="Y")),AND(Screener!$B$18="Without A-share",NOT((Database!$BJ335="Y")))),1,0)=0,-999999,IF(Screener!$B$16="cornerstone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Database!BD325</f>
        <v/>
      </c>
      <c r="AF335">
        <f>Database!BJ325</f>
        <v/>
      </c>
      <c r="AG335">
        <f>Database!H325</f>
        <v/>
      </c>
      <c r="AH335">
        <f>Database!BE325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IF(OR(Database!$BD336="",Screener!$D$10=""),0,IF(Database!$BD336=Screener!$D$10,1,0))</f>
        <v/>
      </c>
      <c r="F336">
        <f>IF(OR(Database!$BJ336="",Screener!$D$11=""),0,IF(Database!$BJ336=Screener!$D$11,1,0))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IF(OR(N(Database!$BE336)&lt;=0,N(Screener!$D$13)&lt;=0),0,MAX(0,1-ABS(LOG10(N(Database!$BE336)/Screener!$D$13))/W_PEHW))</f>
        <v/>
      </c>
      <c r="J336">
        <f>IF(OR(N(Database!$S336)&lt;=0,N(Screener!$D$14)&lt;=0),0,MAX(0,1-ABS(LOG10(Database!$S336/Screener!$D$14))/0.6))</f>
        <v/>
      </c>
      <c r="K336">
        <f>IF(Database!$B336=Screener!$B$5,-999999,IF(ISNUMBER(SEARCH(","&amp;Database!$A336&amp;",",","&amp;SUBSTITUTE(Screener!$D$17," ","")&amp;",")),2000000,IF(IF(OR(Screener!$B$18="All",AND(Screener!$B$18="With A-share",(Database!$BJ336="Y")),AND(Screener!$B$18="Without A-share",NOT((Database!$BJ336="Y")))),1,0)=0,-999999,IF(Screener!$B$16="cornerstone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Database!BD326</f>
        <v/>
      </c>
      <c r="AF336">
        <f>Database!BJ326</f>
        <v/>
      </c>
      <c r="AG336">
        <f>Database!H326</f>
        <v/>
      </c>
      <c r="AH336">
        <f>Database!BE326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IF(OR(Database!$BD337="",Screener!$D$10=""),0,IF(Database!$BD337=Screener!$D$10,1,0))</f>
        <v/>
      </c>
      <c r="F337">
        <f>IF(OR(Database!$BJ337="",Screener!$D$11=""),0,IF(Database!$BJ337=Screener!$D$11,1,0))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IF(OR(N(Database!$BE337)&lt;=0,N(Screener!$D$13)&lt;=0),0,MAX(0,1-ABS(LOG10(N(Database!$BE337)/Screener!$D$13))/W_PEHW))</f>
        <v/>
      </c>
      <c r="J337">
        <f>IF(OR(N(Database!$S337)&lt;=0,N(Screener!$D$14)&lt;=0),0,MAX(0,1-ABS(LOG10(Database!$S337/Screener!$D$14))/0.6))</f>
        <v/>
      </c>
      <c r="K337">
        <f>IF(Database!$B337=Screener!$B$5,-999999,IF(ISNUMBER(SEARCH(","&amp;Database!$A337&amp;",",","&amp;SUBSTITUTE(Screener!$D$17," ","")&amp;",")),2000000,IF(IF(OR(Screener!$B$18="All",AND(Screener!$B$18="With A-share",(Database!$BJ337="Y")),AND(Screener!$B$18="Without A-share",NOT((Database!$BJ337="Y")))),1,0)=0,-999999,IF(Screener!$B$16="cornerstone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Database!BD327</f>
        <v/>
      </c>
      <c r="AF337">
        <f>Database!BJ327</f>
        <v/>
      </c>
      <c r="AG337">
        <f>Database!H327</f>
        <v/>
      </c>
      <c r="AH337">
        <f>Database!BE327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IF(OR(Database!$BD338="",Screener!$D$10=""),0,IF(Database!$BD338=Screener!$D$10,1,0))</f>
        <v/>
      </c>
      <c r="F338">
        <f>IF(OR(Database!$BJ338="",Screener!$D$11=""),0,IF(Database!$BJ338=Screener!$D$11,1,0))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IF(OR(N(Database!$BE338)&lt;=0,N(Screener!$D$13)&lt;=0),0,MAX(0,1-ABS(LOG10(N(Database!$BE338)/Screener!$D$13))/W_PEHW))</f>
        <v/>
      </c>
      <c r="J338">
        <f>IF(OR(N(Database!$S338)&lt;=0,N(Screener!$D$14)&lt;=0),0,MAX(0,1-ABS(LOG10(Database!$S338/Screener!$D$14))/0.6))</f>
        <v/>
      </c>
      <c r="K338">
        <f>IF(Database!$B338=Screener!$B$5,-999999,IF(ISNUMBER(SEARCH(","&amp;Database!$A338&amp;",",","&amp;SUBSTITUTE(Screener!$D$17," ","")&amp;",")),2000000,IF(IF(OR(Screener!$B$18="All",AND(Screener!$B$18="With A-share",(Database!$BJ338="Y")),AND(Screener!$B$18="Without A-share",NOT((Database!$BJ338="Y")))),1,0)=0,-999999,IF(Screener!$B$16="cornerstone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Database!BD328</f>
        <v/>
      </c>
      <c r="AF338">
        <f>Database!BJ328</f>
        <v/>
      </c>
      <c r="AG338">
        <f>Database!H328</f>
        <v/>
      </c>
      <c r="AH338">
        <f>Database!BE328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IF(OR(Database!$BD339="",Screener!$D$10=""),0,IF(Database!$BD339=Screener!$D$10,1,0))</f>
        <v/>
      </c>
      <c r="F339">
        <f>IF(OR(Database!$BJ339="",Screener!$D$11=""),0,IF(Database!$BJ339=Screener!$D$11,1,0))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IF(OR(N(Database!$BE339)&lt;=0,N(Screener!$D$13)&lt;=0),0,MAX(0,1-ABS(LOG10(N(Database!$BE339)/Screener!$D$13))/W_PEHW))</f>
        <v/>
      </c>
      <c r="J339">
        <f>IF(OR(N(Database!$S339)&lt;=0,N(Screener!$D$14)&lt;=0),0,MAX(0,1-ABS(LOG10(Database!$S339/Screener!$D$14))/0.6))</f>
        <v/>
      </c>
      <c r="K339">
        <f>IF(Database!$B339=Screener!$B$5,-999999,IF(ISNUMBER(SEARCH(","&amp;Database!$A339&amp;",",","&amp;SUBSTITUTE(Screener!$D$17," ","")&amp;",")),2000000,IF(IF(OR(Screener!$B$18="All",AND(Screener!$B$18="With A-share",(Database!$BJ339="Y")),AND(Screener!$B$18="Without A-share",NOT((Database!$BJ339="Y")))),1,0)=0,-999999,IF(Screener!$B$16="cornerstone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Database!BD329</f>
        <v/>
      </c>
      <c r="AF339">
        <f>Database!BJ329</f>
        <v/>
      </c>
      <c r="AG339">
        <f>Database!H329</f>
        <v/>
      </c>
      <c r="AH339">
        <f>Database!BE329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IF(OR(Database!$BD340="",Screener!$D$10=""),0,IF(Database!$BD340=Screener!$D$10,1,0))</f>
        <v/>
      </c>
      <c r="F340">
        <f>IF(OR(Database!$BJ340="",Screener!$D$11=""),0,IF(Database!$BJ340=Screener!$D$11,1,0))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IF(OR(N(Database!$BE340)&lt;=0,N(Screener!$D$13)&lt;=0),0,MAX(0,1-ABS(LOG10(N(Database!$BE340)/Screener!$D$13))/W_PEHW))</f>
        <v/>
      </c>
      <c r="J340">
        <f>IF(OR(N(Database!$S340)&lt;=0,N(Screener!$D$14)&lt;=0),0,MAX(0,1-ABS(LOG10(Database!$S340/Screener!$D$14))/0.6))</f>
        <v/>
      </c>
      <c r="K340">
        <f>IF(Database!$B340=Screener!$B$5,-999999,IF(ISNUMBER(SEARCH(","&amp;Database!$A340&amp;",",","&amp;SUBSTITUTE(Screener!$D$17," ","")&amp;",")),2000000,IF(IF(OR(Screener!$B$18="All",AND(Screener!$B$18="With A-share",(Database!$BJ340="Y")),AND(Screener!$B$18="Without A-share",NOT((Database!$BJ340="Y")))),1,0)=0,-999999,IF(Screener!$B$16="cornerstone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Database!BD330</f>
        <v/>
      </c>
      <c r="AF340">
        <f>Database!BJ330</f>
        <v/>
      </c>
      <c r="AG340">
        <f>Database!H330</f>
        <v/>
      </c>
      <c r="AH340">
        <f>Database!BE330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IF(OR(Database!$BD341="",Screener!$D$10=""),0,IF(Database!$BD341=Screener!$D$10,1,0))</f>
        <v/>
      </c>
      <c r="F341">
        <f>IF(OR(Database!$BJ341="",Screener!$D$11=""),0,IF(Database!$BJ341=Screener!$D$11,1,0))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IF(OR(N(Database!$BE341)&lt;=0,N(Screener!$D$13)&lt;=0),0,MAX(0,1-ABS(LOG10(N(Database!$BE341)/Screener!$D$13))/W_PEHW))</f>
        <v/>
      </c>
      <c r="J341">
        <f>IF(OR(N(Database!$S341)&lt;=0,N(Screener!$D$14)&lt;=0),0,MAX(0,1-ABS(LOG10(Database!$S341/Screener!$D$14))/0.6))</f>
        <v/>
      </c>
      <c r="K341">
        <f>IF(Database!$B341=Screener!$B$5,-999999,IF(ISNUMBER(SEARCH(","&amp;Database!$A341&amp;",",","&amp;SUBSTITUTE(Screener!$D$17," ","")&amp;",")),2000000,IF(IF(OR(Screener!$B$18="All",AND(Screener!$B$18="With A-share",(Database!$BJ341="Y")),AND(Screener!$B$18="Without A-share",NOT((Database!$BJ341="Y")))),1,0)=0,-999999,IF(Screener!$B$16="cornerstone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Database!BD331</f>
        <v/>
      </c>
      <c r="AF341">
        <f>Database!BJ331</f>
        <v/>
      </c>
      <c r="AG341">
        <f>Database!H331</f>
        <v/>
      </c>
      <c r="AH341">
        <f>Database!BE331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IF(OR(Database!$BD342="",Screener!$D$10=""),0,IF(Database!$BD342=Screener!$D$10,1,0))</f>
        <v/>
      </c>
      <c r="F342">
        <f>IF(OR(Database!$BJ342="",Screener!$D$11=""),0,IF(Database!$BJ342=Screener!$D$11,1,0))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IF(OR(N(Database!$BE342)&lt;=0,N(Screener!$D$13)&lt;=0),0,MAX(0,1-ABS(LOG10(N(Database!$BE342)/Screener!$D$13))/W_PEHW))</f>
        <v/>
      </c>
      <c r="J342">
        <f>IF(OR(N(Database!$S342)&lt;=0,N(Screener!$D$14)&lt;=0),0,MAX(0,1-ABS(LOG10(Database!$S342/Screener!$D$14))/0.6))</f>
        <v/>
      </c>
      <c r="K342">
        <f>IF(Database!$B342=Screener!$B$5,-999999,IF(ISNUMBER(SEARCH(","&amp;Database!$A342&amp;",",","&amp;SUBSTITUTE(Screener!$D$17," ","")&amp;",")),2000000,IF(IF(OR(Screener!$B$18="All",AND(Screener!$B$18="With A-share",(Database!$BJ342="Y")),AND(Screener!$B$18="Without A-share",NOT((Database!$BJ342="Y")))),1,0)=0,-999999,IF(Screener!$B$16="cornerstone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Database!BD332</f>
        <v/>
      </c>
      <c r="AF342">
        <f>Database!BJ332</f>
        <v/>
      </c>
      <c r="AG342">
        <f>Database!H332</f>
        <v/>
      </c>
      <c r="AH342">
        <f>Database!BE332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IF(OR(Database!$BD343="",Screener!$D$10=""),0,IF(Database!$BD343=Screener!$D$10,1,0))</f>
        <v/>
      </c>
      <c r="F343">
        <f>IF(OR(Database!$BJ343="",Screener!$D$11=""),0,IF(Database!$BJ343=Screener!$D$11,1,0))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IF(OR(N(Database!$BE343)&lt;=0,N(Screener!$D$13)&lt;=0),0,MAX(0,1-ABS(LOG10(N(Database!$BE343)/Screener!$D$13))/W_PEHW))</f>
        <v/>
      </c>
      <c r="J343">
        <f>IF(OR(N(Database!$S343)&lt;=0,N(Screener!$D$14)&lt;=0),0,MAX(0,1-ABS(LOG10(Database!$S343/Screener!$D$14))/0.6))</f>
        <v/>
      </c>
      <c r="K343">
        <f>IF(Database!$B343=Screener!$B$5,-999999,IF(ISNUMBER(SEARCH(","&amp;Database!$A343&amp;",",","&amp;SUBSTITUTE(Screener!$D$17," ","")&amp;",")),2000000,IF(IF(OR(Screener!$B$18="All",AND(Screener!$B$18="With A-share",(Database!$BJ343="Y")),AND(Screener!$B$18="Without A-share",NOT((Database!$BJ343="Y")))),1,0)=0,-999999,IF(Screener!$B$16="cornerstone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Database!BD333</f>
        <v/>
      </c>
      <c r="AF343">
        <f>Database!BJ333</f>
        <v/>
      </c>
      <c r="AG343">
        <f>Database!H333</f>
        <v/>
      </c>
      <c r="AH343">
        <f>Database!BE333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IF(OR(Database!$BD344="",Screener!$D$10=""),0,IF(Database!$BD344=Screener!$D$10,1,0))</f>
        <v/>
      </c>
      <c r="F344">
        <f>IF(OR(Database!$BJ344="",Screener!$D$11=""),0,IF(Database!$BJ344=Screener!$D$11,1,0))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IF(OR(N(Database!$BE344)&lt;=0,N(Screener!$D$13)&lt;=0),0,MAX(0,1-ABS(LOG10(N(Database!$BE344)/Screener!$D$13))/W_PEHW))</f>
        <v/>
      </c>
      <c r="J344">
        <f>IF(OR(N(Database!$S344)&lt;=0,N(Screener!$D$14)&lt;=0),0,MAX(0,1-ABS(LOG10(Database!$S344/Screener!$D$14))/0.6))</f>
        <v/>
      </c>
      <c r="K344">
        <f>IF(Database!$B344=Screener!$B$5,-999999,IF(ISNUMBER(SEARCH(","&amp;Database!$A344&amp;",",","&amp;SUBSTITUTE(Screener!$D$17," ","")&amp;",")),2000000,IF(IF(OR(Screener!$B$18="All",AND(Screener!$B$18="With A-share",(Database!$BJ344="Y")),AND(Screener!$B$18="Without A-share",NOT((Database!$BJ344="Y")))),1,0)=0,-999999,IF(Screener!$B$16="cornerstone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Database!BD334</f>
        <v/>
      </c>
      <c r="AF344">
        <f>Database!BJ334</f>
        <v/>
      </c>
      <c r="AG344">
        <f>Database!H334</f>
        <v/>
      </c>
      <c r="AH344">
        <f>Database!BE334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IF(OR(Database!$BD345="",Screener!$D$10=""),0,IF(Database!$BD345=Screener!$D$10,1,0))</f>
        <v/>
      </c>
      <c r="F345">
        <f>IF(OR(Database!$BJ345="",Screener!$D$11=""),0,IF(Database!$BJ345=Screener!$D$11,1,0))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IF(OR(N(Database!$BE345)&lt;=0,N(Screener!$D$13)&lt;=0),0,MAX(0,1-ABS(LOG10(N(Database!$BE345)/Screener!$D$13))/W_PEHW))</f>
        <v/>
      </c>
      <c r="J345">
        <f>IF(OR(N(Database!$S345)&lt;=0,N(Screener!$D$14)&lt;=0),0,MAX(0,1-ABS(LOG10(Database!$S345/Screener!$D$14))/0.6))</f>
        <v/>
      </c>
      <c r="K345">
        <f>IF(Database!$B345=Screener!$B$5,-999999,IF(ISNUMBER(SEARCH(","&amp;Database!$A345&amp;",",","&amp;SUBSTITUTE(Screener!$D$17," ","")&amp;",")),2000000,IF(IF(OR(Screener!$B$18="All",AND(Screener!$B$18="With A-share",(Database!$BJ345="Y")),AND(Screener!$B$18="Without A-share",NOT((Database!$BJ345="Y")))),1,0)=0,-999999,IF(Screener!$B$16="cornerstone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Database!BD335</f>
        <v/>
      </c>
      <c r="AF345">
        <f>Database!BJ335</f>
        <v/>
      </c>
      <c r="AG345">
        <f>Database!H335</f>
        <v/>
      </c>
      <c r="AH345">
        <f>Database!BE335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IF(OR(Database!$BD346="",Screener!$D$10=""),0,IF(Database!$BD346=Screener!$D$10,1,0))</f>
        <v/>
      </c>
      <c r="F346">
        <f>IF(OR(Database!$BJ346="",Screener!$D$11=""),0,IF(Database!$BJ346=Screener!$D$11,1,0))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IF(OR(N(Database!$BE346)&lt;=0,N(Screener!$D$13)&lt;=0),0,MAX(0,1-ABS(LOG10(N(Database!$BE346)/Screener!$D$13))/W_PEHW))</f>
        <v/>
      </c>
      <c r="J346">
        <f>IF(OR(N(Database!$S346)&lt;=0,N(Screener!$D$14)&lt;=0),0,MAX(0,1-ABS(LOG10(Database!$S346/Screener!$D$14))/0.6))</f>
        <v/>
      </c>
      <c r="K346">
        <f>IF(Database!$B346=Screener!$B$5,-999999,IF(ISNUMBER(SEARCH(","&amp;Database!$A346&amp;",",","&amp;SUBSTITUTE(Screener!$D$17," ","")&amp;",")),2000000,IF(IF(OR(Screener!$B$18="All",AND(Screener!$B$18="With A-share",(Database!$BJ346="Y")),AND(Screener!$B$18="Without A-share",NOT((Database!$BJ346="Y")))),1,0)=0,-999999,IF(Screener!$B$16="cornerstone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Database!BD336</f>
        <v/>
      </c>
      <c r="AF346">
        <f>Database!BJ336</f>
        <v/>
      </c>
      <c r="AG346">
        <f>Database!H336</f>
        <v/>
      </c>
      <c r="AH346">
        <f>Database!BE336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IF(OR(Database!$BD347="",Screener!$D$10=""),0,IF(Database!$BD347=Screener!$D$10,1,0))</f>
        <v/>
      </c>
      <c r="F347">
        <f>IF(OR(Database!$BJ347="",Screener!$D$11=""),0,IF(Database!$BJ347=Screener!$D$11,1,0))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IF(OR(N(Database!$BE347)&lt;=0,N(Screener!$D$13)&lt;=0),0,MAX(0,1-ABS(LOG10(N(Database!$BE347)/Screener!$D$13))/W_PEHW))</f>
        <v/>
      </c>
      <c r="J347">
        <f>IF(OR(N(Database!$S347)&lt;=0,N(Screener!$D$14)&lt;=0),0,MAX(0,1-ABS(LOG10(Database!$S347/Screener!$D$14))/0.6))</f>
        <v/>
      </c>
      <c r="K347">
        <f>IF(Database!$B347=Screener!$B$5,-999999,IF(ISNUMBER(SEARCH(","&amp;Database!$A347&amp;",",","&amp;SUBSTITUTE(Screener!$D$17," ","")&amp;",")),2000000,IF(IF(OR(Screener!$B$18="All",AND(Screener!$B$18="With A-share",(Database!$BJ347="Y")),AND(Screener!$B$18="Without A-share",NOT((Database!$BJ347="Y")))),1,0)=0,-999999,IF(Screener!$B$16="cornerstone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Database!BD337</f>
        <v/>
      </c>
      <c r="AF347">
        <f>Database!BJ337</f>
        <v/>
      </c>
      <c r="AG347">
        <f>Database!H337</f>
        <v/>
      </c>
      <c r="AH347">
        <f>Database!BE337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IF(OR(Database!$BD348="",Screener!$D$10=""),0,IF(Database!$BD348=Screener!$D$10,1,0))</f>
        <v/>
      </c>
      <c r="F348">
        <f>IF(OR(Database!$BJ348="",Screener!$D$11=""),0,IF(Database!$BJ348=Screener!$D$11,1,0))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IF(OR(N(Database!$BE348)&lt;=0,N(Screener!$D$13)&lt;=0),0,MAX(0,1-ABS(LOG10(N(Database!$BE348)/Screener!$D$13))/W_PEHW))</f>
        <v/>
      </c>
      <c r="J348">
        <f>IF(OR(N(Database!$S348)&lt;=0,N(Screener!$D$14)&lt;=0),0,MAX(0,1-ABS(LOG10(Database!$S348/Screener!$D$14))/0.6))</f>
        <v/>
      </c>
      <c r="K348">
        <f>IF(Database!$B348=Screener!$B$5,-999999,IF(ISNUMBER(SEARCH(","&amp;Database!$A348&amp;",",","&amp;SUBSTITUTE(Screener!$D$17," ","")&amp;",")),2000000,IF(IF(OR(Screener!$B$18="All",AND(Screener!$B$18="With A-share",(Database!$BJ348="Y")),AND(Screener!$B$18="Without A-share",NOT((Database!$BJ348="Y")))),1,0)=0,-999999,IF(Screener!$B$16="cornerstone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Database!BD338</f>
        <v/>
      </c>
      <c r="AF348">
        <f>Database!BJ338</f>
        <v/>
      </c>
      <c r="AG348">
        <f>Database!H338</f>
        <v/>
      </c>
      <c r="AH348">
        <f>Database!BE338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IF(OR(Database!$BD349="",Screener!$D$10=""),0,IF(Database!$BD349=Screener!$D$10,1,0))</f>
        <v/>
      </c>
      <c r="F349">
        <f>IF(OR(Database!$BJ349="",Screener!$D$11=""),0,IF(Database!$BJ349=Screener!$D$11,1,0))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IF(OR(N(Database!$BE349)&lt;=0,N(Screener!$D$13)&lt;=0),0,MAX(0,1-ABS(LOG10(N(Database!$BE349)/Screener!$D$13))/W_PEHW))</f>
        <v/>
      </c>
      <c r="J349">
        <f>IF(OR(N(Database!$S349)&lt;=0,N(Screener!$D$14)&lt;=0),0,MAX(0,1-ABS(LOG10(Database!$S349/Screener!$D$14))/0.6))</f>
        <v/>
      </c>
      <c r="K349">
        <f>IF(Database!$B349=Screener!$B$5,-999999,IF(ISNUMBER(SEARCH(","&amp;Database!$A349&amp;",",","&amp;SUBSTITUTE(Screener!$D$17," ","")&amp;",")),2000000,IF(IF(OR(Screener!$B$18="All",AND(Screener!$B$18="With A-share",(Database!$BJ349="Y")),AND(Screener!$B$18="Without A-share",NOT((Database!$BJ349="Y")))),1,0)=0,-999999,IF(Screener!$B$16="cornerstone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Database!BD339</f>
        <v/>
      </c>
      <c r="AF349">
        <f>Database!BJ339</f>
        <v/>
      </c>
      <c r="AG349">
        <f>Database!H339</f>
        <v/>
      </c>
      <c r="AH349">
        <f>Database!BE339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IF(OR(Database!$BD350="",Screener!$D$10=""),0,IF(Database!$BD350=Screener!$D$10,1,0))</f>
        <v/>
      </c>
      <c r="F350">
        <f>IF(OR(Database!$BJ350="",Screener!$D$11=""),0,IF(Database!$BJ350=Screener!$D$11,1,0))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IF(OR(N(Database!$BE350)&lt;=0,N(Screener!$D$13)&lt;=0),0,MAX(0,1-ABS(LOG10(N(Database!$BE350)/Screener!$D$13))/W_PEHW))</f>
        <v/>
      </c>
      <c r="J350">
        <f>IF(OR(N(Database!$S350)&lt;=0,N(Screener!$D$14)&lt;=0),0,MAX(0,1-ABS(LOG10(Database!$S350/Screener!$D$14))/0.6))</f>
        <v/>
      </c>
      <c r="K350">
        <f>IF(Database!$B350=Screener!$B$5,-999999,IF(ISNUMBER(SEARCH(","&amp;Database!$A350&amp;",",","&amp;SUBSTITUTE(Screener!$D$17," ","")&amp;",")),2000000,IF(IF(OR(Screener!$B$18="All",AND(Screener!$B$18="With A-share",(Database!$BJ350="Y")),AND(Screener!$B$18="Without A-share",NOT((Database!$BJ350="Y")))),1,0)=0,-999999,IF(Screener!$B$16="cornerstone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Database!BD340</f>
        <v/>
      </c>
      <c r="AF350">
        <f>Database!BJ340</f>
        <v/>
      </c>
      <c r="AG350">
        <f>Database!H340</f>
        <v/>
      </c>
      <c r="AH350">
        <f>Database!BE340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IF(OR(Database!$BD351="",Screener!$D$10=""),0,IF(Database!$BD351=Screener!$D$10,1,0))</f>
        <v/>
      </c>
      <c r="F351">
        <f>IF(OR(Database!$BJ351="",Screener!$D$11=""),0,IF(Database!$BJ351=Screener!$D$11,1,0))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IF(OR(N(Database!$BE351)&lt;=0,N(Screener!$D$13)&lt;=0),0,MAX(0,1-ABS(LOG10(N(Database!$BE351)/Screener!$D$13))/W_PEHW))</f>
        <v/>
      </c>
      <c r="J351">
        <f>IF(OR(N(Database!$S351)&lt;=0,N(Screener!$D$14)&lt;=0),0,MAX(0,1-ABS(LOG10(Database!$S351/Screener!$D$14))/0.6))</f>
        <v/>
      </c>
      <c r="K351">
        <f>IF(Database!$B351=Screener!$B$5,-999999,IF(ISNUMBER(SEARCH(","&amp;Database!$A351&amp;",",","&amp;SUBSTITUTE(Screener!$D$17," ","")&amp;",")),2000000,IF(IF(OR(Screener!$B$18="All",AND(Screener!$B$18="With A-share",(Database!$BJ351="Y")),AND(Screener!$B$18="Without A-share",NOT((Database!$BJ351="Y")))),1,0)=0,-999999,IF(Screener!$B$16="cornerstone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Database!BD341</f>
        <v/>
      </c>
      <c r="AF351">
        <f>Database!BJ341</f>
        <v/>
      </c>
      <c r="AG351">
        <f>Database!H341</f>
        <v/>
      </c>
      <c r="AH351">
        <f>Database!BE341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IF(OR(Database!$BD352="",Screener!$D$10=""),0,IF(Database!$BD352=Screener!$D$10,1,0))</f>
        <v/>
      </c>
      <c r="F352">
        <f>IF(OR(Database!$BJ352="",Screener!$D$11=""),0,IF(Database!$BJ352=Screener!$D$11,1,0))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IF(OR(N(Database!$BE352)&lt;=0,N(Screener!$D$13)&lt;=0),0,MAX(0,1-ABS(LOG10(N(Database!$BE352)/Screener!$D$13))/W_PEHW))</f>
        <v/>
      </c>
      <c r="J352">
        <f>IF(OR(N(Database!$S352)&lt;=0,N(Screener!$D$14)&lt;=0),0,MAX(0,1-ABS(LOG10(Database!$S352/Screener!$D$14))/0.6))</f>
        <v/>
      </c>
      <c r="K352">
        <f>IF(Database!$B352=Screener!$B$5,-999999,IF(ISNUMBER(SEARCH(","&amp;Database!$A352&amp;",",","&amp;SUBSTITUTE(Screener!$D$17," ","")&amp;",")),2000000,IF(IF(OR(Screener!$B$18="All",AND(Screener!$B$18="With A-share",(Database!$BJ352="Y")),AND(Screener!$B$18="Without A-share",NOT((Database!$BJ352="Y")))),1,0)=0,-999999,IF(Screener!$B$16="cornerstone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Database!BD342</f>
        <v/>
      </c>
      <c r="AF352">
        <f>Database!BJ342</f>
        <v/>
      </c>
      <c r="AG352">
        <f>Database!H342</f>
        <v/>
      </c>
      <c r="AH352">
        <f>Database!BE342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IF(OR(Database!$BD353="",Screener!$D$10=""),0,IF(Database!$BD353=Screener!$D$10,1,0))</f>
        <v/>
      </c>
      <c r="F353">
        <f>IF(OR(Database!$BJ353="",Screener!$D$11=""),0,IF(Database!$BJ353=Screener!$D$11,1,0))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IF(OR(N(Database!$BE353)&lt;=0,N(Screener!$D$13)&lt;=0),0,MAX(0,1-ABS(LOG10(N(Database!$BE353)/Screener!$D$13))/W_PEHW))</f>
        <v/>
      </c>
      <c r="J353">
        <f>IF(OR(N(Database!$S353)&lt;=0,N(Screener!$D$14)&lt;=0),0,MAX(0,1-ABS(LOG10(Database!$S353/Screener!$D$14))/0.6))</f>
        <v/>
      </c>
      <c r="K353">
        <f>IF(Database!$B353=Screener!$B$5,-999999,IF(ISNUMBER(SEARCH(","&amp;Database!$A353&amp;",",","&amp;SUBSTITUTE(Screener!$D$17," ","")&amp;",")),2000000,IF(IF(OR(Screener!$B$18="All",AND(Screener!$B$18="With A-share",(Database!$BJ353="Y")),AND(Screener!$B$18="Without A-share",NOT((Database!$BJ353="Y")))),1,0)=0,-999999,IF(Screener!$B$16="cornerstone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Database!BD343</f>
        <v/>
      </c>
      <c r="AF353">
        <f>Database!BJ343</f>
        <v/>
      </c>
      <c r="AG353">
        <f>Database!H343</f>
        <v/>
      </c>
      <c r="AH353">
        <f>Database!BE343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IF(OR(Database!$BD354="",Screener!$D$10=""),0,IF(Database!$BD354=Screener!$D$10,1,0))</f>
        <v/>
      </c>
      <c r="F354">
        <f>IF(OR(Database!$BJ354="",Screener!$D$11=""),0,IF(Database!$BJ354=Screener!$D$11,1,0))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IF(OR(N(Database!$BE354)&lt;=0,N(Screener!$D$13)&lt;=0),0,MAX(0,1-ABS(LOG10(N(Database!$BE354)/Screener!$D$13))/W_PEHW))</f>
        <v/>
      </c>
      <c r="J354">
        <f>IF(OR(N(Database!$S354)&lt;=0,N(Screener!$D$14)&lt;=0),0,MAX(0,1-ABS(LOG10(Database!$S354/Screener!$D$14))/0.6))</f>
        <v/>
      </c>
      <c r="K354">
        <f>IF(Database!$B354=Screener!$B$5,-999999,IF(ISNUMBER(SEARCH(","&amp;Database!$A354&amp;",",","&amp;SUBSTITUTE(Screener!$D$17," ","")&amp;",")),2000000,IF(IF(OR(Screener!$B$18="All",AND(Screener!$B$18="With A-share",(Database!$BJ354="Y")),AND(Screener!$B$18="Without A-share",NOT((Database!$BJ354="Y")))),1,0)=0,-999999,IF(Screener!$B$16="cornerstone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Database!BD344</f>
        <v/>
      </c>
      <c r="AF354">
        <f>Database!BJ344</f>
        <v/>
      </c>
      <c r="AG354">
        <f>Database!H344</f>
        <v/>
      </c>
      <c r="AH354">
        <f>Database!BE344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IF(OR(Database!$BD355="",Screener!$D$10=""),0,IF(Database!$BD355=Screener!$D$10,1,0))</f>
        <v/>
      </c>
      <c r="F355">
        <f>IF(OR(Database!$BJ355="",Screener!$D$11=""),0,IF(Database!$BJ355=Screener!$D$11,1,0))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IF(OR(N(Database!$BE355)&lt;=0,N(Screener!$D$13)&lt;=0),0,MAX(0,1-ABS(LOG10(N(Database!$BE355)/Screener!$D$13))/W_PEHW))</f>
        <v/>
      </c>
      <c r="J355">
        <f>IF(OR(N(Database!$S355)&lt;=0,N(Screener!$D$14)&lt;=0),0,MAX(0,1-ABS(LOG10(Database!$S355/Screener!$D$14))/0.6))</f>
        <v/>
      </c>
      <c r="K355">
        <f>IF(Database!$B355=Screener!$B$5,-999999,IF(ISNUMBER(SEARCH(","&amp;Database!$A355&amp;",",","&amp;SUBSTITUTE(Screener!$D$17," ","")&amp;",")),2000000,IF(IF(OR(Screener!$B$18="All",AND(Screener!$B$18="With A-share",(Database!$BJ355="Y")),AND(Screener!$B$18="Without A-share",NOT((Database!$BJ355="Y")))),1,0)=0,-999999,IF(Screener!$B$16="cornerstone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Database!BD345</f>
        <v/>
      </c>
      <c r="AF355">
        <f>Database!BJ345</f>
        <v/>
      </c>
      <c r="AG355">
        <f>Database!H345</f>
        <v/>
      </c>
      <c r="AH355">
        <f>Database!BE345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IF(OR(Database!$BD356="",Screener!$D$10=""),0,IF(Database!$BD356=Screener!$D$10,1,0))</f>
        <v/>
      </c>
      <c r="F356">
        <f>IF(OR(Database!$BJ356="",Screener!$D$11=""),0,IF(Database!$BJ356=Screener!$D$11,1,0))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IF(OR(N(Database!$BE356)&lt;=0,N(Screener!$D$13)&lt;=0),0,MAX(0,1-ABS(LOG10(N(Database!$BE356)/Screener!$D$13))/W_PEHW))</f>
        <v/>
      </c>
      <c r="J356">
        <f>IF(OR(N(Database!$S356)&lt;=0,N(Screener!$D$14)&lt;=0),0,MAX(0,1-ABS(LOG10(Database!$S356/Screener!$D$14))/0.6))</f>
        <v/>
      </c>
      <c r="K356">
        <f>IF(Database!$B356=Screener!$B$5,-999999,IF(ISNUMBER(SEARCH(","&amp;Database!$A356&amp;",",","&amp;SUBSTITUTE(Screener!$D$17," ","")&amp;",")),2000000,IF(IF(OR(Screener!$B$18="All",AND(Screener!$B$18="With A-share",(Database!$BJ356="Y")),AND(Screener!$B$18="Without A-share",NOT((Database!$BJ356="Y")))),1,0)=0,-999999,IF(Screener!$B$16="cornerstone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Database!BD346</f>
        <v/>
      </c>
      <c r="AF356">
        <f>Database!BJ346</f>
        <v/>
      </c>
      <c r="AG356">
        <f>Database!H346</f>
        <v/>
      </c>
      <c r="AH356">
        <f>Database!BE346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IF(OR(Database!$BD357="",Screener!$D$10=""),0,IF(Database!$BD357=Screener!$D$10,1,0))</f>
        <v/>
      </c>
      <c r="F357">
        <f>IF(OR(Database!$BJ357="",Screener!$D$11=""),0,IF(Database!$BJ357=Screener!$D$11,1,0))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IF(OR(N(Database!$BE357)&lt;=0,N(Screener!$D$13)&lt;=0),0,MAX(0,1-ABS(LOG10(N(Database!$BE357)/Screener!$D$13))/W_PEHW))</f>
        <v/>
      </c>
      <c r="J357">
        <f>IF(OR(N(Database!$S357)&lt;=0,N(Screener!$D$14)&lt;=0),0,MAX(0,1-ABS(LOG10(Database!$S357/Screener!$D$14))/0.6))</f>
        <v/>
      </c>
      <c r="K357">
        <f>IF(Database!$B357=Screener!$B$5,-999999,IF(ISNUMBER(SEARCH(","&amp;Database!$A357&amp;",",","&amp;SUBSTITUTE(Screener!$D$17," ","")&amp;",")),2000000,IF(IF(OR(Screener!$B$18="All",AND(Screener!$B$18="With A-share",(Database!$BJ357="Y")),AND(Screener!$B$18="Without A-share",NOT((Database!$BJ357="Y")))),1,0)=0,-999999,IF(Screener!$B$16="cornerstone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Database!BD347</f>
        <v/>
      </c>
      <c r="AF357">
        <f>Database!BJ347</f>
        <v/>
      </c>
      <c r="AG357">
        <f>Database!H347</f>
        <v/>
      </c>
      <c r="AH357">
        <f>Database!BE347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IF(OR(Database!$BD358="",Screener!$D$10=""),0,IF(Database!$BD358=Screener!$D$10,1,0))</f>
        <v/>
      </c>
      <c r="F358">
        <f>IF(OR(Database!$BJ358="",Screener!$D$11=""),0,IF(Database!$BJ358=Screener!$D$11,1,0))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IF(OR(N(Database!$BE358)&lt;=0,N(Screener!$D$13)&lt;=0),0,MAX(0,1-ABS(LOG10(N(Database!$BE358)/Screener!$D$13))/W_PEHW))</f>
        <v/>
      </c>
      <c r="J358">
        <f>IF(OR(N(Database!$S358)&lt;=0,N(Screener!$D$14)&lt;=0),0,MAX(0,1-ABS(LOG10(Database!$S358/Screener!$D$14))/0.6))</f>
        <v/>
      </c>
      <c r="K358">
        <f>IF(Database!$B358=Screener!$B$5,-999999,IF(ISNUMBER(SEARCH(","&amp;Database!$A358&amp;",",","&amp;SUBSTITUTE(Screener!$D$17," ","")&amp;",")),2000000,IF(IF(OR(Screener!$B$18="All",AND(Screener!$B$18="With A-share",(Database!$BJ358="Y")),AND(Screener!$B$18="Without A-share",NOT((Database!$BJ358="Y")))),1,0)=0,-999999,IF(Screener!$B$16="cornerstone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Database!BD348</f>
        <v/>
      </c>
      <c r="AF358">
        <f>Database!BJ348</f>
        <v/>
      </c>
      <c r="AG358">
        <f>Database!H348</f>
        <v/>
      </c>
      <c r="AH358">
        <f>Database!BE348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IF(OR(Database!$BD359="",Screener!$D$10=""),0,IF(Database!$BD359=Screener!$D$10,1,0))</f>
        <v/>
      </c>
      <c r="F359">
        <f>IF(OR(Database!$BJ359="",Screener!$D$11=""),0,IF(Database!$BJ359=Screener!$D$11,1,0))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IF(OR(N(Database!$BE359)&lt;=0,N(Screener!$D$13)&lt;=0),0,MAX(0,1-ABS(LOG10(N(Database!$BE359)/Screener!$D$13))/W_PEHW))</f>
        <v/>
      </c>
      <c r="J359">
        <f>IF(OR(N(Database!$S359)&lt;=0,N(Screener!$D$14)&lt;=0),0,MAX(0,1-ABS(LOG10(Database!$S359/Screener!$D$14))/0.6))</f>
        <v/>
      </c>
      <c r="K359">
        <f>IF(Database!$B359=Screener!$B$5,-999999,IF(ISNUMBER(SEARCH(","&amp;Database!$A359&amp;",",","&amp;SUBSTITUTE(Screener!$D$17," ","")&amp;",")),2000000,IF(IF(OR(Screener!$B$18="All",AND(Screener!$B$18="With A-share",(Database!$BJ359="Y")),AND(Screener!$B$18="Without A-share",NOT((Database!$BJ359="Y")))),1,0)=0,-999999,IF(Screener!$B$16="cornerstone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Database!BD349</f>
        <v/>
      </c>
      <c r="AF359">
        <f>Database!BJ349</f>
        <v/>
      </c>
      <c r="AG359">
        <f>Database!H349</f>
        <v/>
      </c>
      <c r="AH359">
        <f>Database!BE349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IF(OR(Database!$BD360="",Screener!$D$10=""),0,IF(Database!$BD360=Screener!$D$10,1,0))</f>
        <v/>
      </c>
      <c r="F360">
        <f>IF(OR(Database!$BJ360="",Screener!$D$11=""),0,IF(Database!$BJ360=Screener!$D$11,1,0))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IF(OR(N(Database!$BE360)&lt;=0,N(Screener!$D$13)&lt;=0),0,MAX(0,1-ABS(LOG10(N(Database!$BE360)/Screener!$D$13))/W_PEHW))</f>
        <v/>
      </c>
      <c r="J360">
        <f>IF(OR(N(Database!$S360)&lt;=0,N(Screener!$D$14)&lt;=0),0,MAX(0,1-ABS(LOG10(Database!$S360/Screener!$D$14))/0.6))</f>
        <v/>
      </c>
      <c r="K360">
        <f>IF(Database!$B360=Screener!$B$5,-999999,IF(ISNUMBER(SEARCH(","&amp;Database!$A360&amp;",",","&amp;SUBSTITUTE(Screener!$D$17," ","")&amp;",")),2000000,IF(IF(OR(Screener!$B$18="All",AND(Screener!$B$18="With A-share",(Database!$BJ360="Y")),AND(Screener!$B$18="Without A-share",NOT((Database!$BJ360="Y")))),1,0)=0,-999999,IF(Screener!$B$16="cornerstone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Database!BD350</f>
        <v/>
      </c>
      <c r="AF360">
        <f>Database!BJ350</f>
        <v/>
      </c>
      <c r="AG360">
        <f>Database!H350</f>
        <v/>
      </c>
      <c r="AH360">
        <f>Database!BE350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IF(OR(Database!$BD361="",Screener!$D$10=""),0,IF(Database!$BD361=Screener!$D$10,1,0))</f>
        <v/>
      </c>
      <c r="F361">
        <f>IF(OR(Database!$BJ361="",Screener!$D$11=""),0,IF(Database!$BJ361=Screener!$D$11,1,0))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IF(OR(N(Database!$BE361)&lt;=0,N(Screener!$D$13)&lt;=0),0,MAX(0,1-ABS(LOG10(N(Database!$BE361)/Screener!$D$13))/W_PEHW))</f>
        <v/>
      </c>
      <c r="J361">
        <f>IF(OR(N(Database!$S361)&lt;=0,N(Screener!$D$14)&lt;=0),0,MAX(0,1-ABS(LOG10(Database!$S361/Screener!$D$14))/0.6))</f>
        <v/>
      </c>
      <c r="K361">
        <f>IF(Database!$B361=Screener!$B$5,-999999,IF(ISNUMBER(SEARCH(","&amp;Database!$A361&amp;",",","&amp;SUBSTITUTE(Screener!$D$17," ","")&amp;",")),2000000,IF(IF(OR(Screener!$B$18="All",AND(Screener!$B$18="With A-share",(Database!$BJ361="Y")),AND(Screener!$B$18="Without A-share",NOT((Database!$BJ361="Y")))),1,0)=0,-999999,IF(Screener!$B$16="cornerstone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Database!BD351</f>
        <v/>
      </c>
      <c r="AF361">
        <f>Database!BJ351</f>
        <v/>
      </c>
      <c r="AG361">
        <f>Database!H351</f>
        <v/>
      </c>
      <c r="AH361">
        <f>Database!BE351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IF(OR(Database!$BD362="",Screener!$D$10=""),0,IF(Database!$BD362=Screener!$D$10,1,0))</f>
        <v/>
      </c>
      <c r="F362">
        <f>IF(OR(Database!$BJ362="",Screener!$D$11=""),0,IF(Database!$BJ362=Screener!$D$11,1,0))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IF(OR(N(Database!$BE362)&lt;=0,N(Screener!$D$13)&lt;=0),0,MAX(0,1-ABS(LOG10(N(Database!$BE362)/Screener!$D$13))/W_PEHW))</f>
        <v/>
      </c>
      <c r="J362">
        <f>IF(OR(N(Database!$S362)&lt;=0,N(Screener!$D$14)&lt;=0),0,MAX(0,1-ABS(LOG10(Database!$S362/Screener!$D$14))/0.6))</f>
        <v/>
      </c>
      <c r="K362">
        <f>IF(Database!$B362=Screener!$B$5,-999999,IF(ISNUMBER(SEARCH(","&amp;Database!$A362&amp;",",","&amp;SUBSTITUTE(Screener!$D$17," ","")&amp;",")),2000000,IF(IF(OR(Screener!$B$18="All",AND(Screener!$B$18="With A-share",(Database!$BJ362="Y")),AND(Screener!$B$18="Without A-share",NOT((Database!$BJ362="Y")))),1,0)=0,-999999,IF(Screener!$B$16="cornerstone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Database!BD352</f>
        <v/>
      </c>
      <c r="AF362">
        <f>Database!BJ352</f>
        <v/>
      </c>
      <c r="AG362">
        <f>Database!H352</f>
        <v/>
      </c>
      <c r="AH362">
        <f>Database!BE352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IF(OR(Database!$BD363="",Screener!$D$10=""),0,IF(Database!$BD363=Screener!$D$10,1,0))</f>
        <v/>
      </c>
      <c r="F363">
        <f>IF(OR(Database!$BJ363="",Screener!$D$11=""),0,IF(Database!$BJ363=Screener!$D$11,1,0))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IF(OR(N(Database!$BE363)&lt;=0,N(Screener!$D$13)&lt;=0),0,MAX(0,1-ABS(LOG10(N(Database!$BE363)/Screener!$D$13))/W_PEHW))</f>
        <v/>
      </c>
      <c r="J363">
        <f>IF(OR(N(Database!$S363)&lt;=0,N(Screener!$D$14)&lt;=0),0,MAX(0,1-ABS(LOG10(Database!$S363/Screener!$D$14))/0.6))</f>
        <v/>
      </c>
      <c r="K363">
        <f>IF(Database!$B363=Screener!$B$5,-999999,IF(ISNUMBER(SEARCH(","&amp;Database!$A363&amp;",",","&amp;SUBSTITUTE(Screener!$D$17," ","")&amp;",")),2000000,IF(IF(OR(Screener!$B$18="All",AND(Screener!$B$18="With A-share",(Database!$BJ363="Y")),AND(Screener!$B$18="Without A-share",NOT((Database!$BJ363="Y")))),1,0)=0,-999999,IF(Screener!$B$16="cornerstone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Database!BD353</f>
        <v/>
      </c>
      <c r="AF363">
        <f>Database!BJ353</f>
        <v/>
      </c>
      <c r="AG363">
        <f>Database!H353</f>
        <v/>
      </c>
      <c r="AH363">
        <f>Database!BE353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IF(OR(Database!$BD364="",Screener!$D$10=""),0,IF(Database!$BD364=Screener!$D$10,1,0))</f>
        <v/>
      </c>
      <c r="F364">
        <f>IF(OR(Database!$BJ364="",Screener!$D$11=""),0,IF(Database!$BJ364=Screener!$D$11,1,0))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IF(OR(N(Database!$BE364)&lt;=0,N(Screener!$D$13)&lt;=0),0,MAX(0,1-ABS(LOG10(N(Database!$BE364)/Screener!$D$13))/W_PEHW))</f>
        <v/>
      </c>
      <c r="J364">
        <f>IF(OR(N(Database!$S364)&lt;=0,N(Screener!$D$14)&lt;=0),0,MAX(0,1-ABS(LOG10(Database!$S364/Screener!$D$14))/0.6))</f>
        <v/>
      </c>
      <c r="K364">
        <f>IF(Database!$B364=Screener!$B$5,-999999,IF(ISNUMBER(SEARCH(","&amp;Database!$A364&amp;",",","&amp;SUBSTITUTE(Screener!$D$17," ","")&amp;",")),2000000,IF(IF(OR(Screener!$B$18="All",AND(Screener!$B$18="With A-share",(Database!$BJ364="Y")),AND(Screener!$B$18="Without A-share",NOT((Database!$BJ364="Y")))),1,0)=0,-999999,IF(Screener!$B$16="cornerstone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Database!BD354</f>
        <v/>
      </c>
      <c r="AF364">
        <f>Database!BJ354</f>
        <v/>
      </c>
      <c r="AG364">
        <f>Database!H354</f>
        <v/>
      </c>
      <c r="AH364">
        <f>Database!BE354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IF(OR(Database!$BD365="",Screener!$D$10=""),0,IF(Database!$BD365=Screener!$D$10,1,0))</f>
        <v/>
      </c>
      <c r="F365">
        <f>IF(OR(Database!$BJ365="",Screener!$D$11=""),0,IF(Database!$BJ365=Screener!$D$11,1,0))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IF(OR(N(Database!$BE365)&lt;=0,N(Screener!$D$13)&lt;=0),0,MAX(0,1-ABS(LOG10(N(Database!$BE365)/Screener!$D$13))/W_PEHW))</f>
        <v/>
      </c>
      <c r="J365">
        <f>IF(OR(N(Database!$S365)&lt;=0,N(Screener!$D$14)&lt;=0),0,MAX(0,1-ABS(LOG10(Database!$S365/Screener!$D$14))/0.6))</f>
        <v/>
      </c>
      <c r="K365">
        <f>IF(Database!$B365=Screener!$B$5,-999999,IF(ISNUMBER(SEARCH(","&amp;Database!$A365&amp;",",","&amp;SUBSTITUTE(Screener!$D$17," ","")&amp;",")),2000000,IF(IF(OR(Screener!$B$18="All",AND(Screener!$B$18="With A-share",(Database!$BJ365="Y")),AND(Screener!$B$18="Without A-share",NOT((Database!$BJ365="Y")))),1,0)=0,-999999,IF(Screener!$B$16="cornerstone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Database!BD355</f>
        <v/>
      </c>
      <c r="AF365">
        <f>Database!BJ355</f>
        <v/>
      </c>
      <c r="AG365">
        <f>Database!H355</f>
        <v/>
      </c>
      <c r="AH365">
        <f>Database!BE355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IF(OR(Database!$BD366="",Screener!$D$10=""),0,IF(Database!$BD366=Screener!$D$10,1,0))</f>
        <v/>
      </c>
      <c r="F366">
        <f>IF(OR(Database!$BJ366="",Screener!$D$11=""),0,IF(Database!$BJ366=Screener!$D$11,1,0))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IF(OR(N(Database!$BE366)&lt;=0,N(Screener!$D$13)&lt;=0),0,MAX(0,1-ABS(LOG10(N(Database!$BE366)/Screener!$D$13))/W_PEHW))</f>
        <v/>
      </c>
      <c r="J366">
        <f>IF(OR(N(Database!$S366)&lt;=0,N(Screener!$D$14)&lt;=0),0,MAX(0,1-ABS(LOG10(Database!$S366/Screener!$D$14))/0.6))</f>
        <v/>
      </c>
      <c r="K366">
        <f>IF(Database!$B366=Screener!$B$5,-999999,IF(ISNUMBER(SEARCH(","&amp;Database!$A366&amp;",",","&amp;SUBSTITUTE(Screener!$D$17," ","")&amp;",")),2000000,IF(IF(OR(Screener!$B$18="All",AND(Screener!$B$18="With A-share",(Database!$BJ366="Y")),AND(Screener!$B$18="Without A-share",NOT((Database!$BJ366="Y")))),1,0)=0,-999999,IF(Screener!$B$16="cornerstone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Database!BD356</f>
        <v/>
      </c>
      <c r="AF366">
        <f>Database!BJ356</f>
        <v/>
      </c>
      <c r="AG366">
        <f>Database!H356</f>
        <v/>
      </c>
      <c r="AH366">
        <f>Database!BE356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IF(OR(Database!$BD367="",Screener!$D$10=""),0,IF(Database!$BD367=Screener!$D$10,1,0))</f>
        <v/>
      </c>
      <c r="F367">
        <f>IF(OR(Database!$BJ367="",Screener!$D$11=""),0,IF(Database!$BJ367=Screener!$D$11,1,0))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IF(OR(N(Database!$BE367)&lt;=0,N(Screener!$D$13)&lt;=0),0,MAX(0,1-ABS(LOG10(N(Database!$BE367)/Screener!$D$13))/W_PEHW))</f>
        <v/>
      </c>
      <c r="J367">
        <f>IF(OR(N(Database!$S367)&lt;=0,N(Screener!$D$14)&lt;=0),0,MAX(0,1-ABS(LOG10(Database!$S367/Screener!$D$14))/0.6))</f>
        <v/>
      </c>
      <c r="K367">
        <f>IF(Database!$B367=Screener!$B$5,-999999,IF(ISNUMBER(SEARCH(","&amp;Database!$A367&amp;",",","&amp;SUBSTITUTE(Screener!$D$17," ","")&amp;",")),2000000,IF(IF(OR(Screener!$B$18="All",AND(Screener!$B$18="With A-share",(Database!$BJ367="Y")),AND(Screener!$B$18="Without A-share",NOT((Database!$BJ367="Y")))),1,0)=0,-999999,IF(Screener!$B$16="cornerstone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Database!BD357</f>
        <v/>
      </c>
      <c r="AF367">
        <f>Database!BJ357</f>
        <v/>
      </c>
      <c r="AG367">
        <f>Database!H357</f>
        <v/>
      </c>
      <c r="AH367">
        <f>Database!BE357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IF(OR(Database!$BD368="",Screener!$D$10=""),0,IF(Database!$BD368=Screener!$D$10,1,0))</f>
        <v/>
      </c>
      <c r="F368">
        <f>IF(OR(Database!$BJ368="",Screener!$D$11=""),0,IF(Database!$BJ368=Screener!$D$11,1,0))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IF(OR(N(Database!$BE368)&lt;=0,N(Screener!$D$13)&lt;=0),0,MAX(0,1-ABS(LOG10(N(Database!$BE368)/Screener!$D$13))/W_PEHW))</f>
        <v/>
      </c>
      <c r="J368">
        <f>IF(OR(N(Database!$S368)&lt;=0,N(Screener!$D$14)&lt;=0),0,MAX(0,1-ABS(LOG10(Database!$S368/Screener!$D$14))/0.6))</f>
        <v/>
      </c>
      <c r="K368">
        <f>IF(Database!$B368=Screener!$B$5,-999999,IF(ISNUMBER(SEARCH(","&amp;Database!$A368&amp;",",","&amp;SUBSTITUTE(Screener!$D$17," ","")&amp;",")),2000000,IF(IF(OR(Screener!$B$18="All",AND(Screener!$B$18="With A-share",(Database!$BJ368="Y")),AND(Screener!$B$18="Without A-share",NOT((Database!$BJ368="Y")))),1,0)=0,-999999,IF(Screener!$B$16="cornerstone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Database!BD358</f>
        <v/>
      </c>
      <c r="AF368">
        <f>Database!BJ358</f>
        <v/>
      </c>
      <c r="AG368">
        <f>Database!H358</f>
        <v/>
      </c>
      <c r="AH368">
        <f>Database!BE358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IF(OR(Database!$BD369="",Screener!$D$10=""),0,IF(Database!$BD369=Screener!$D$10,1,0))</f>
        <v/>
      </c>
      <c r="F369">
        <f>IF(OR(Database!$BJ369="",Screener!$D$11=""),0,IF(Database!$BJ369=Screener!$D$11,1,0))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IF(OR(N(Database!$BE369)&lt;=0,N(Screener!$D$13)&lt;=0),0,MAX(0,1-ABS(LOG10(N(Database!$BE369)/Screener!$D$13))/W_PEHW))</f>
        <v/>
      </c>
      <c r="J369">
        <f>IF(OR(N(Database!$S369)&lt;=0,N(Screener!$D$14)&lt;=0),0,MAX(0,1-ABS(LOG10(Database!$S369/Screener!$D$14))/0.6))</f>
        <v/>
      </c>
      <c r="K369">
        <f>IF(Database!$B369=Screener!$B$5,-999999,IF(ISNUMBER(SEARCH(","&amp;Database!$A369&amp;",",","&amp;SUBSTITUTE(Screener!$D$17," ","")&amp;",")),2000000,IF(IF(OR(Screener!$B$18="All",AND(Screener!$B$18="With A-share",(Database!$BJ369="Y")),AND(Screener!$B$18="Without A-share",NOT((Database!$BJ369="Y")))),1,0)=0,-999999,IF(Screener!$B$16="cornerstone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Database!BD359</f>
        <v/>
      </c>
      <c r="AF369">
        <f>Database!BJ359</f>
        <v/>
      </c>
      <c r="AG369">
        <f>Database!H359</f>
        <v/>
      </c>
      <c r="AH369">
        <f>Database!BE359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IF(OR(Database!$BD370="",Screener!$D$10=""),0,IF(Database!$BD370=Screener!$D$10,1,0))</f>
        <v/>
      </c>
      <c r="F370">
        <f>IF(OR(Database!$BJ370="",Screener!$D$11=""),0,IF(Database!$BJ370=Screener!$D$11,1,0))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IF(OR(N(Database!$BE370)&lt;=0,N(Screener!$D$13)&lt;=0),0,MAX(0,1-ABS(LOG10(N(Database!$BE370)/Screener!$D$13))/W_PEHW))</f>
        <v/>
      </c>
      <c r="J370">
        <f>IF(OR(N(Database!$S370)&lt;=0,N(Screener!$D$14)&lt;=0),0,MAX(0,1-ABS(LOG10(Database!$S370/Screener!$D$14))/0.6))</f>
        <v/>
      </c>
      <c r="K370">
        <f>IF(Database!$B370=Screener!$B$5,-999999,IF(ISNUMBER(SEARCH(","&amp;Database!$A370&amp;",",","&amp;SUBSTITUTE(Screener!$D$17," ","")&amp;",")),2000000,IF(IF(OR(Screener!$B$18="All",AND(Screener!$B$18="With A-share",(Database!$BJ370="Y")),AND(Screener!$B$18="Without A-share",NOT((Database!$BJ370="Y")))),1,0)=0,-999999,IF(Screener!$B$16="cornerstone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Database!BD360</f>
        <v/>
      </c>
      <c r="AF370">
        <f>Database!BJ360</f>
        <v/>
      </c>
      <c r="AG370">
        <f>Database!H360</f>
        <v/>
      </c>
      <c r="AH370">
        <f>Database!BE360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IF(OR(Database!$BD371="",Screener!$D$10=""),0,IF(Database!$BD371=Screener!$D$10,1,0))</f>
        <v/>
      </c>
      <c r="F371">
        <f>IF(OR(Database!$BJ371="",Screener!$D$11=""),0,IF(Database!$BJ371=Screener!$D$11,1,0))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IF(OR(N(Database!$BE371)&lt;=0,N(Screener!$D$13)&lt;=0),0,MAX(0,1-ABS(LOG10(N(Database!$BE371)/Screener!$D$13))/W_PEHW))</f>
        <v/>
      </c>
      <c r="J371">
        <f>IF(OR(N(Database!$S371)&lt;=0,N(Screener!$D$14)&lt;=0),0,MAX(0,1-ABS(LOG10(Database!$S371/Screener!$D$14))/0.6))</f>
        <v/>
      </c>
      <c r="K371">
        <f>IF(Database!$B371=Screener!$B$5,-999999,IF(ISNUMBER(SEARCH(","&amp;Database!$A371&amp;",",","&amp;SUBSTITUTE(Screener!$D$17," ","")&amp;",")),2000000,IF(IF(OR(Screener!$B$18="All",AND(Screener!$B$18="With A-share",(Database!$BJ371="Y")),AND(Screener!$B$18="Without A-share",NOT((Database!$BJ371="Y")))),1,0)=0,-999999,IF(Screener!$B$16="cornerstone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Database!BD361</f>
        <v/>
      </c>
      <c r="AF371">
        <f>Database!BJ361</f>
        <v/>
      </c>
      <c r="AG371">
        <f>Database!H361</f>
        <v/>
      </c>
      <c r="AH371">
        <f>Database!BE361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IF(OR(Database!$BD372="",Screener!$D$10=""),0,IF(Database!$BD372=Screener!$D$10,1,0))</f>
        <v/>
      </c>
      <c r="F372">
        <f>IF(OR(Database!$BJ372="",Screener!$D$11=""),0,IF(Database!$BJ372=Screener!$D$11,1,0))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IF(OR(N(Database!$BE372)&lt;=0,N(Screener!$D$13)&lt;=0),0,MAX(0,1-ABS(LOG10(N(Database!$BE372)/Screener!$D$13))/W_PEHW))</f>
        <v/>
      </c>
      <c r="J372">
        <f>IF(OR(N(Database!$S372)&lt;=0,N(Screener!$D$14)&lt;=0),0,MAX(0,1-ABS(LOG10(Database!$S372/Screener!$D$14))/0.6))</f>
        <v/>
      </c>
      <c r="K372">
        <f>IF(Database!$B372=Screener!$B$5,-999999,IF(ISNUMBER(SEARCH(","&amp;Database!$A372&amp;",",","&amp;SUBSTITUTE(Screener!$D$17," ","")&amp;",")),2000000,IF(IF(OR(Screener!$B$18="All",AND(Screener!$B$18="With A-share",(Database!$BJ372="Y")),AND(Screener!$B$18="Without A-share",NOT((Database!$BJ372="Y")))),1,0)=0,-999999,IF(Screener!$B$16="cornerstone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Database!BD362</f>
        <v/>
      </c>
      <c r="AF372">
        <f>Database!BJ362</f>
        <v/>
      </c>
      <c r="AG372">
        <f>Database!H362</f>
        <v/>
      </c>
      <c r="AH372">
        <f>Database!BE362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IF(OR(Database!$BD373="",Screener!$D$10=""),0,IF(Database!$BD373=Screener!$D$10,1,0))</f>
        <v/>
      </c>
      <c r="F373">
        <f>IF(OR(Database!$BJ373="",Screener!$D$11=""),0,IF(Database!$BJ373=Screener!$D$11,1,0))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IF(OR(N(Database!$BE373)&lt;=0,N(Screener!$D$13)&lt;=0),0,MAX(0,1-ABS(LOG10(N(Database!$BE373)/Screener!$D$13))/W_PEHW))</f>
        <v/>
      </c>
      <c r="J373">
        <f>IF(OR(N(Database!$S373)&lt;=0,N(Screener!$D$14)&lt;=0),0,MAX(0,1-ABS(LOG10(Database!$S373/Screener!$D$14))/0.6))</f>
        <v/>
      </c>
      <c r="K373">
        <f>IF(Database!$B373=Screener!$B$5,-999999,IF(ISNUMBER(SEARCH(","&amp;Database!$A373&amp;",",","&amp;SUBSTITUTE(Screener!$D$17," ","")&amp;",")),2000000,IF(IF(OR(Screener!$B$18="All",AND(Screener!$B$18="With A-share",(Database!$BJ373="Y")),AND(Screener!$B$18="Without A-share",NOT((Database!$BJ373="Y")))),1,0)=0,-999999,IF(Screener!$B$16="cornerstone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Database!BD363</f>
        <v/>
      </c>
      <c r="AF373">
        <f>Database!BJ363</f>
        <v/>
      </c>
      <c r="AG373">
        <f>Database!H363</f>
        <v/>
      </c>
      <c r="AH373">
        <f>Database!BE363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IF(OR(Database!$BD374="",Screener!$D$10=""),0,IF(Database!$BD374=Screener!$D$10,1,0))</f>
        <v/>
      </c>
      <c r="F374">
        <f>IF(OR(Database!$BJ374="",Screener!$D$11=""),0,IF(Database!$BJ374=Screener!$D$11,1,0))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IF(OR(N(Database!$BE374)&lt;=0,N(Screener!$D$13)&lt;=0),0,MAX(0,1-ABS(LOG10(N(Database!$BE374)/Screener!$D$13))/W_PEHW))</f>
        <v/>
      </c>
      <c r="J374">
        <f>IF(OR(N(Database!$S374)&lt;=0,N(Screener!$D$14)&lt;=0),0,MAX(0,1-ABS(LOG10(Database!$S374/Screener!$D$14))/0.6))</f>
        <v/>
      </c>
      <c r="K374">
        <f>IF(Database!$B374=Screener!$B$5,-999999,IF(ISNUMBER(SEARCH(","&amp;Database!$A374&amp;",",","&amp;SUBSTITUTE(Screener!$D$17," ","")&amp;",")),2000000,IF(IF(OR(Screener!$B$18="All",AND(Screener!$B$18="With A-share",(Database!$BJ374="Y")),AND(Screener!$B$18="Without A-share",NOT((Database!$BJ374="Y")))),1,0)=0,-999999,IF(Screener!$B$16="cornerstone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Database!BD364</f>
        <v/>
      </c>
      <c r="AF374">
        <f>Database!BJ364</f>
        <v/>
      </c>
      <c r="AG374">
        <f>Database!H364</f>
        <v/>
      </c>
      <c r="AH374">
        <f>Database!BE364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IF(OR(Database!$BD375="",Screener!$D$10=""),0,IF(Database!$BD375=Screener!$D$10,1,0))</f>
        <v/>
      </c>
      <c r="F375">
        <f>IF(OR(Database!$BJ375="",Screener!$D$11=""),0,IF(Database!$BJ375=Screener!$D$11,1,0))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IF(OR(N(Database!$BE375)&lt;=0,N(Screener!$D$13)&lt;=0),0,MAX(0,1-ABS(LOG10(N(Database!$BE375)/Screener!$D$13))/W_PEHW))</f>
        <v/>
      </c>
      <c r="J375">
        <f>IF(OR(N(Database!$S375)&lt;=0,N(Screener!$D$14)&lt;=0),0,MAX(0,1-ABS(LOG10(Database!$S375/Screener!$D$14))/0.6))</f>
        <v/>
      </c>
      <c r="K375">
        <f>IF(Database!$B375=Screener!$B$5,-999999,IF(ISNUMBER(SEARCH(","&amp;Database!$A375&amp;",",","&amp;SUBSTITUTE(Screener!$D$17," ","")&amp;",")),2000000,IF(IF(OR(Screener!$B$18="All",AND(Screener!$B$18="With A-share",(Database!$BJ375="Y")),AND(Screener!$B$18="Without A-share",NOT((Database!$BJ375="Y")))),1,0)=0,-999999,IF(Screener!$B$16="cornerstone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Database!BD365</f>
        <v/>
      </c>
      <c r="AF375">
        <f>Database!BJ365</f>
        <v/>
      </c>
      <c r="AG375">
        <f>Database!H365</f>
        <v/>
      </c>
      <c r="AH375">
        <f>Database!BE365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IF(OR(Database!$BD376="",Screener!$D$10=""),0,IF(Database!$BD376=Screener!$D$10,1,0))</f>
        <v/>
      </c>
      <c r="F376">
        <f>IF(OR(Database!$BJ376="",Screener!$D$11=""),0,IF(Database!$BJ376=Screener!$D$11,1,0))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IF(OR(N(Database!$BE376)&lt;=0,N(Screener!$D$13)&lt;=0),0,MAX(0,1-ABS(LOG10(N(Database!$BE376)/Screener!$D$13))/W_PEHW))</f>
        <v/>
      </c>
      <c r="J376">
        <f>IF(OR(N(Database!$S376)&lt;=0,N(Screener!$D$14)&lt;=0),0,MAX(0,1-ABS(LOG10(Database!$S376/Screener!$D$14))/0.6))</f>
        <v/>
      </c>
      <c r="K376">
        <f>IF(Database!$B376=Screener!$B$5,-999999,IF(ISNUMBER(SEARCH(","&amp;Database!$A376&amp;",",","&amp;SUBSTITUTE(Screener!$D$17," ","")&amp;",")),2000000,IF(IF(OR(Screener!$B$18="All",AND(Screener!$B$18="With A-share",(Database!$BJ376="Y")),AND(Screener!$B$18="Without A-share",NOT((Database!$BJ376="Y")))),1,0)=0,-999999,IF(Screener!$B$16="cornerstone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Database!BD366</f>
        <v/>
      </c>
      <c r="AF376">
        <f>Database!BJ366</f>
        <v/>
      </c>
      <c r="AG376">
        <f>Database!H366</f>
        <v/>
      </c>
      <c r="AH376">
        <f>Database!BE366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IF(OR(Database!$BD377="",Screener!$D$10=""),0,IF(Database!$BD377=Screener!$D$10,1,0))</f>
        <v/>
      </c>
      <c r="F377">
        <f>IF(OR(Database!$BJ377="",Screener!$D$11=""),0,IF(Database!$BJ377=Screener!$D$11,1,0))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IF(OR(N(Database!$BE377)&lt;=0,N(Screener!$D$13)&lt;=0),0,MAX(0,1-ABS(LOG10(N(Database!$BE377)/Screener!$D$13))/W_PEHW))</f>
        <v/>
      </c>
      <c r="J377">
        <f>IF(OR(N(Database!$S377)&lt;=0,N(Screener!$D$14)&lt;=0),0,MAX(0,1-ABS(LOG10(Database!$S377/Screener!$D$14))/0.6))</f>
        <v/>
      </c>
      <c r="K377">
        <f>IF(Database!$B377=Screener!$B$5,-999999,IF(ISNUMBER(SEARCH(","&amp;Database!$A377&amp;",",","&amp;SUBSTITUTE(Screener!$D$17," ","")&amp;",")),2000000,IF(IF(OR(Screener!$B$18="All",AND(Screener!$B$18="With A-share",(Database!$BJ377="Y")),AND(Screener!$B$18="Without A-share",NOT((Database!$BJ377="Y")))),1,0)=0,-999999,IF(Screener!$B$16="cornerstone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Database!BD367</f>
        <v/>
      </c>
      <c r="AF377">
        <f>Database!BJ367</f>
        <v/>
      </c>
      <c r="AG377">
        <f>Database!H367</f>
        <v/>
      </c>
      <c r="AH377">
        <f>Database!BE367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IF(OR(Database!$BD378="",Screener!$D$10=""),0,IF(Database!$BD378=Screener!$D$10,1,0))</f>
        <v/>
      </c>
      <c r="F378">
        <f>IF(OR(Database!$BJ378="",Screener!$D$11=""),0,IF(Database!$BJ378=Screener!$D$11,1,0))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IF(OR(N(Database!$BE378)&lt;=0,N(Screener!$D$13)&lt;=0),0,MAX(0,1-ABS(LOG10(N(Database!$BE378)/Screener!$D$13))/W_PEHW))</f>
        <v/>
      </c>
      <c r="J378">
        <f>IF(OR(N(Database!$S378)&lt;=0,N(Screener!$D$14)&lt;=0),0,MAX(0,1-ABS(LOG10(Database!$S378/Screener!$D$14))/0.6))</f>
        <v/>
      </c>
      <c r="K378">
        <f>IF(Database!$B378=Screener!$B$5,-999999,IF(ISNUMBER(SEARCH(","&amp;Database!$A378&amp;",",","&amp;SUBSTITUTE(Screener!$D$17," ","")&amp;",")),2000000,IF(IF(OR(Screener!$B$18="All",AND(Screener!$B$18="With A-share",(Database!$BJ378="Y")),AND(Screener!$B$18="Without A-share",NOT((Database!$BJ378="Y")))),1,0)=0,-999999,IF(Screener!$B$16="cornerstone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Database!BD368</f>
        <v/>
      </c>
      <c r="AF378">
        <f>Database!BJ368</f>
        <v/>
      </c>
      <c r="AG378">
        <f>Database!H368</f>
        <v/>
      </c>
      <c r="AH378">
        <f>Database!BE368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IF(OR(Database!$BD379="",Screener!$D$10=""),0,IF(Database!$BD379=Screener!$D$10,1,0))</f>
        <v/>
      </c>
      <c r="F379">
        <f>IF(OR(Database!$BJ379="",Screener!$D$11=""),0,IF(Database!$BJ379=Screener!$D$11,1,0))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IF(OR(N(Database!$BE379)&lt;=0,N(Screener!$D$13)&lt;=0),0,MAX(0,1-ABS(LOG10(N(Database!$BE379)/Screener!$D$13))/W_PEHW))</f>
        <v/>
      </c>
      <c r="J379">
        <f>IF(OR(N(Database!$S379)&lt;=0,N(Screener!$D$14)&lt;=0),0,MAX(0,1-ABS(LOG10(Database!$S379/Screener!$D$14))/0.6))</f>
        <v/>
      </c>
      <c r="K379">
        <f>IF(Database!$B379=Screener!$B$5,-999999,IF(ISNUMBER(SEARCH(","&amp;Database!$A379&amp;",",","&amp;SUBSTITUTE(Screener!$D$17," ","")&amp;",")),2000000,IF(IF(OR(Screener!$B$18="All",AND(Screener!$B$18="With A-share",(Database!$BJ379="Y")),AND(Screener!$B$18="Without A-share",NOT((Database!$BJ379="Y")))),1,0)=0,-999999,IF(Screener!$B$16="cornerstone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Database!BD369</f>
        <v/>
      </c>
      <c r="AF379">
        <f>Database!BJ369</f>
        <v/>
      </c>
      <c r="AG379">
        <f>Database!H369</f>
        <v/>
      </c>
      <c r="AH379">
        <f>Database!BE369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IF(OR(Database!$BD380="",Screener!$D$10=""),0,IF(Database!$BD380=Screener!$D$10,1,0))</f>
        <v/>
      </c>
      <c r="F380">
        <f>IF(OR(Database!$BJ380="",Screener!$D$11=""),0,IF(Database!$BJ380=Screener!$D$11,1,0))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IF(OR(N(Database!$BE380)&lt;=0,N(Screener!$D$13)&lt;=0),0,MAX(0,1-ABS(LOG10(N(Database!$BE380)/Screener!$D$13))/W_PEHW))</f>
        <v/>
      </c>
      <c r="J380">
        <f>IF(OR(N(Database!$S380)&lt;=0,N(Screener!$D$14)&lt;=0),0,MAX(0,1-ABS(LOG10(Database!$S380/Screener!$D$14))/0.6))</f>
        <v/>
      </c>
      <c r="K380">
        <f>IF(Database!$B380=Screener!$B$5,-999999,IF(ISNUMBER(SEARCH(","&amp;Database!$A380&amp;",",","&amp;SUBSTITUTE(Screener!$D$17," ","")&amp;",")),2000000,IF(IF(OR(Screener!$B$18="All",AND(Screener!$B$18="With A-share",(Database!$BJ380="Y")),AND(Screener!$B$18="Without A-share",NOT((Database!$BJ380="Y")))),1,0)=0,-999999,IF(Screener!$B$16="cornerstone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Database!BD370</f>
        <v/>
      </c>
      <c r="AF380">
        <f>Database!BJ370</f>
        <v/>
      </c>
      <c r="AG380">
        <f>Database!H370</f>
        <v/>
      </c>
      <c r="AH380">
        <f>Database!BE370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IF(OR(Database!$BD381="",Screener!$D$10=""),0,IF(Database!$BD381=Screener!$D$10,1,0))</f>
        <v/>
      </c>
      <c r="F381">
        <f>IF(OR(Database!$BJ381="",Screener!$D$11=""),0,IF(Database!$BJ381=Screener!$D$11,1,0))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IF(OR(N(Database!$BE381)&lt;=0,N(Screener!$D$13)&lt;=0),0,MAX(0,1-ABS(LOG10(N(Database!$BE381)/Screener!$D$13))/W_PEHW))</f>
        <v/>
      </c>
      <c r="J381">
        <f>IF(OR(N(Database!$S381)&lt;=0,N(Screener!$D$14)&lt;=0),0,MAX(0,1-ABS(LOG10(Database!$S381/Screener!$D$14))/0.6))</f>
        <v/>
      </c>
      <c r="K381">
        <f>IF(Database!$B381=Screener!$B$5,-999999,IF(ISNUMBER(SEARCH(","&amp;Database!$A381&amp;",",","&amp;SUBSTITUTE(Screener!$D$17," ","")&amp;",")),2000000,IF(IF(OR(Screener!$B$18="All",AND(Screener!$B$18="With A-share",(Database!$BJ381="Y")),AND(Screener!$B$18="Without A-share",NOT((Database!$BJ381="Y")))),1,0)=0,-999999,IF(Screener!$B$16="cornerstone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Database!BD371</f>
        <v/>
      </c>
      <c r="AF381">
        <f>Database!BJ371</f>
        <v/>
      </c>
      <c r="AG381">
        <f>Database!H371</f>
        <v/>
      </c>
      <c r="AH381">
        <f>Database!BE371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IF(OR(Database!$BD382="",Screener!$D$10=""),0,IF(Database!$BD382=Screener!$D$10,1,0))</f>
        <v/>
      </c>
      <c r="F382">
        <f>IF(OR(Database!$BJ382="",Screener!$D$11=""),0,IF(Database!$BJ382=Screener!$D$11,1,0))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IF(OR(N(Database!$BE382)&lt;=0,N(Screener!$D$13)&lt;=0),0,MAX(0,1-ABS(LOG10(N(Database!$BE382)/Screener!$D$13))/W_PEHW))</f>
        <v/>
      </c>
      <c r="J382">
        <f>IF(OR(N(Database!$S382)&lt;=0,N(Screener!$D$14)&lt;=0),0,MAX(0,1-ABS(LOG10(Database!$S382/Screener!$D$14))/0.6))</f>
        <v/>
      </c>
      <c r="K382">
        <f>IF(Database!$B382=Screener!$B$5,-999999,IF(ISNUMBER(SEARCH(","&amp;Database!$A382&amp;",",","&amp;SUBSTITUTE(Screener!$D$17," ","")&amp;",")),2000000,IF(IF(OR(Screener!$B$18="All",AND(Screener!$B$18="With A-share",(Database!$BJ382="Y")),AND(Screener!$B$18="Without A-share",NOT((Database!$BJ382="Y")))),1,0)=0,-999999,IF(Screener!$B$16="cornerstone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Database!BD372</f>
        <v/>
      </c>
      <c r="AF382">
        <f>Database!BJ372</f>
        <v/>
      </c>
      <c r="AG382">
        <f>Database!H372</f>
        <v/>
      </c>
      <c r="AH382">
        <f>Database!BE372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IF(OR(Database!$BD383="",Screener!$D$10=""),0,IF(Database!$BD383=Screener!$D$10,1,0))</f>
        <v/>
      </c>
      <c r="F383">
        <f>IF(OR(Database!$BJ383="",Screener!$D$11=""),0,IF(Database!$BJ383=Screener!$D$11,1,0))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IF(OR(N(Database!$BE383)&lt;=0,N(Screener!$D$13)&lt;=0),0,MAX(0,1-ABS(LOG10(N(Database!$BE383)/Screener!$D$13))/W_PEHW))</f>
        <v/>
      </c>
      <c r="J383">
        <f>IF(OR(N(Database!$S383)&lt;=0,N(Screener!$D$14)&lt;=0),0,MAX(0,1-ABS(LOG10(Database!$S383/Screener!$D$14))/0.6))</f>
        <v/>
      </c>
      <c r="K383">
        <f>IF(Database!$B383=Screener!$B$5,-999999,IF(ISNUMBER(SEARCH(","&amp;Database!$A383&amp;",",","&amp;SUBSTITUTE(Screener!$D$17," ","")&amp;",")),2000000,IF(IF(OR(Screener!$B$18="All",AND(Screener!$B$18="With A-share",(Database!$BJ383="Y")),AND(Screener!$B$18="Without A-share",NOT((Database!$BJ383="Y")))),1,0)=0,-999999,IF(Screener!$B$16="cornerstone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Database!BD373</f>
        <v/>
      </c>
      <c r="AF383">
        <f>Database!BJ373</f>
        <v/>
      </c>
      <c r="AG383">
        <f>Database!H373</f>
        <v/>
      </c>
      <c r="AH383">
        <f>Database!BE373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IF(OR(Database!$BD384="",Screener!$D$10=""),0,IF(Database!$BD384=Screener!$D$10,1,0))</f>
        <v/>
      </c>
      <c r="F384">
        <f>IF(OR(Database!$BJ384="",Screener!$D$11=""),0,IF(Database!$BJ384=Screener!$D$11,1,0))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IF(OR(N(Database!$BE384)&lt;=0,N(Screener!$D$13)&lt;=0),0,MAX(0,1-ABS(LOG10(N(Database!$BE384)/Screener!$D$13))/W_PEHW))</f>
        <v/>
      </c>
      <c r="J384">
        <f>IF(OR(N(Database!$S384)&lt;=0,N(Screener!$D$14)&lt;=0),0,MAX(0,1-ABS(LOG10(Database!$S384/Screener!$D$14))/0.6))</f>
        <v/>
      </c>
      <c r="K384">
        <f>IF(Database!$B384=Screener!$B$5,-999999,IF(ISNUMBER(SEARCH(","&amp;Database!$A384&amp;",",","&amp;SUBSTITUTE(Screener!$D$17," ","")&amp;",")),2000000,IF(IF(OR(Screener!$B$18="All",AND(Screener!$B$18="With A-share",(Database!$BJ384="Y")),AND(Screener!$B$18="Without A-share",NOT((Database!$BJ384="Y")))),1,0)=0,-999999,IF(Screener!$B$16="cornerstone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Database!BD374</f>
        <v/>
      </c>
      <c r="AF384">
        <f>Database!BJ374</f>
        <v/>
      </c>
      <c r="AG384">
        <f>Database!H374</f>
        <v/>
      </c>
      <c r="AH384">
        <f>Database!BE374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IF(OR(Database!$BD385="",Screener!$D$10=""),0,IF(Database!$BD385=Screener!$D$10,1,0))</f>
        <v/>
      </c>
      <c r="F385">
        <f>IF(OR(Database!$BJ385="",Screener!$D$11=""),0,IF(Database!$BJ385=Screener!$D$11,1,0))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IF(OR(N(Database!$BE385)&lt;=0,N(Screener!$D$13)&lt;=0),0,MAX(0,1-ABS(LOG10(N(Database!$BE385)/Screener!$D$13))/W_PEHW))</f>
        <v/>
      </c>
      <c r="J385">
        <f>IF(OR(N(Database!$S385)&lt;=0,N(Screener!$D$14)&lt;=0),0,MAX(0,1-ABS(LOG10(Database!$S385/Screener!$D$14))/0.6))</f>
        <v/>
      </c>
      <c r="K385">
        <f>IF(Database!$B385=Screener!$B$5,-999999,IF(ISNUMBER(SEARCH(","&amp;Database!$A385&amp;",",","&amp;SUBSTITUTE(Screener!$D$17," ","")&amp;",")),2000000,IF(IF(OR(Screener!$B$18="All",AND(Screener!$B$18="With A-share",(Database!$BJ385="Y")),AND(Screener!$B$18="Without A-share",NOT((Database!$BJ385="Y")))),1,0)=0,-999999,IF(Screener!$B$16="cornerstone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Database!BD375</f>
        <v/>
      </c>
      <c r="AF385">
        <f>Database!BJ375</f>
        <v/>
      </c>
      <c r="AG385">
        <f>Database!H375</f>
        <v/>
      </c>
      <c r="AH385">
        <f>Database!BE375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IF(OR(Database!$BD386="",Screener!$D$10=""),0,IF(Database!$BD386=Screener!$D$10,1,0))</f>
        <v/>
      </c>
      <c r="F386">
        <f>IF(OR(Database!$BJ386="",Screener!$D$11=""),0,IF(Database!$BJ386=Screener!$D$11,1,0))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IF(OR(N(Database!$BE386)&lt;=0,N(Screener!$D$13)&lt;=0),0,MAX(0,1-ABS(LOG10(N(Database!$BE386)/Screener!$D$13))/W_PEHW))</f>
        <v/>
      </c>
      <c r="J386">
        <f>IF(OR(N(Database!$S386)&lt;=0,N(Screener!$D$14)&lt;=0),0,MAX(0,1-ABS(LOG10(Database!$S386/Screener!$D$14))/0.6))</f>
        <v/>
      </c>
      <c r="K386">
        <f>IF(Database!$B386=Screener!$B$5,-999999,IF(ISNUMBER(SEARCH(","&amp;Database!$A386&amp;",",","&amp;SUBSTITUTE(Screener!$D$17," ","")&amp;",")),2000000,IF(IF(OR(Screener!$B$18="All",AND(Screener!$B$18="With A-share",(Database!$BJ386="Y")),AND(Screener!$B$18="Without A-share",NOT((Database!$BJ386="Y")))),1,0)=0,-999999,IF(Screener!$B$16="cornerstone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Database!BD376</f>
        <v/>
      </c>
      <c r="AF386">
        <f>Database!BJ376</f>
        <v/>
      </c>
      <c r="AG386">
        <f>Database!H376</f>
        <v/>
      </c>
      <c r="AH386">
        <f>Database!BE376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IF(OR(Database!$BD387="",Screener!$D$10=""),0,IF(Database!$BD387=Screener!$D$10,1,0))</f>
        <v/>
      </c>
      <c r="F387">
        <f>IF(OR(Database!$BJ387="",Screener!$D$11=""),0,IF(Database!$BJ387=Screener!$D$11,1,0))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IF(OR(N(Database!$BE387)&lt;=0,N(Screener!$D$13)&lt;=0),0,MAX(0,1-ABS(LOG10(N(Database!$BE387)/Screener!$D$13))/W_PEHW))</f>
        <v/>
      </c>
      <c r="J387">
        <f>IF(OR(N(Database!$S387)&lt;=0,N(Screener!$D$14)&lt;=0),0,MAX(0,1-ABS(LOG10(Database!$S387/Screener!$D$14))/0.6))</f>
        <v/>
      </c>
      <c r="K387">
        <f>IF(Database!$B387=Screener!$B$5,-999999,IF(ISNUMBER(SEARCH(","&amp;Database!$A387&amp;",",","&amp;SUBSTITUTE(Screener!$D$17," ","")&amp;",")),2000000,IF(IF(OR(Screener!$B$18="All",AND(Screener!$B$18="With A-share",(Database!$BJ387="Y")),AND(Screener!$B$18="Without A-share",NOT((Database!$BJ387="Y")))),1,0)=0,-999999,IF(Screener!$B$16="cornerstone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Database!BD377</f>
        <v/>
      </c>
      <c r="AF387">
        <f>Database!BJ377</f>
        <v/>
      </c>
      <c r="AG387">
        <f>Database!H377</f>
        <v/>
      </c>
      <c r="AH387">
        <f>Database!BE377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IF(OR(Database!$BD388="",Screener!$D$10=""),0,IF(Database!$BD388=Screener!$D$10,1,0))</f>
        <v/>
      </c>
      <c r="F388">
        <f>IF(OR(Database!$BJ388="",Screener!$D$11=""),0,IF(Database!$BJ388=Screener!$D$11,1,0))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IF(OR(N(Database!$BE388)&lt;=0,N(Screener!$D$13)&lt;=0),0,MAX(0,1-ABS(LOG10(N(Database!$BE388)/Screener!$D$13))/W_PEHW))</f>
        <v/>
      </c>
      <c r="J388">
        <f>IF(OR(N(Database!$S388)&lt;=0,N(Screener!$D$14)&lt;=0),0,MAX(0,1-ABS(LOG10(Database!$S388/Screener!$D$14))/0.6))</f>
        <v/>
      </c>
      <c r="K388">
        <f>IF(Database!$B388=Screener!$B$5,-999999,IF(ISNUMBER(SEARCH(","&amp;Database!$A388&amp;",",","&amp;SUBSTITUTE(Screener!$D$17," ","")&amp;",")),2000000,IF(IF(OR(Screener!$B$18="All",AND(Screener!$B$18="With A-share",(Database!$BJ388="Y")),AND(Screener!$B$18="Without A-share",NOT((Database!$BJ388="Y")))),1,0)=0,-999999,IF(Screener!$B$16="cornerstone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Database!BD378</f>
        <v/>
      </c>
      <c r="AF388">
        <f>Database!BJ378</f>
        <v/>
      </c>
      <c r="AG388">
        <f>Database!H378</f>
        <v/>
      </c>
      <c r="AH388">
        <f>Database!BE378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IF(OR(Database!$BD389="",Screener!$D$10=""),0,IF(Database!$BD389=Screener!$D$10,1,0))</f>
        <v/>
      </c>
      <c r="F389">
        <f>IF(OR(Database!$BJ389="",Screener!$D$11=""),0,IF(Database!$BJ389=Screener!$D$11,1,0))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IF(OR(N(Database!$BE389)&lt;=0,N(Screener!$D$13)&lt;=0),0,MAX(0,1-ABS(LOG10(N(Database!$BE389)/Screener!$D$13))/W_PEHW))</f>
        <v/>
      </c>
      <c r="J389">
        <f>IF(OR(N(Database!$S389)&lt;=0,N(Screener!$D$14)&lt;=0),0,MAX(0,1-ABS(LOG10(Database!$S389/Screener!$D$14))/0.6))</f>
        <v/>
      </c>
      <c r="K389">
        <f>IF(Database!$B389=Screener!$B$5,-999999,IF(ISNUMBER(SEARCH(","&amp;Database!$A389&amp;",",","&amp;SUBSTITUTE(Screener!$D$17," ","")&amp;",")),2000000,IF(IF(OR(Screener!$B$18="All",AND(Screener!$B$18="With A-share",(Database!$BJ389="Y")),AND(Screener!$B$18="Without A-share",NOT((Database!$BJ389="Y")))),1,0)=0,-999999,IF(Screener!$B$16="cornerstone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Database!BD379</f>
        <v/>
      </c>
      <c r="AF389">
        <f>Database!BJ379</f>
        <v/>
      </c>
      <c r="AG389">
        <f>Database!H379</f>
        <v/>
      </c>
      <c r="AH389">
        <f>Database!BE379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IF(OR(Database!$BD390="",Screener!$D$10=""),0,IF(Database!$BD390=Screener!$D$10,1,0))</f>
        <v/>
      </c>
      <c r="F390">
        <f>IF(OR(Database!$BJ390="",Screener!$D$11=""),0,IF(Database!$BJ390=Screener!$D$11,1,0))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IF(OR(N(Database!$BE390)&lt;=0,N(Screener!$D$13)&lt;=0),0,MAX(0,1-ABS(LOG10(N(Database!$BE390)/Screener!$D$13))/W_PEHW))</f>
        <v/>
      </c>
      <c r="J390">
        <f>IF(OR(N(Database!$S390)&lt;=0,N(Screener!$D$14)&lt;=0),0,MAX(0,1-ABS(LOG10(Database!$S390/Screener!$D$14))/0.6))</f>
        <v/>
      </c>
      <c r="K390">
        <f>IF(Database!$B390=Screener!$B$5,-999999,IF(ISNUMBER(SEARCH(","&amp;Database!$A390&amp;",",","&amp;SUBSTITUTE(Screener!$D$17," ","")&amp;",")),2000000,IF(IF(OR(Screener!$B$18="All",AND(Screener!$B$18="With A-share",(Database!$BJ390="Y")),AND(Screener!$B$18="Without A-share",NOT((Database!$BJ390="Y")))),1,0)=0,-999999,IF(Screener!$B$16="cornerstone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Database!BD380</f>
        <v/>
      </c>
      <c r="AF390">
        <f>Database!BJ380</f>
        <v/>
      </c>
      <c r="AG390">
        <f>Database!H380</f>
        <v/>
      </c>
      <c r="AH390">
        <f>Database!BE380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IF(OR(Database!$BD391="",Screener!$D$10=""),0,IF(Database!$BD391=Screener!$D$10,1,0))</f>
        <v/>
      </c>
      <c r="F391">
        <f>IF(OR(Database!$BJ391="",Screener!$D$11=""),0,IF(Database!$BJ391=Screener!$D$11,1,0))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IF(OR(N(Database!$BE391)&lt;=0,N(Screener!$D$13)&lt;=0),0,MAX(0,1-ABS(LOG10(N(Database!$BE391)/Screener!$D$13))/W_PEHW))</f>
        <v/>
      </c>
      <c r="J391">
        <f>IF(OR(N(Database!$S391)&lt;=0,N(Screener!$D$14)&lt;=0),0,MAX(0,1-ABS(LOG10(Database!$S391/Screener!$D$14))/0.6))</f>
        <v/>
      </c>
      <c r="K391">
        <f>IF(Database!$B391=Screener!$B$5,-999999,IF(ISNUMBER(SEARCH(","&amp;Database!$A391&amp;",",","&amp;SUBSTITUTE(Screener!$D$17," ","")&amp;",")),2000000,IF(IF(OR(Screener!$B$18="All",AND(Screener!$B$18="With A-share",(Database!$BJ391="Y")),AND(Screener!$B$18="Without A-share",NOT((Database!$BJ391="Y")))),1,0)=0,-999999,IF(Screener!$B$16="cornerstone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Database!BD381</f>
        <v/>
      </c>
      <c r="AF391">
        <f>Database!BJ381</f>
        <v/>
      </c>
      <c r="AG391">
        <f>Database!H381</f>
        <v/>
      </c>
      <c r="AH391">
        <f>Database!BE381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IF(OR(Database!$BD392="",Screener!$D$10=""),0,IF(Database!$BD392=Screener!$D$10,1,0))</f>
        <v/>
      </c>
      <c r="F392">
        <f>IF(OR(Database!$BJ392="",Screener!$D$11=""),0,IF(Database!$BJ392=Screener!$D$11,1,0))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IF(OR(N(Database!$BE392)&lt;=0,N(Screener!$D$13)&lt;=0),0,MAX(0,1-ABS(LOG10(N(Database!$BE392)/Screener!$D$13))/W_PEHW))</f>
        <v/>
      </c>
      <c r="J392">
        <f>IF(OR(N(Database!$S392)&lt;=0,N(Screener!$D$14)&lt;=0),0,MAX(0,1-ABS(LOG10(Database!$S392/Screener!$D$14))/0.6))</f>
        <v/>
      </c>
      <c r="K392">
        <f>IF(Database!$B392=Screener!$B$5,-999999,IF(ISNUMBER(SEARCH(","&amp;Database!$A392&amp;",",","&amp;SUBSTITUTE(Screener!$D$17," ","")&amp;",")),2000000,IF(IF(OR(Screener!$B$18="All",AND(Screener!$B$18="With A-share",(Database!$BJ392="Y")),AND(Screener!$B$18="Without A-share",NOT((Database!$BJ392="Y")))),1,0)=0,-999999,IF(Screener!$B$16="cornerstone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Database!BD382</f>
        <v/>
      </c>
      <c r="AF392">
        <f>Database!BJ382</f>
        <v/>
      </c>
      <c r="AG392">
        <f>Database!H382</f>
        <v/>
      </c>
      <c r="AH392">
        <f>Database!BE382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IF(OR(Database!$BD393="",Screener!$D$10=""),0,IF(Database!$BD393=Screener!$D$10,1,0))</f>
        <v/>
      </c>
      <c r="F393">
        <f>IF(OR(Database!$BJ393="",Screener!$D$11=""),0,IF(Database!$BJ393=Screener!$D$11,1,0))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IF(OR(N(Database!$BE393)&lt;=0,N(Screener!$D$13)&lt;=0),0,MAX(0,1-ABS(LOG10(N(Database!$BE393)/Screener!$D$13))/W_PEHW))</f>
        <v/>
      </c>
      <c r="J393">
        <f>IF(OR(N(Database!$S393)&lt;=0,N(Screener!$D$14)&lt;=0),0,MAX(0,1-ABS(LOG10(Database!$S393/Screener!$D$14))/0.6))</f>
        <v/>
      </c>
      <c r="K393">
        <f>IF(Database!$B393=Screener!$B$5,-999999,IF(ISNUMBER(SEARCH(","&amp;Database!$A393&amp;",",","&amp;SUBSTITUTE(Screener!$D$17," ","")&amp;",")),2000000,IF(IF(OR(Screener!$B$18="All",AND(Screener!$B$18="With A-share",(Database!$BJ393="Y")),AND(Screener!$B$18="Without A-share",NOT((Database!$BJ393="Y")))),1,0)=0,-999999,IF(Screener!$B$16="cornerstone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Database!BD383</f>
        <v/>
      </c>
      <c r="AF393">
        <f>Database!BJ383</f>
        <v/>
      </c>
      <c r="AG393">
        <f>Database!H383</f>
        <v/>
      </c>
      <c r="AH393">
        <f>Database!BE383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IF(OR(Database!$BD394="",Screener!$D$10=""),0,IF(Database!$BD394=Screener!$D$10,1,0))</f>
        <v/>
      </c>
      <c r="F394">
        <f>IF(OR(Database!$BJ394="",Screener!$D$11=""),0,IF(Database!$BJ394=Screener!$D$11,1,0))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IF(OR(N(Database!$BE394)&lt;=0,N(Screener!$D$13)&lt;=0),0,MAX(0,1-ABS(LOG10(N(Database!$BE394)/Screener!$D$13))/W_PEHW))</f>
        <v/>
      </c>
      <c r="J394">
        <f>IF(OR(N(Database!$S394)&lt;=0,N(Screener!$D$14)&lt;=0),0,MAX(0,1-ABS(LOG10(Database!$S394/Screener!$D$14))/0.6))</f>
        <v/>
      </c>
      <c r="K394">
        <f>IF(Database!$B394=Screener!$B$5,-999999,IF(ISNUMBER(SEARCH(","&amp;Database!$A394&amp;",",","&amp;SUBSTITUTE(Screener!$D$17," ","")&amp;",")),2000000,IF(IF(OR(Screener!$B$18="All",AND(Screener!$B$18="With A-share",(Database!$BJ394="Y")),AND(Screener!$B$18="Without A-share",NOT((Database!$BJ394="Y")))),1,0)=0,-999999,IF(Screener!$B$16="cornerstone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Database!BD384</f>
        <v/>
      </c>
      <c r="AF394">
        <f>Database!BJ384</f>
        <v/>
      </c>
      <c r="AG394">
        <f>Database!H384</f>
        <v/>
      </c>
      <c r="AH394">
        <f>Database!BE384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IF(OR(Database!$BD395="",Screener!$D$10=""),0,IF(Database!$BD395=Screener!$D$10,1,0))</f>
        <v/>
      </c>
      <c r="F395">
        <f>IF(OR(Database!$BJ395="",Screener!$D$11=""),0,IF(Database!$BJ395=Screener!$D$11,1,0))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IF(OR(N(Database!$BE395)&lt;=0,N(Screener!$D$13)&lt;=0),0,MAX(0,1-ABS(LOG10(N(Database!$BE395)/Screener!$D$13))/W_PEHW))</f>
        <v/>
      </c>
      <c r="J395">
        <f>IF(OR(N(Database!$S395)&lt;=0,N(Screener!$D$14)&lt;=0),0,MAX(0,1-ABS(LOG10(Database!$S395/Screener!$D$14))/0.6))</f>
        <v/>
      </c>
      <c r="K395">
        <f>IF(Database!$B395=Screener!$B$5,-999999,IF(ISNUMBER(SEARCH(","&amp;Database!$A395&amp;",",","&amp;SUBSTITUTE(Screener!$D$17," ","")&amp;",")),2000000,IF(IF(OR(Screener!$B$18="All",AND(Screener!$B$18="With A-share",(Database!$BJ395="Y")),AND(Screener!$B$18="Without A-share",NOT((Database!$BJ395="Y")))),1,0)=0,-999999,IF(Screener!$B$16="cornerstone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Database!BD385</f>
        <v/>
      </c>
      <c r="AF395">
        <f>Database!BJ385</f>
        <v/>
      </c>
      <c r="AG395">
        <f>Database!H385</f>
        <v/>
      </c>
      <c r="AH395">
        <f>Database!BE385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IF(OR(Database!$BD396="",Screener!$D$10=""),0,IF(Database!$BD396=Screener!$D$10,1,0))</f>
        <v/>
      </c>
      <c r="F396">
        <f>IF(OR(Database!$BJ396="",Screener!$D$11=""),0,IF(Database!$BJ396=Screener!$D$11,1,0))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IF(OR(N(Database!$BE396)&lt;=0,N(Screener!$D$13)&lt;=0),0,MAX(0,1-ABS(LOG10(N(Database!$BE396)/Screener!$D$13))/W_PEHW))</f>
        <v/>
      </c>
      <c r="J396">
        <f>IF(OR(N(Database!$S396)&lt;=0,N(Screener!$D$14)&lt;=0),0,MAX(0,1-ABS(LOG10(Database!$S396/Screener!$D$14))/0.6))</f>
        <v/>
      </c>
      <c r="K396">
        <f>IF(Database!$B396=Screener!$B$5,-999999,IF(ISNUMBER(SEARCH(","&amp;Database!$A396&amp;",",","&amp;SUBSTITUTE(Screener!$D$17," ","")&amp;",")),2000000,IF(IF(OR(Screener!$B$18="All",AND(Screener!$B$18="With A-share",(Database!$BJ396="Y")),AND(Screener!$B$18="Without A-share",NOT((Database!$BJ396="Y")))),1,0)=0,-999999,IF(Screener!$B$16="cornerstone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Database!BD386</f>
        <v/>
      </c>
      <c r="AF396">
        <f>Database!BJ386</f>
        <v/>
      </c>
      <c r="AG396">
        <f>Database!H386</f>
        <v/>
      </c>
      <c r="AH396">
        <f>Database!BE386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IF(OR(Database!$BD397="",Screener!$D$10=""),0,IF(Database!$BD397=Screener!$D$10,1,0))</f>
        <v/>
      </c>
      <c r="F397">
        <f>IF(OR(Database!$BJ397="",Screener!$D$11=""),0,IF(Database!$BJ397=Screener!$D$11,1,0))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IF(OR(N(Database!$BE397)&lt;=0,N(Screener!$D$13)&lt;=0),0,MAX(0,1-ABS(LOG10(N(Database!$BE397)/Screener!$D$13))/W_PEHW))</f>
        <v/>
      </c>
      <c r="J397">
        <f>IF(OR(N(Database!$S397)&lt;=0,N(Screener!$D$14)&lt;=0),0,MAX(0,1-ABS(LOG10(Database!$S397/Screener!$D$14))/0.6))</f>
        <v/>
      </c>
      <c r="K397">
        <f>IF(Database!$B397=Screener!$B$5,-999999,IF(ISNUMBER(SEARCH(","&amp;Database!$A397&amp;",",","&amp;SUBSTITUTE(Screener!$D$17," ","")&amp;",")),2000000,IF(IF(OR(Screener!$B$18="All",AND(Screener!$B$18="With A-share",(Database!$BJ397="Y")),AND(Screener!$B$18="Without A-share",NOT((Database!$BJ397="Y")))),1,0)=0,-999999,IF(Screener!$B$16="cornerstone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Database!BD387</f>
        <v/>
      </c>
      <c r="AF397">
        <f>Database!BJ387</f>
        <v/>
      </c>
      <c r="AG397">
        <f>Database!H387</f>
        <v/>
      </c>
      <c r="AH397">
        <f>Database!BE387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IF(OR(Database!$BD398="",Screener!$D$10=""),0,IF(Database!$BD398=Screener!$D$10,1,0))</f>
        <v/>
      </c>
      <c r="F398">
        <f>IF(OR(Database!$BJ398="",Screener!$D$11=""),0,IF(Database!$BJ398=Screener!$D$11,1,0))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IF(OR(N(Database!$BE398)&lt;=0,N(Screener!$D$13)&lt;=0),0,MAX(0,1-ABS(LOG10(N(Database!$BE398)/Screener!$D$13))/W_PEHW))</f>
        <v/>
      </c>
      <c r="J398">
        <f>IF(OR(N(Database!$S398)&lt;=0,N(Screener!$D$14)&lt;=0),0,MAX(0,1-ABS(LOG10(Database!$S398/Screener!$D$14))/0.6))</f>
        <v/>
      </c>
      <c r="K398">
        <f>IF(Database!$B398=Screener!$B$5,-999999,IF(ISNUMBER(SEARCH(","&amp;Database!$A398&amp;",",","&amp;SUBSTITUTE(Screener!$D$17," ","")&amp;",")),2000000,IF(IF(OR(Screener!$B$18="All",AND(Screener!$B$18="With A-share",(Database!$BJ398="Y")),AND(Screener!$B$18="Without A-share",NOT((Database!$BJ398="Y")))),1,0)=0,-999999,IF(Screener!$B$16="cornerstone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Database!BD388</f>
        <v/>
      </c>
      <c r="AF398">
        <f>Database!BJ388</f>
        <v/>
      </c>
      <c r="AG398">
        <f>Database!H388</f>
        <v/>
      </c>
      <c r="AH398">
        <f>Database!BE388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IF(OR(Database!$BD399="",Screener!$D$10=""),0,IF(Database!$BD399=Screener!$D$10,1,0))</f>
        <v/>
      </c>
      <c r="F399">
        <f>IF(OR(Database!$BJ399="",Screener!$D$11=""),0,IF(Database!$BJ399=Screener!$D$11,1,0))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IF(OR(N(Database!$BE399)&lt;=0,N(Screener!$D$13)&lt;=0),0,MAX(0,1-ABS(LOG10(N(Database!$BE399)/Screener!$D$13))/W_PEHW))</f>
        <v/>
      </c>
      <c r="J399">
        <f>IF(OR(N(Database!$S399)&lt;=0,N(Screener!$D$14)&lt;=0),0,MAX(0,1-ABS(LOG10(Database!$S399/Screener!$D$14))/0.6))</f>
        <v/>
      </c>
      <c r="K399">
        <f>IF(Database!$B399=Screener!$B$5,-999999,IF(ISNUMBER(SEARCH(","&amp;Database!$A399&amp;",",","&amp;SUBSTITUTE(Screener!$D$17," ","")&amp;",")),2000000,IF(IF(OR(Screener!$B$18="All",AND(Screener!$B$18="With A-share",(Database!$BJ399="Y")),AND(Screener!$B$18="Without A-share",NOT((Database!$BJ399="Y")))),1,0)=0,-999999,IF(Screener!$B$16="cornerstone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Database!BD389</f>
        <v/>
      </c>
      <c r="AF399">
        <f>Database!BJ389</f>
        <v/>
      </c>
      <c r="AG399">
        <f>Database!H389</f>
        <v/>
      </c>
      <c r="AH399">
        <f>Database!BE389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IF(OR(Database!$BD400="",Screener!$D$10=""),0,IF(Database!$BD400=Screener!$D$10,1,0))</f>
        <v/>
      </c>
      <c r="F400">
        <f>IF(OR(Database!$BJ400="",Screener!$D$11=""),0,IF(Database!$BJ400=Screener!$D$11,1,0))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IF(OR(N(Database!$BE400)&lt;=0,N(Screener!$D$13)&lt;=0),0,MAX(0,1-ABS(LOG10(N(Database!$BE400)/Screener!$D$13))/W_PEHW))</f>
        <v/>
      </c>
      <c r="J400">
        <f>IF(OR(N(Database!$S400)&lt;=0,N(Screener!$D$14)&lt;=0),0,MAX(0,1-ABS(LOG10(Database!$S400/Screener!$D$14))/0.6))</f>
        <v/>
      </c>
      <c r="K400">
        <f>IF(Database!$B400=Screener!$B$5,-999999,IF(ISNUMBER(SEARCH(","&amp;Database!$A400&amp;",",","&amp;SUBSTITUTE(Screener!$D$17," ","")&amp;",")),2000000,IF(IF(OR(Screener!$B$18="All",AND(Screener!$B$18="With A-share",(Database!$BJ400="Y")),AND(Screener!$B$18="Without A-share",NOT((Database!$BJ400="Y")))),1,0)=0,-999999,IF(Screener!$B$16="cornerstone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Database!BD390</f>
        <v/>
      </c>
      <c r="AF400">
        <f>Database!BJ390</f>
        <v/>
      </c>
      <c r="AG400">
        <f>Database!H390</f>
        <v/>
      </c>
      <c r="AH400">
        <f>Database!BE390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IF(OR(Database!$BD401="",Screener!$D$10=""),0,IF(Database!$BD401=Screener!$D$10,1,0))</f>
        <v/>
      </c>
      <c r="F401">
        <f>IF(OR(Database!$BJ401="",Screener!$D$11=""),0,IF(Database!$BJ401=Screener!$D$11,1,0))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IF(OR(N(Database!$BE401)&lt;=0,N(Screener!$D$13)&lt;=0),0,MAX(0,1-ABS(LOG10(N(Database!$BE401)/Screener!$D$13))/W_PEHW))</f>
        <v/>
      </c>
      <c r="J401">
        <f>IF(OR(N(Database!$S401)&lt;=0,N(Screener!$D$14)&lt;=0),0,MAX(0,1-ABS(LOG10(Database!$S401/Screener!$D$14))/0.6))</f>
        <v/>
      </c>
      <c r="K401">
        <f>IF(Database!$B401=Screener!$B$5,-999999,IF(ISNUMBER(SEARCH(","&amp;Database!$A401&amp;",",","&amp;SUBSTITUTE(Screener!$D$17," ","")&amp;",")),2000000,IF(IF(OR(Screener!$B$18="All",AND(Screener!$B$18="With A-share",(Database!$BJ401="Y")),AND(Screener!$B$18="Without A-share",NOT((Database!$BJ401="Y")))),1,0)=0,-999999,IF(Screener!$B$16="cornerstone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Database!BD391</f>
        <v/>
      </c>
      <c r="AF401">
        <f>Database!BJ391</f>
        <v/>
      </c>
      <c r="AG401">
        <f>Database!H391</f>
        <v/>
      </c>
      <c r="AH401">
        <f>Database!BE391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IF(OR(Database!$BD402="",Screener!$D$10=""),0,IF(Database!$BD402=Screener!$D$10,1,0))</f>
        <v/>
      </c>
      <c r="F402">
        <f>IF(OR(Database!$BJ402="",Screener!$D$11=""),0,IF(Database!$BJ402=Screener!$D$11,1,0))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IF(OR(N(Database!$BE402)&lt;=0,N(Screener!$D$13)&lt;=0),0,MAX(0,1-ABS(LOG10(N(Database!$BE402)/Screener!$D$13))/W_PEHW))</f>
        <v/>
      </c>
      <c r="J402">
        <f>IF(OR(N(Database!$S402)&lt;=0,N(Screener!$D$14)&lt;=0),0,MAX(0,1-ABS(LOG10(Database!$S402/Screener!$D$14))/0.6))</f>
        <v/>
      </c>
      <c r="K402">
        <f>IF(Database!$B402=Screener!$B$5,-999999,IF(ISNUMBER(SEARCH(","&amp;Database!$A402&amp;",",","&amp;SUBSTITUTE(Screener!$D$17," ","")&amp;",")),2000000,IF(IF(OR(Screener!$B$18="All",AND(Screener!$B$18="With A-share",(Database!$BJ402="Y")),AND(Screener!$B$18="Without A-share",NOT((Database!$BJ402="Y")))),1,0)=0,-999999,IF(Screener!$B$16="cornerstone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Database!BD392</f>
        <v/>
      </c>
      <c r="AF402">
        <f>Database!BJ392</f>
        <v/>
      </c>
      <c r="AG402">
        <f>Database!H392</f>
        <v/>
      </c>
      <c r="AH402">
        <f>Database!BE392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IF(OR(Database!$BD403="",Screener!$D$10=""),0,IF(Database!$BD403=Screener!$D$10,1,0))</f>
        <v/>
      </c>
      <c r="F403">
        <f>IF(OR(Database!$BJ403="",Screener!$D$11=""),0,IF(Database!$BJ403=Screener!$D$11,1,0))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IF(OR(N(Database!$BE403)&lt;=0,N(Screener!$D$13)&lt;=0),0,MAX(0,1-ABS(LOG10(N(Database!$BE403)/Screener!$D$13))/W_PEHW))</f>
        <v/>
      </c>
      <c r="J403">
        <f>IF(OR(N(Database!$S403)&lt;=0,N(Screener!$D$14)&lt;=0),0,MAX(0,1-ABS(LOG10(Database!$S403/Screener!$D$14))/0.6))</f>
        <v/>
      </c>
      <c r="K403">
        <f>IF(Database!$B403=Screener!$B$5,-999999,IF(ISNUMBER(SEARCH(","&amp;Database!$A403&amp;",",","&amp;SUBSTITUTE(Screener!$D$17," ","")&amp;",")),2000000,IF(IF(OR(Screener!$B$18="All",AND(Screener!$B$18="With A-share",(Database!$BJ403="Y")),AND(Screener!$B$18="Without A-share",NOT((Database!$BJ403="Y")))),1,0)=0,-999999,IF(Screener!$B$16="cornerstone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Database!BD393</f>
        <v/>
      </c>
      <c r="AF403">
        <f>Database!BJ393</f>
        <v/>
      </c>
      <c r="AG403">
        <f>Database!H393</f>
        <v/>
      </c>
      <c r="AH403">
        <f>Database!BE393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IF(OR(Database!$BD404="",Screener!$D$10=""),0,IF(Database!$BD404=Screener!$D$10,1,0))</f>
        <v/>
      </c>
      <c r="F404">
        <f>IF(OR(Database!$BJ404="",Screener!$D$11=""),0,IF(Database!$BJ404=Screener!$D$11,1,0))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IF(OR(N(Database!$BE404)&lt;=0,N(Screener!$D$13)&lt;=0),0,MAX(0,1-ABS(LOG10(N(Database!$BE404)/Screener!$D$13))/W_PEHW))</f>
        <v/>
      </c>
      <c r="J404">
        <f>IF(OR(N(Database!$S404)&lt;=0,N(Screener!$D$14)&lt;=0),0,MAX(0,1-ABS(LOG10(Database!$S404/Screener!$D$14))/0.6))</f>
        <v/>
      </c>
      <c r="K404">
        <f>IF(Database!$B404=Screener!$B$5,-999999,IF(ISNUMBER(SEARCH(","&amp;Database!$A404&amp;",",","&amp;SUBSTITUTE(Screener!$D$17," ","")&amp;",")),2000000,IF(IF(OR(Screener!$B$18="All",AND(Screener!$B$18="With A-share",(Database!$BJ404="Y")),AND(Screener!$B$18="Without A-share",NOT((Database!$BJ404="Y")))),1,0)=0,-999999,IF(Screener!$B$16="cornerstone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Database!BD394</f>
        <v/>
      </c>
      <c r="AF404">
        <f>Database!BJ394</f>
        <v/>
      </c>
      <c r="AG404">
        <f>Database!H394</f>
        <v/>
      </c>
      <c r="AH404">
        <f>Database!BE394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IF(OR(Database!$BD405="",Screener!$D$10=""),0,IF(Database!$BD405=Screener!$D$10,1,0))</f>
        <v/>
      </c>
      <c r="F405">
        <f>IF(OR(Database!$BJ405="",Screener!$D$11=""),0,IF(Database!$BJ405=Screener!$D$11,1,0))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IF(OR(N(Database!$BE405)&lt;=0,N(Screener!$D$13)&lt;=0),0,MAX(0,1-ABS(LOG10(N(Database!$BE405)/Screener!$D$13))/W_PEHW))</f>
        <v/>
      </c>
      <c r="J405">
        <f>IF(OR(N(Database!$S405)&lt;=0,N(Screener!$D$14)&lt;=0),0,MAX(0,1-ABS(LOG10(Database!$S405/Screener!$D$14))/0.6))</f>
        <v/>
      </c>
      <c r="K405">
        <f>IF(Database!$B405=Screener!$B$5,-999999,IF(ISNUMBER(SEARCH(","&amp;Database!$A405&amp;",",","&amp;SUBSTITUTE(Screener!$D$17," ","")&amp;",")),2000000,IF(IF(OR(Screener!$B$18="All",AND(Screener!$B$18="With A-share",(Database!$BJ405="Y")),AND(Screener!$B$18="Without A-share",NOT((Database!$BJ405="Y")))),1,0)=0,-999999,IF(Screener!$B$16="cornerstone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Database!BD395</f>
        <v/>
      </c>
      <c r="AF405">
        <f>Database!BJ395</f>
        <v/>
      </c>
      <c r="AG405">
        <f>Database!H395</f>
        <v/>
      </c>
      <c r="AH405">
        <f>Database!BE395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IF(OR(Database!$BD406="",Screener!$D$10=""),0,IF(Database!$BD406=Screener!$D$10,1,0))</f>
        <v/>
      </c>
      <c r="F406">
        <f>IF(OR(Database!$BJ406="",Screener!$D$11=""),0,IF(Database!$BJ406=Screener!$D$11,1,0))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IF(OR(N(Database!$BE406)&lt;=0,N(Screener!$D$13)&lt;=0),0,MAX(0,1-ABS(LOG10(N(Database!$BE406)/Screener!$D$13))/W_PEHW))</f>
        <v/>
      </c>
      <c r="J406">
        <f>IF(OR(N(Database!$S406)&lt;=0,N(Screener!$D$14)&lt;=0),0,MAX(0,1-ABS(LOG10(Database!$S406/Screener!$D$14))/0.6))</f>
        <v/>
      </c>
      <c r="K406">
        <f>IF(Database!$B406=Screener!$B$5,-999999,IF(ISNUMBER(SEARCH(","&amp;Database!$A406&amp;",",","&amp;SUBSTITUTE(Screener!$D$17," ","")&amp;",")),2000000,IF(IF(OR(Screener!$B$18="All",AND(Screener!$B$18="With A-share",(Database!$BJ406="Y")),AND(Screener!$B$18="Without A-share",NOT((Database!$BJ406="Y")))),1,0)=0,-999999,IF(Screener!$B$16="cornerstone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Database!BD396</f>
        <v/>
      </c>
      <c r="AF406">
        <f>Database!BJ396</f>
        <v/>
      </c>
      <c r="AG406">
        <f>Database!H396</f>
        <v/>
      </c>
      <c r="AH406">
        <f>Database!BE396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IF(OR(Database!$BD407="",Screener!$D$10=""),0,IF(Database!$BD407=Screener!$D$10,1,0))</f>
        <v/>
      </c>
      <c r="F407">
        <f>IF(OR(Database!$BJ407="",Screener!$D$11=""),0,IF(Database!$BJ407=Screener!$D$11,1,0))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IF(OR(N(Database!$BE407)&lt;=0,N(Screener!$D$13)&lt;=0),0,MAX(0,1-ABS(LOG10(N(Database!$BE407)/Screener!$D$13))/W_PEHW))</f>
        <v/>
      </c>
      <c r="J407">
        <f>IF(OR(N(Database!$S407)&lt;=0,N(Screener!$D$14)&lt;=0),0,MAX(0,1-ABS(LOG10(Database!$S407/Screener!$D$14))/0.6))</f>
        <v/>
      </c>
      <c r="K407">
        <f>IF(Database!$B407=Screener!$B$5,-999999,IF(ISNUMBER(SEARCH(","&amp;Database!$A407&amp;",",","&amp;SUBSTITUTE(Screener!$D$17," ","")&amp;",")),2000000,IF(IF(OR(Screener!$B$18="All",AND(Screener!$B$18="With A-share",(Database!$BJ407="Y")),AND(Screener!$B$18="Without A-share",NOT((Database!$BJ407="Y")))),1,0)=0,-999999,IF(Screener!$B$16="cornerstone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Database!BD397</f>
        <v/>
      </c>
      <c r="AF407">
        <f>Database!BJ397</f>
        <v/>
      </c>
      <c r="AG407">
        <f>Database!H397</f>
        <v/>
      </c>
      <c r="AH407">
        <f>Database!BE397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IF(OR(Database!$BD408="",Screener!$D$10=""),0,IF(Database!$BD408=Screener!$D$10,1,0))</f>
        <v/>
      </c>
      <c r="F408">
        <f>IF(OR(Database!$BJ408="",Screener!$D$11=""),0,IF(Database!$BJ408=Screener!$D$11,1,0))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IF(OR(N(Database!$BE408)&lt;=0,N(Screener!$D$13)&lt;=0),0,MAX(0,1-ABS(LOG10(N(Database!$BE408)/Screener!$D$13))/W_PEHW))</f>
        <v/>
      </c>
      <c r="J408">
        <f>IF(OR(N(Database!$S408)&lt;=0,N(Screener!$D$14)&lt;=0),0,MAX(0,1-ABS(LOG10(Database!$S408/Screener!$D$14))/0.6))</f>
        <v/>
      </c>
      <c r="K408">
        <f>IF(Database!$B408=Screener!$B$5,-999999,IF(ISNUMBER(SEARCH(","&amp;Database!$A408&amp;",",","&amp;SUBSTITUTE(Screener!$D$17," ","")&amp;",")),2000000,IF(IF(OR(Screener!$B$18="All",AND(Screener!$B$18="With A-share",(Database!$BJ408="Y")),AND(Screener!$B$18="Without A-share",NOT((Database!$BJ408="Y")))),1,0)=0,-999999,IF(Screener!$B$16="cornerstone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Database!BD398</f>
        <v/>
      </c>
      <c r="AF408">
        <f>Database!BJ398</f>
        <v/>
      </c>
      <c r="AG408">
        <f>Database!H398</f>
        <v/>
      </c>
      <c r="AH408">
        <f>Database!BE398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IF(OR(Database!$BD409="",Screener!$D$10=""),0,IF(Database!$BD409=Screener!$D$10,1,0))</f>
        <v/>
      </c>
      <c r="F409">
        <f>IF(OR(Database!$BJ409="",Screener!$D$11=""),0,IF(Database!$BJ409=Screener!$D$11,1,0))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IF(OR(N(Database!$BE409)&lt;=0,N(Screener!$D$13)&lt;=0),0,MAX(0,1-ABS(LOG10(N(Database!$BE409)/Screener!$D$13))/W_PEHW))</f>
        <v/>
      </c>
      <c r="J409">
        <f>IF(OR(N(Database!$S409)&lt;=0,N(Screener!$D$14)&lt;=0),0,MAX(0,1-ABS(LOG10(Database!$S409/Screener!$D$14))/0.6))</f>
        <v/>
      </c>
      <c r="K409">
        <f>IF(Database!$B409=Screener!$B$5,-999999,IF(ISNUMBER(SEARCH(","&amp;Database!$A409&amp;",",","&amp;SUBSTITUTE(Screener!$D$17," ","")&amp;",")),2000000,IF(IF(OR(Screener!$B$18="All",AND(Screener!$B$18="With A-share",(Database!$BJ409="Y")),AND(Screener!$B$18="Without A-share",NOT((Database!$BJ409="Y")))),1,0)=0,-999999,IF(Screener!$B$16="cornerstone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Database!BD399</f>
        <v/>
      </c>
      <c r="AF409">
        <f>Database!BJ399</f>
        <v/>
      </c>
      <c r="AG409">
        <f>Database!H399</f>
        <v/>
      </c>
      <c r="AH409">
        <f>Database!BE399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IF(OR(Database!$BD410="",Screener!$D$10=""),0,IF(Database!$BD410=Screener!$D$10,1,0))</f>
        <v/>
      </c>
      <c r="F410">
        <f>IF(OR(Database!$BJ410="",Screener!$D$11=""),0,IF(Database!$BJ410=Screener!$D$11,1,0))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IF(OR(N(Database!$BE410)&lt;=0,N(Screener!$D$13)&lt;=0),0,MAX(0,1-ABS(LOG10(N(Database!$BE410)/Screener!$D$13))/W_PEHW))</f>
        <v/>
      </c>
      <c r="J410">
        <f>IF(OR(N(Database!$S410)&lt;=0,N(Screener!$D$14)&lt;=0),0,MAX(0,1-ABS(LOG10(Database!$S410/Screener!$D$14))/0.6))</f>
        <v/>
      </c>
      <c r="K410">
        <f>IF(Database!$B410=Screener!$B$5,-999999,IF(ISNUMBER(SEARCH(","&amp;Database!$A410&amp;",",","&amp;SUBSTITUTE(Screener!$D$17," ","")&amp;",")),2000000,IF(IF(OR(Screener!$B$18="All",AND(Screener!$B$18="With A-share",(Database!$BJ410="Y")),AND(Screener!$B$18="Without A-share",NOT((Database!$BJ410="Y")))),1,0)=0,-999999,IF(Screener!$B$16="cornerstone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Database!BD400</f>
        <v/>
      </c>
      <c r="AF410">
        <f>Database!BJ400</f>
        <v/>
      </c>
      <c r="AG410">
        <f>Database!H400</f>
        <v/>
      </c>
      <c r="AH410">
        <f>Database!BE400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IF(OR(Database!$BD411="",Screener!$D$10=""),0,IF(Database!$BD411=Screener!$D$10,1,0))</f>
        <v/>
      </c>
      <c r="F411">
        <f>IF(OR(Database!$BJ411="",Screener!$D$11=""),0,IF(Database!$BJ411=Screener!$D$11,1,0))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IF(OR(N(Database!$BE411)&lt;=0,N(Screener!$D$13)&lt;=0),0,MAX(0,1-ABS(LOG10(N(Database!$BE411)/Screener!$D$13))/W_PEHW))</f>
        <v/>
      </c>
      <c r="J411">
        <f>IF(OR(N(Database!$S411)&lt;=0,N(Screener!$D$14)&lt;=0),0,MAX(0,1-ABS(LOG10(Database!$S411/Screener!$D$14))/0.6))</f>
        <v/>
      </c>
      <c r="K411">
        <f>IF(Database!$B411=Screener!$B$5,-999999,IF(ISNUMBER(SEARCH(","&amp;Database!$A411&amp;",",","&amp;SUBSTITUTE(Screener!$D$17," ","")&amp;",")),2000000,IF(IF(OR(Screener!$B$18="All",AND(Screener!$B$18="With A-share",(Database!$BJ411="Y")),AND(Screener!$B$18="Without A-share",NOT((Database!$BJ411="Y")))),1,0)=0,-999999,IF(Screener!$B$16="cornerstone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Database!BD401</f>
        <v/>
      </c>
      <c r="AF411">
        <f>Database!BJ401</f>
        <v/>
      </c>
      <c r="AG411">
        <f>Database!H401</f>
        <v/>
      </c>
      <c r="AH411">
        <f>Database!BE401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IF(OR(Database!$BD412="",Screener!$D$10=""),0,IF(Database!$BD412=Screener!$D$10,1,0))</f>
        <v/>
      </c>
      <c r="F412">
        <f>IF(OR(Database!$BJ412="",Screener!$D$11=""),0,IF(Database!$BJ412=Screener!$D$11,1,0))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IF(OR(N(Database!$BE412)&lt;=0,N(Screener!$D$13)&lt;=0),0,MAX(0,1-ABS(LOG10(N(Database!$BE412)/Screener!$D$13))/W_PEHW))</f>
        <v/>
      </c>
      <c r="J412">
        <f>IF(OR(N(Database!$S412)&lt;=0,N(Screener!$D$14)&lt;=0),0,MAX(0,1-ABS(LOG10(Database!$S412/Screener!$D$14))/0.6))</f>
        <v/>
      </c>
      <c r="K412">
        <f>IF(Database!$B412=Screener!$B$5,-999999,IF(ISNUMBER(SEARCH(","&amp;Database!$A412&amp;",",","&amp;SUBSTITUTE(Screener!$D$17," ","")&amp;",")),2000000,IF(IF(OR(Screener!$B$18="All",AND(Screener!$B$18="With A-share",(Database!$BJ412="Y")),AND(Screener!$B$18="Without A-share",NOT((Database!$BJ412="Y")))),1,0)=0,-999999,IF(Screener!$B$16="cornerstone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Database!BD402</f>
        <v/>
      </c>
      <c r="AF412">
        <f>Database!BJ402</f>
        <v/>
      </c>
      <c r="AG412">
        <f>Database!H402</f>
        <v/>
      </c>
      <c r="AH412">
        <f>Database!BE402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IF(OR(Database!$BD413="",Screener!$D$10=""),0,IF(Database!$BD413=Screener!$D$10,1,0))</f>
        <v/>
      </c>
      <c r="F413">
        <f>IF(OR(Database!$BJ413="",Screener!$D$11=""),0,IF(Database!$BJ413=Screener!$D$11,1,0))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IF(OR(N(Database!$BE413)&lt;=0,N(Screener!$D$13)&lt;=0),0,MAX(0,1-ABS(LOG10(N(Database!$BE413)/Screener!$D$13))/W_PEHW))</f>
        <v/>
      </c>
      <c r="J413">
        <f>IF(OR(N(Database!$S413)&lt;=0,N(Screener!$D$14)&lt;=0),0,MAX(0,1-ABS(LOG10(Database!$S413/Screener!$D$14))/0.6))</f>
        <v/>
      </c>
      <c r="K413">
        <f>IF(Database!$B413=Screener!$B$5,-999999,IF(ISNUMBER(SEARCH(","&amp;Database!$A413&amp;",",","&amp;SUBSTITUTE(Screener!$D$17," ","")&amp;",")),2000000,IF(IF(OR(Screener!$B$18="All",AND(Screener!$B$18="With A-share",(Database!$BJ413="Y")),AND(Screener!$B$18="Without A-share",NOT((Database!$BJ413="Y")))),1,0)=0,-999999,IF(Screener!$B$16="cornerstone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Database!BD403</f>
        <v/>
      </c>
      <c r="AF413">
        <f>Database!BJ403</f>
        <v/>
      </c>
      <c r="AG413">
        <f>Database!H403</f>
        <v/>
      </c>
      <c r="AH413">
        <f>Database!BE403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IF(OR(Database!$BD414="",Screener!$D$10=""),0,IF(Database!$BD414=Screener!$D$10,1,0))</f>
        <v/>
      </c>
      <c r="F414">
        <f>IF(OR(Database!$BJ414="",Screener!$D$11=""),0,IF(Database!$BJ414=Screener!$D$11,1,0))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IF(OR(N(Database!$BE414)&lt;=0,N(Screener!$D$13)&lt;=0),0,MAX(0,1-ABS(LOG10(N(Database!$BE414)/Screener!$D$13))/W_PEHW))</f>
        <v/>
      </c>
      <c r="J414">
        <f>IF(OR(N(Database!$S414)&lt;=0,N(Screener!$D$14)&lt;=0),0,MAX(0,1-ABS(LOG10(Database!$S414/Screener!$D$14))/0.6))</f>
        <v/>
      </c>
      <c r="K414">
        <f>IF(Database!$B414=Screener!$B$5,-999999,IF(ISNUMBER(SEARCH(","&amp;Database!$A414&amp;",",","&amp;SUBSTITUTE(Screener!$D$17," ","")&amp;",")),2000000,IF(IF(OR(Screener!$B$18="All",AND(Screener!$B$18="With A-share",(Database!$BJ414="Y")),AND(Screener!$B$18="Without A-share",NOT((Database!$BJ414="Y")))),1,0)=0,-999999,IF(Screener!$B$16="cornerstone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Database!BD404</f>
        <v/>
      </c>
      <c r="AF414">
        <f>Database!BJ404</f>
        <v/>
      </c>
      <c r="AG414">
        <f>Database!H404</f>
        <v/>
      </c>
      <c r="AH414">
        <f>Database!BE404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IF(OR(Database!$BD415="",Screener!$D$10=""),0,IF(Database!$BD415=Screener!$D$10,1,0))</f>
        <v/>
      </c>
      <c r="F415">
        <f>IF(OR(Database!$BJ415="",Screener!$D$11=""),0,IF(Database!$BJ415=Screener!$D$11,1,0))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IF(OR(N(Database!$BE415)&lt;=0,N(Screener!$D$13)&lt;=0),0,MAX(0,1-ABS(LOG10(N(Database!$BE415)/Screener!$D$13))/W_PEHW))</f>
        <v/>
      </c>
      <c r="J415">
        <f>IF(OR(N(Database!$S415)&lt;=0,N(Screener!$D$14)&lt;=0),0,MAX(0,1-ABS(LOG10(Database!$S415/Screener!$D$14))/0.6))</f>
        <v/>
      </c>
      <c r="K415">
        <f>IF(Database!$B415=Screener!$B$5,-999999,IF(ISNUMBER(SEARCH(","&amp;Database!$A415&amp;",",","&amp;SUBSTITUTE(Screener!$D$17," ","")&amp;",")),2000000,IF(IF(OR(Screener!$B$18="All",AND(Screener!$B$18="With A-share",(Database!$BJ415="Y")),AND(Screener!$B$18="Without A-share",NOT((Database!$BJ415="Y")))),1,0)=0,-999999,IF(Screener!$B$16="cornerstone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Database!BD405</f>
        <v/>
      </c>
      <c r="AF415">
        <f>Database!BJ405</f>
        <v/>
      </c>
      <c r="AG415">
        <f>Database!H405</f>
        <v/>
      </c>
      <c r="AH415">
        <f>Database!BE405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IF(OR(Database!$BD416="",Screener!$D$10=""),0,IF(Database!$BD416=Screener!$D$10,1,0))</f>
        <v/>
      </c>
      <c r="F416">
        <f>IF(OR(Database!$BJ416="",Screener!$D$11=""),0,IF(Database!$BJ416=Screener!$D$11,1,0))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IF(OR(N(Database!$BE416)&lt;=0,N(Screener!$D$13)&lt;=0),0,MAX(0,1-ABS(LOG10(N(Database!$BE416)/Screener!$D$13))/W_PEHW))</f>
        <v/>
      </c>
      <c r="J416">
        <f>IF(OR(N(Database!$S416)&lt;=0,N(Screener!$D$14)&lt;=0),0,MAX(0,1-ABS(LOG10(Database!$S416/Screener!$D$14))/0.6))</f>
        <v/>
      </c>
      <c r="K416">
        <f>IF(Database!$B416=Screener!$B$5,-999999,IF(ISNUMBER(SEARCH(","&amp;Database!$A416&amp;",",","&amp;SUBSTITUTE(Screener!$D$17," ","")&amp;",")),2000000,IF(IF(OR(Screener!$B$18="All",AND(Screener!$B$18="With A-share",(Database!$BJ416="Y")),AND(Screener!$B$18="Without A-share",NOT((Database!$BJ416="Y")))),1,0)=0,-999999,IF(Screener!$B$16="cornerstone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Database!BD406</f>
        <v/>
      </c>
      <c r="AF416">
        <f>Database!BJ406</f>
        <v/>
      </c>
      <c r="AG416">
        <f>Database!H406</f>
        <v/>
      </c>
      <c r="AH416">
        <f>Database!BE406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IF(OR(Database!$BD417="",Screener!$D$10=""),0,IF(Database!$BD417=Screener!$D$10,1,0))</f>
        <v/>
      </c>
      <c r="F417">
        <f>IF(OR(Database!$BJ417="",Screener!$D$11=""),0,IF(Database!$BJ417=Screener!$D$11,1,0))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IF(OR(N(Database!$BE417)&lt;=0,N(Screener!$D$13)&lt;=0),0,MAX(0,1-ABS(LOG10(N(Database!$BE417)/Screener!$D$13))/W_PEHW))</f>
        <v/>
      </c>
      <c r="J417">
        <f>IF(OR(N(Database!$S417)&lt;=0,N(Screener!$D$14)&lt;=0),0,MAX(0,1-ABS(LOG10(Database!$S417/Screener!$D$14))/0.6))</f>
        <v/>
      </c>
      <c r="K417">
        <f>IF(Database!$B417=Screener!$B$5,-999999,IF(ISNUMBER(SEARCH(","&amp;Database!$A417&amp;",",","&amp;SUBSTITUTE(Screener!$D$17," ","")&amp;",")),2000000,IF(IF(OR(Screener!$B$18="All",AND(Screener!$B$18="With A-share",(Database!$BJ417="Y")),AND(Screener!$B$18="Without A-share",NOT((Database!$BJ417="Y")))),1,0)=0,-999999,IF(Screener!$B$16="cornerstone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Database!BD407</f>
        <v/>
      </c>
      <c r="AF417">
        <f>Database!BJ407</f>
        <v/>
      </c>
      <c r="AG417">
        <f>Database!H407</f>
        <v/>
      </c>
      <c r="AH417">
        <f>Database!BE407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IF(OR(Database!$BD418="",Screener!$D$10=""),0,IF(Database!$BD418=Screener!$D$10,1,0))</f>
        <v/>
      </c>
      <c r="F418">
        <f>IF(OR(Database!$BJ418="",Screener!$D$11=""),0,IF(Database!$BJ418=Screener!$D$11,1,0))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IF(OR(N(Database!$BE418)&lt;=0,N(Screener!$D$13)&lt;=0),0,MAX(0,1-ABS(LOG10(N(Database!$BE418)/Screener!$D$13))/W_PEHW))</f>
        <v/>
      </c>
      <c r="J418">
        <f>IF(OR(N(Database!$S418)&lt;=0,N(Screener!$D$14)&lt;=0),0,MAX(0,1-ABS(LOG10(Database!$S418/Screener!$D$14))/0.6))</f>
        <v/>
      </c>
      <c r="K418">
        <f>IF(Database!$B418=Screener!$B$5,-999999,IF(ISNUMBER(SEARCH(","&amp;Database!$A418&amp;",",","&amp;SUBSTITUTE(Screener!$D$17," ","")&amp;",")),2000000,IF(IF(OR(Screener!$B$18="All",AND(Screener!$B$18="With A-share",(Database!$BJ418="Y")),AND(Screener!$B$18="Without A-share",NOT((Database!$BJ418="Y")))),1,0)=0,-999999,IF(Screener!$B$16="cornerstone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Database!BD408</f>
        <v/>
      </c>
      <c r="AF418">
        <f>Database!BJ408</f>
        <v/>
      </c>
      <c r="AG418">
        <f>Database!H408</f>
        <v/>
      </c>
      <c r="AH418">
        <f>Database!BE408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IF(OR(Database!$BD419="",Screener!$D$10=""),0,IF(Database!$BD419=Screener!$D$10,1,0))</f>
        <v/>
      </c>
      <c r="F419">
        <f>IF(OR(Database!$BJ419="",Screener!$D$11=""),0,IF(Database!$BJ419=Screener!$D$11,1,0))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IF(OR(N(Database!$BE419)&lt;=0,N(Screener!$D$13)&lt;=0),0,MAX(0,1-ABS(LOG10(N(Database!$BE419)/Screener!$D$13))/W_PEHW))</f>
        <v/>
      </c>
      <c r="J419">
        <f>IF(OR(N(Database!$S419)&lt;=0,N(Screener!$D$14)&lt;=0),0,MAX(0,1-ABS(LOG10(Database!$S419/Screener!$D$14))/0.6))</f>
        <v/>
      </c>
      <c r="K419">
        <f>IF(Database!$B419=Screener!$B$5,-999999,IF(ISNUMBER(SEARCH(","&amp;Database!$A419&amp;",",","&amp;SUBSTITUTE(Screener!$D$17," ","")&amp;",")),2000000,IF(IF(OR(Screener!$B$18="All",AND(Screener!$B$18="With A-share",(Database!$BJ419="Y")),AND(Screener!$B$18="Without A-share",NOT((Database!$BJ419="Y")))),1,0)=0,-999999,IF(Screener!$B$16="cornerstone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Database!BD409</f>
        <v/>
      </c>
      <c r="AF419">
        <f>Database!BJ409</f>
        <v/>
      </c>
      <c r="AG419">
        <f>Database!H409</f>
        <v/>
      </c>
      <c r="AH419">
        <f>Database!BE409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IF(OR(Database!$BD420="",Screener!$D$10=""),0,IF(Database!$BD420=Screener!$D$10,1,0))</f>
        <v/>
      </c>
      <c r="F420">
        <f>IF(OR(Database!$BJ420="",Screener!$D$11=""),0,IF(Database!$BJ420=Screener!$D$11,1,0))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IF(OR(N(Database!$BE420)&lt;=0,N(Screener!$D$13)&lt;=0),0,MAX(0,1-ABS(LOG10(N(Database!$BE420)/Screener!$D$13))/W_PEHW))</f>
        <v/>
      </c>
      <c r="J420">
        <f>IF(OR(N(Database!$S420)&lt;=0,N(Screener!$D$14)&lt;=0),0,MAX(0,1-ABS(LOG10(Database!$S420/Screener!$D$14))/0.6))</f>
        <v/>
      </c>
      <c r="K420">
        <f>IF(Database!$B420=Screener!$B$5,-999999,IF(ISNUMBER(SEARCH(","&amp;Database!$A420&amp;",",","&amp;SUBSTITUTE(Screener!$D$17," ","")&amp;",")),2000000,IF(IF(OR(Screener!$B$18="All",AND(Screener!$B$18="With A-share",(Database!$BJ420="Y")),AND(Screener!$B$18="Without A-share",NOT((Database!$BJ420="Y")))),1,0)=0,-999999,IF(Screener!$B$16="cornerstone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Database!BD410</f>
        <v/>
      </c>
      <c r="AF420">
        <f>Database!BJ410</f>
        <v/>
      </c>
      <c r="AG420">
        <f>Database!H410</f>
        <v/>
      </c>
      <c r="AH420">
        <f>Database!BE410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IF(OR(Database!$BD421="",Screener!$D$10=""),0,IF(Database!$BD421=Screener!$D$10,1,0))</f>
        <v/>
      </c>
      <c r="F421">
        <f>IF(OR(Database!$BJ421="",Screener!$D$11=""),0,IF(Database!$BJ421=Screener!$D$11,1,0))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IF(OR(N(Database!$BE421)&lt;=0,N(Screener!$D$13)&lt;=0),0,MAX(0,1-ABS(LOG10(N(Database!$BE421)/Screener!$D$13))/W_PEHW))</f>
        <v/>
      </c>
      <c r="J421">
        <f>IF(OR(N(Database!$S421)&lt;=0,N(Screener!$D$14)&lt;=0),0,MAX(0,1-ABS(LOG10(Database!$S421/Screener!$D$14))/0.6))</f>
        <v/>
      </c>
      <c r="K421">
        <f>IF(Database!$B421=Screener!$B$5,-999999,IF(ISNUMBER(SEARCH(","&amp;Database!$A421&amp;",",","&amp;SUBSTITUTE(Screener!$D$17," ","")&amp;",")),2000000,IF(IF(OR(Screener!$B$18="All",AND(Screener!$B$18="With A-share",(Database!$BJ421="Y")),AND(Screener!$B$18="Without A-share",NOT((Database!$BJ421="Y")))),1,0)=0,-999999,IF(Screener!$B$16="cornerstone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Database!BD411</f>
        <v/>
      </c>
      <c r="AF421">
        <f>Database!BJ411</f>
        <v/>
      </c>
      <c r="AG421">
        <f>Database!H411</f>
        <v/>
      </c>
      <c r="AH421">
        <f>Database!BE411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IF(OR(Database!$BD422="",Screener!$D$10=""),0,IF(Database!$BD422=Screener!$D$10,1,0))</f>
        <v/>
      </c>
      <c r="F422">
        <f>IF(OR(Database!$BJ422="",Screener!$D$11=""),0,IF(Database!$BJ422=Screener!$D$11,1,0))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IF(OR(N(Database!$BE422)&lt;=0,N(Screener!$D$13)&lt;=0),0,MAX(0,1-ABS(LOG10(N(Database!$BE422)/Screener!$D$13))/W_PEHW))</f>
        <v/>
      </c>
      <c r="J422">
        <f>IF(OR(N(Database!$S422)&lt;=0,N(Screener!$D$14)&lt;=0),0,MAX(0,1-ABS(LOG10(Database!$S422/Screener!$D$14))/0.6))</f>
        <v/>
      </c>
      <c r="K422">
        <f>IF(Database!$B422=Screener!$B$5,-999999,IF(ISNUMBER(SEARCH(","&amp;Database!$A422&amp;",",","&amp;SUBSTITUTE(Screener!$D$17," ","")&amp;",")),2000000,IF(IF(OR(Screener!$B$18="All",AND(Screener!$B$18="With A-share",(Database!$BJ422="Y")),AND(Screener!$B$18="Without A-share",NOT((Database!$BJ422="Y")))),1,0)=0,-999999,IF(Screener!$B$16="cornerstone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Database!BD412</f>
        <v/>
      </c>
      <c r="AF422">
        <f>Database!BJ412</f>
        <v/>
      </c>
      <c r="AG422">
        <f>Database!H412</f>
        <v/>
      </c>
      <c r="AH422">
        <f>Database!BE412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IF(OR(Database!$BD423="",Screener!$D$10=""),0,IF(Database!$BD423=Screener!$D$10,1,0))</f>
        <v/>
      </c>
      <c r="F423">
        <f>IF(OR(Database!$BJ423="",Screener!$D$11=""),0,IF(Database!$BJ423=Screener!$D$11,1,0))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IF(OR(N(Database!$BE423)&lt;=0,N(Screener!$D$13)&lt;=0),0,MAX(0,1-ABS(LOG10(N(Database!$BE423)/Screener!$D$13))/W_PEHW))</f>
        <v/>
      </c>
      <c r="J423">
        <f>IF(OR(N(Database!$S423)&lt;=0,N(Screener!$D$14)&lt;=0),0,MAX(0,1-ABS(LOG10(Database!$S423/Screener!$D$14))/0.6))</f>
        <v/>
      </c>
      <c r="K423">
        <f>IF(Database!$B423=Screener!$B$5,-999999,IF(ISNUMBER(SEARCH(","&amp;Database!$A423&amp;",",","&amp;SUBSTITUTE(Screener!$D$17," ","")&amp;",")),2000000,IF(IF(OR(Screener!$B$18="All",AND(Screener!$B$18="With A-share",(Database!$BJ423="Y")),AND(Screener!$B$18="Without A-share",NOT((Database!$BJ423="Y")))),1,0)=0,-999999,IF(Screener!$B$16="cornerstone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Database!BD413</f>
        <v/>
      </c>
      <c r="AF423">
        <f>Database!BJ413</f>
        <v/>
      </c>
      <c r="AG423">
        <f>Database!H413</f>
        <v/>
      </c>
      <c r="AH423">
        <f>Database!BE413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IF(OR(Database!$BD424="",Screener!$D$10=""),0,IF(Database!$BD424=Screener!$D$10,1,0))</f>
        <v/>
      </c>
      <c r="F424">
        <f>IF(OR(Database!$BJ424="",Screener!$D$11=""),0,IF(Database!$BJ424=Screener!$D$11,1,0))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IF(OR(N(Database!$BE424)&lt;=0,N(Screener!$D$13)&lt;=0),0,MAX(0,1-ABS(LOG10(N(Database!$BE424)/Screener!$D$13))/W_PEHW))</f>
        <v/>
      </c>
      <c r="J424">
        <f>IF(OR(N(Database!$S424)&lt;=0,N(Screener!$D$14)&lt;=0),0,MAX(0,1-ABS(LOG10(Database!$S424/Screener!$D$14))/0.6))</f>
        <v/>
      </c>
      <c r="K424">
        <f>IF(Database!$B424=Screener!$B$5,-999999,IF(ISNUMBER(SEARCH(","&amp;Database!$A424&amp;",",","&amp;SUBSTITUTE(Screener!$D$17," ","")&amp;",")),2000000,IF(IF(OR(Screener!$B$18="All",AND(Screener!$B$18="With A-share",(Database!$BJ424="Y")),AND(Screener!$B$18="Without A-share",NOT((Database!$BJ424="Y")))),1,0)=0,-999999,IF(Screener!$B$16="cornerstone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Database!BD414</f>
        <v/>
      </c>
      <c r="AF424">
        <f>Database!BJ414</f>
        <v/>
      </c>
      <c r="AG424">
        <f>Database!H414</f>
        <v/>
      </c>
      <c r="AH424">
        <f>Database!BE414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IF(OR(Database!$BD425="",Screener!$D$10=""),0,IF(Database!$BD425=Screener!$D$10,1,0))</f>
        <v/>
      </c>
      <c r="F425">
        <f>IF(OR(Database!$BJ425="",Screener!$D$11=""),0,IF(Database!$BJ425=Screener!$D$11,1,0))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IF(OR(N(Database!$BE425)&lt;=0,N(Screener!$D$13)&lt;=0),0,MAX(0,1-ABS(LOG10(N(Database!$BE425)/Screener!$D$13))/W_PEHW))</f>
        <v/>
      </c>
      <c r="J425">
        <f>IF(OR(N(Database!$S425)&lt;=0,N(Screener!$D$14)&lt;=0),0,MAX(0,1-ABS(LOG10(Database!$S425/Screener!$D$14))/0.6))</f>
        <v/>
      </c>
      <c r="K425">
        <f>IF(Database!$B425=Screener!$B$5,-999999,IF(ISNUMBER(SEARCH(","&amp;Database!$A425&amp;",",","&amp;SUBSTITUTE(Screener!$D$17," ","")&amp;",")),2000000,IF(IF(OR(Screener!$B$18="All",AND(Screener!$B$18="With A-share",(Database!$BJ425="Y")),AND(Screener!$B$18="Without A-share",NOT((Database!$BJ425="Y")))),1,0)=0,-999999,IF(Screener!$B$16="cornerstone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Database!BD415</f>
        <v/>
      </c>
      <c r="AF425">
        <f>Database!BJ415</f>
        <v/>
      </c>
      <c r="AG425">
        <f>Database!H415</f>
        <v/>
      </c>
      <c r="AH425">
        <f>Database!BE415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IF(OR(Database!$BD426="",Screener!$D$10=""),0,IF(Database!$BD426=Screener!$D$10,1,0))</f>
        <v/>
      </c>
      <c r="F426">
        <f>IF(OR(Database!$BJ426="",Screener!$D$11=""),0,IF(Database!$BJ426=Screener!$D$11,1,0))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IF(OR(N(Database!$BE426)&lt;=0,N(Screener!$D$13)&lt;=0),0,MAX(0,1-ABS(LOG10(N(Database!$BE426)/Screener!$D$13))/W_PEHW))</f>
        <v/>
      </c>
      <c r="J426">
        <f>IF(OR(N(Database!$S426)&lt;=0,N(Screener!$D$14)&lt;=0),0,MAX(0,1-ABS(LOG10(Database!$S426/Screener!$D$14))/0.6))</f>
        <v/>
      </c>
      <c r="K426">
        <f>IF(Database!$B426=Screener!$B$5,-999999,IF(ISNUMBER(SEARCH(","&amp;Database!$A426&amp;",",","&amp;SUBSTITUTE(Screener!$D$17," ","")&amp;",")),2000000,IF(IF(OR(Screener!$B$18="All",AND(Screener!$B$18="With A-share",(Database!$BJ426="Y")),AND(Screener!$B$18="Without A-share",NOT((Database!$BJ426="Y")))),1,0)=0,-999999,IF(Screener!$B$16="cornerstone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Database!BD416</f>
        <v/>
      </c>
      <c r="AF426">
        <f>Database!BJ416</f>
        <v/>
      </c>
      <c r="AG426">
        <f>Database!H416</f>
        <v/>
      </c>
      <c r="AH426">
        <f>Database!BE416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IF(OR(Database!$BD427="",Screener!$D$10=""),0,IF(Database!$BD427=Screener!$D$10,1,0))</f>
        <v/>
      </c>
      <c r="F427">
        <f>IF(OR(Database!$BJ427="",Screener!$D$11=""),0,IF(Database!$BJ427=Screener!$D$11,1,0))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IF(OR(N(Database!$BE427)&lt;=0,N(Screener!$D$13)&lt;=0),0,MAX(0,1-ABS(LOG10(N(Database!$BE427)/Screener!$D$13))/W_PEHW))</f>
        <v/>
      </c>
      <c r="J427">
        <f>IF(OR(N(Database!$S427)&lt;=0,N(Screener!$D$14)&lt;=0),0,MAX(0,1-ABS(LOG10(Database!$S427/Screener!$D$14))/0.6))</f>
        <v/>
      </c>
      <c r="K427">
        <f>IF(Database!$B427=Screener!$B$5,-999999,IF(ISNUMBER(SEARCH(","&amp;Database!$A427&amp;",",","&amp;SUBSTITUTE(Screener!$D$17," ","")&amp;",")),2000000,IF(IF(OR(Screener!$B$18="All",AND(Screener!$B$18="With A-share",(Database!$BJ427="Y")),AND(Screener!$B$18="Without A-share",NOT((Database!$BJ427="Y")))),1,0)=0,-999999,IF(Screener!$B$16="cornerstone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Database!BD417</f>
        <v/>
      </c>
      <c r="AF427">
        <f>Database!BJ417</f>
        <v/>
      </c>
      <c r="AG427">
        <f>Database!H417</f>
        <v/>
      </c>
      <c r="AH427">
        <f>Database!BE417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IF(OR(Database!$BD428="",Screener!$D$10=""),0,IF(Database!$BD428=Screener!$D$10,1,0))</f>
        <v/>
      </c>
      <c r="F428">
        <f>IF(OR(Database!$BJ428="",Screener!$D$11=""),0,IF(Database!$BJ428=Screener!$D$11,1,0))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IF(OR(N(Database!$BE428)&lt;=0,N(Screener!$D$13)&lt;=0),0,MAX(0,1-ABS(LOG10(N(Database!$BE428)/Screener!$D$13))/W_PEHW))</f>
        <v/>
      </c>
      <c r="J428">
        <f>IF(OR(N(Database!$S428)&lt;=0,N(Screener!$D$14)&lt;=0),0,MAX(0,1-ABS(LOG10(Database!$S428/Screener!$D$14))/0.6))</f>
        <v/>
      </c>
      <c r="K428">
        <f>IF(Database!$B428=Screener!$B$5,-999999,IF(ISNUMBER(SEARCH(","&amp;Database!$A428&amp;",",","&amp;SUBSTITUTE(Screener!$D$17," ","")&amp;",")),2000000,IF(IF(OR(Screener!$B$18="All",AND(Screener!$B$18="With A-share",(Database!$BJ428="Y")),AND(Screener!$B$18="Without A-share",NOT((Database!$BJ428="Y")))),1,0)=0,-999999,IF(Screener!$B$16="cornerstone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Database!BD418</f>
        <v/>
      </c>
      <c r="AF428">
        <f>Database!BJ418</f>
        <v/>
      </c>
      <c r="AG428">
        <f>Database!H418</f>
        <v/>
      </c>
      <c r="AH428">
        <f>Database!BE418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IF(OR(Database!$BD429="",Screener!$D$10=""),0,IF(Database!$BD429=Screener!$D$10,1,0))</f>
        <v/>
      </c>
      <c r="F429">
        <f>IF(OR(Database!$BJ429="",Screener!$D$11=""),0,IF(Database!$BJ429=Screener!$D$11,1,0))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IF(OR(N(Database!$BE429)&lt;=0,N(Screener!$D$13)&lt;=0),0,MAX(0,1-ABS(LOG10(N(Database!$BE429)/Screener!$D$13))/W_PEHW))</f>
        <v/>
      </c>
      <c r="J429">
        <f>IF(OR(N(Database!$S429)&lt;=0,N(Screener!$D$14)&lt;=0),0,MAX(0,1-ABS(LOG10(Database!$S429/Screener!$D$14))/0.6))</f>
        <v/>
      </c>
      <c r="K429">
        <f>IF(Database!$B429=Screener!$B$5,-999999,IF(ISNUMBER(SEARCH(","&amp;Database!$A429&amp;",",","&amp;SUBSTITUTE(Screener!$D$17," ","")&amp;",")),2000000,IF(IF(OR(Screener!$B$18="All",AND(Screener!$B$18="With A-share",(Database!$BJ429="Y")),AND(Screener!$B$18="Without A-share",NOT((Database!$BJ429="Y")))),1,0)=0,-999999,IF(Screener!$B$16="cornerstone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Database!BD419</f>
        <v/>
      </c>
      <c r="AF429">
        <f>Database!BJ419</f>
        <v/>
      </c>
      <c r="AG429">
        <f>Database!H419</f>
        <v/>
      </c>
      <c r="AH429">
        <f>Database!BE419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IF(OR(Database!$BD430="",Screener!$D$10=""),0,IF(Database!$BD430=Screener!$D$10,1,0))</f>
        <v/>
      </c>
      <c r="F430">
        <f>IF(OR(Database!$BJ430="",Screener!$D$11=""),0,IF(Database!$BJ430=Screener!$D$11,1,0))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IF(OR(N(Database!$BE430)&lt;=0,N(Screener!$D$13)&lt;=0),0,MAX(0,1-ABS(LOG10(N(Database!$BE430)/Screener!$D$13))/W_PEHW))</f>
        <v/>
      </c>
      <c r="J430">
        <f>IF(OR(N(Database!$S430)&lt;=0,N(Screener!$D$14)&lt;=0),0,MAX(0,1-ABS(LOG10(Database!$S430/Screener!$D$14))/0.6))</f>
        <v/>
      </c>
      <c r="K430">
        <f>IF(Database!$B430=Screener!$B$5,-999999,IF(ISNUMBER(SEARCH(","&amp;Database!$A430&amp;",",","&amp;SUBSTITUTE(Screener!$D$17," ","")&amp;",")),2000000,IF(IF(OR(Screener!$B$18="All",AND(Screener!$B$18="With A-share",(Database!$BJ430="Y")),AND(Screener!$B$18="Without A-share",NOT((Database!$BJ430="Y")))),1,0)=0,-999999,IF(Screener!$B$16="cornerstone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Database!BD420</f>
        <v/>
      </c>
      <c r="AF430">
        <f>Database!BJ420</f>
        <v/>
      </c>
      <c r="AG430">
        <f>Database!H420</f>
        <v/>
      </c>
      <c r="AH430">
        <f>Database!BE420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IF(OR(Database!$BD431="",Screener!$D$10=""),0,IF(Database!$BD431=Screener!$D$10,1,0))</f>
        <v/>
      </c>
      <c r="F431">
        <f>IF(OR(Database!$BJ431="",Screener!$D$11=""),0,IF(Database!$BJ431=Screener!$D$11,1,0))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IF(OR(N(Database!$BE431)&lt;=0,N(Screener!$D$13)&lt;=0),0,MAX(0,1-ABS(LOG10(N(Database!$BE431)/Screener!$D$13))/W_PEHW))</f>
        <v/>
      </c>
      <c r="J431">
        <f>IF(OR(N(Database!$S431)&lt;=0,N(Screener!$D$14)&lt;=0),0,MAX(0,1-ABS(LOG10(Database!$S431/Screener!$D$14))/0.6))</f>
        <v/>
      </c>
      <c r="K431">
        <f>IF(Database!$B431=Screener!$B$5,-999999,IF(ISNUMBER(SEARCH(","&amp;Database!$A431&amp;",",","&amp;SUBSTITUTE(Screener!$D$17," ","")&amp;",")),2000000,IF(IF(OR(Screener!$B$18="All",AND(Screener!$B$18="With A-share",(Database!$BJ431="Y")),AND(Screener!$B$18="Without A-share",NOT((Database!$BJ431="Y")))),1,0)=0,-999999,IF(Screener!$B$16="cornerstone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Database!BD421</f>
        <v/>
      </c>
      <c r="AF431">
        <f>Database!BJ421</f>
        <v/>
      </c>
      <c r="AG431">
        <f>Database!H421</f>
        <v/>
      </c>
      <c r="AH431">
        <f>Database!BE421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IF(OR(Database!$BD432="",Screener!$D$10=""),0,IF(Database!$BD432=Screener!$D$10,1,0))</f>
        <v/>
      </c>
      <c r="F432">
        <f>IF(OR(Database!$BJ432="",Screener!$D$11=""),0,IF(Database!$BJ432=Screener!$D$11,1,0))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IF(OR(N(Database!$BE432)&lt;=0,N(Screener!$D$13)&lt;=0),0,MAX(0,1-ABS(LOG10(N(Database!$BE432)/Screener!$D$13))/W_PEHW))</f>
        <v/>
      </c>
      <c r="J432">
        <f>IF(OR(N(Database!$S432)&lt;=0,N(Screener!$D$14)&lt;=0),0,MAX(0,1-ABS(LOG10(Database!$S432/Screener!$D$14))/0.6))</f>
        <v/>
      </c>
      <c r="K432">
        <f>IF(Database!$B432=Screener!$B$5,-999999,IF(ISNUMBER(SEARCH(","&amp;Database!$A432&amp;",",","&amp;SUBSTITUTE(Screener!$D$17," ","")&amp;",")),2000000,IF(IF(OR(Screener!$B$18="All",AND(Screener!$B$18="With A-share",(Database!$BJ432="Y")),AND(Screener!$B$18="Without A-share",NOT((Database!$BJ432="Y")))),1,0)=0,-999999,IF(Screener!$B$16="cornerstone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Database!BD422</f>
        <v/>
      </c>
      <c r="AF432">
        <f>Database!BJ422</f>
        <v/>
      </c>
      <c r="AG432">
        <f>Database!H422</f>
        <v/>
      </c>
      <c r="AH432">
        <f>Database!BE422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IF(OR(Database!$BD433="",Screener!$D$10=""),0,IF(Database!$BD433=Screener!$D$10,1,0))</f>
        <v/>
      </c>
      <c r="F433">
        <f>IF(OR(Database!$BJ433="",Screener!$D$11=""),0,IF(Database!$BJ433=Screener!$D$11,1,0))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IF(OR(N(Database!$BE433)&lt;=0,N(Screener!$D$13)&lt;=0),0,MAX(0,1-ABS(LOG10(N(Database!$BE433)/Screener!$D$13))/W_PEHW))</f>
        <v/>
      </c>
      <c r="J433">
        <f>IF(OR(N(Database!$S433)&lt;=0,N(Screener!$D$14)&lt;=0),0,MAX(0,1-ABS(LOG10(Database!$S433/Screener!$D$14))/0.6))</f>
        <v/>
      </c>
      <c r="K433">
        <f>IF(Database!$B433=Screener!$B$5,-999999,IF(ISNUMBER(SEARCH(","&amp;Database!$A433&amp;",",","&amp;SUBSTITUTE(Screener!$D$17," ","")&amp;",")),2000000,IF(IF(OR(Screener!$B$18="All",AND(Screener!$B$18="With A-share",(Database!$BJ433="Y")),AND(Screener!$B$18="Without A-share",NOT((Database!$BJ433="Y")))),1,0)=0,-999999,IF(Screener!$B$16="cornerstone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Database!BD423</f>
        <v/>
      </c>
      <c r="AF433">
        <f>Database!BJ423</f>
        <v/>
      </c>
      <c r="AG433">
        <f>Database!H423</f>
        <v/>
      </c>
      <c r="AH433">
        <f>Database!BE423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IF(OR(Database!$BD434="",Screener!$D$10=""),0,IF(Database!$BD434=Screener!$D$10,1,0))</f>
        <v/>
      </c>
      <c r="F434">
        <f>IF(OR(Database!$BJ434="",Screener!$D$11=""),0,IF(Database!$BJ434=Screener!$D$11,1,0))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IF(OR(N(Database!$BE434)&lt;=0,N(Screener!$D$13)&lt;=0),0,MAX(0,1-ABS(LOG10(N(Database!$BE434)/Screener!$D$13))/W_PEHW))</f>
        <v/>
      </c>
      <c r="J434">
        <f>IF(OR(N(Database!$S434)&lt;=0,N(Screener!$D$14)&lt;=0),0,MAX(0,1-ABS(LOG10(Database!$S434/Screener!$D$14))/0.6))</f>
        <v/>
      </c>
      <c r="K434">
        <f>IF(Database!$B434=Screener!$B$5,-999999,IF(ISNUMBER(SEARCH(","&amp;Database!$A434&amp;",",","&amp;SUBSTITUTE(Screener!$D$17," ","")&amp;",")),2000000,IF(IF(OR(Screener!$B$18="All",AND(Screener!$B$18="With A-share",(Database!$BJ434="Y")),AND(Screener!$B$18="Without A-share",NOT((Database!$BJ434="Y")))),1,0)=0,-999999,IF(Screener!$B$16="cornerstone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Database!BD424</f>
        <v/>
      </c>
      <c r="AF434">
        <f>Database!BJ424</f>
        <v/>
      </c>
      <c r="AG434">
        <f>Database!H424</f>
        <v/>
      </c>
      <c r="AH434">
        <f>Database!BE424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IF(OR(Database!$BD435="",Screener!$D$10=""),0,IF(Database!$BD435=Screener!$D$10,1,0))</f>
        <v/>
      </c>
      <c r="F435">
        <f>IF(OR(Database!$BJ435="",Screener!$D$11=""),0,IF(Database!$BJ435=Screener!$D$11,1,0))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IF(OR(N(Database!$BE435)&lt;=0,N(Screener!$D$13)&lt;=0),0,MAX(0,1-ABS(LOG10(N(Database!$BE435)/Screener!$D$13))/W_PEHW))</f>
        <v/>
      </c>
      <c r="J435">
        <f>IF(OR(N(Database!$S435)&lt;=0,N(Screener!$D$14)&lt;=0),0,MAX(0,1-ABS(LOG10(Database!$S435/Screener!$D$14))/0.6))</f>
        <v/>
      </c>
      <c r="K435">
        <f>IF(Database!$B435=Screener!$B$5,-999999,IF(ISNUMBER(SEARCH(","&amp;Database!$A435&amp;",",","&amp;SUBSTITUTE(Screener!$D$17," ","")&amp;",")),2000000,IF(IF(OR(Screener!$B$18="All",AND(Screener!$B$18="With A-share",(Database!$BJ435="Y")),AND(Screener!$B$18="Without A-share",NOT((Database!$BJ435="Y")))),1,0)=0,-999999,IF(Screener!$B$16="cornerstone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Database!BD425</f>
        <v/>
      </c>
      <c r="AF435">
        <f>Database!BJ425</f>
        <v/>
      </c>
      <c r="AG435">
        <f>Database!H425</f>
        <v/>
      </c>
      <c r="AH435">
        <f>Database!BE425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IF(OR(Database!$BD436="",Screener!$D$10=""),0,IF(Database!$BD436=Screener!$D$10,1,0))</f>
        <v/>
      </c>
      <c r="F436">
        <f>IF(OR(Database!$BJ436="",Screener!$D$11=""),0,IF(Database!$BJ436=Screener!$D$11,1,0))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IF(OR(N(Database!$BE436)&lt;=0,N(Screener!$D$13)&lt;=0),0,MAX(0,1-ABS(LOG10(N(Database!$BE436)/Screener!$D$13))/W_PEHW))</f>
        <v/>
      </c>
      <c r="J436">
        <f>IF(OR(N(Database!$S436)&lt;=0,N(Screener!$D$14)&lt;=0),0,MAX(0,1-ABS(LOG10(Database!$S436/Screener!$D$14))/0.6))</f>
        <v/>
      </c>
      <c r="K436">
        <f>IF(Database!$B436=Screener!$B$5,-999999,IF(ISNUMBER(SEARCH(","&amp;Database!$A436&amp;",",","&amp;SUBSTITUTE(Screener!$D$17," ","")&amp;",")),2000000,IF(IF(OR(Screener!$B$18="All",AND(Screener!$B$18="With A-share",(Database!$BJ436="Y")),AND(Screener!$B$18="Without A-share",NOT((Database!$BJ436="Y")))),1,0)=0,-999999,IF(Screener!$B$16="cornerstone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Database!BD426</f>
        <v/>
      </c>
      <c r="AF436">
        <f>Database!BJ426</f>
        <v/>
      </c>
      <c r="AG436">
        <f>Database!H426</f>
        <v/>
      </c>
      <c r="AH436">
        <f>Database!BE426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IF(OR(Database!$BD437="",Screener!$D$10=""),0,IF(Database!$BD437=Screener!$D$10,1,0))</f>
        <v/>
      </c>
      <c r="F437">
        <f>IF(OR(Database!$BJ437="",Screener!$D$11=""),0,IF(Database!$BJ437=Screener!$D$11,1,0))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IF(OR(N(Database!$BE437)&lt;=0,N(Screener!$D$13)&lt;=0),0,MAX(0,1-ABS(LOG10(N(Database!$BE437)/Screener!$D$13))/W_PEHW))</f>
        <v/>
      </c>
      <c r="J437">
        <f>IF(OR(N(Database!$S437)&lt;=0,N(Screener!$D$14)&lt;=0),0,MAX(0,1-ABS(LOG10(Database!$S437/Screener!$D$14))/0.6))</f>
        <v/>
      </c>
      <c r="K437">
        <f>IF(Database!$B437=Screener!$B$5,-999999,IF(ISNUMBER(SEARCH(","&amp;Database!$A437&amp;",",","&amp;SUBSTITUTE(Screener!$D$17," ","")&amp;",")),2000000,IF(IF(OR(Screener!$B$18="All",AND(Screener!$B$18="With A-share",(Database!$BJ437="Y")),AND(Screener!$B$18="Without A-share",NOT((Database!$BJ437="Y")))),1,0)=0,-999999,IF(Screener!$B$16="cornerstone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Database!BD427</f>
        <v/>
      </c>
      <c r="AF437">
        <f>Database!BJ427</f>
        <v/>
      </c>
      <c r="AG437">
        <f>Database!H427</f>
        <v/>
      </c>
      <c r="AH437">
        <f>Database!BE427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IF(OR(Database!$BD438="",Screener!$D$10=""),0,IF(Database!$BD438=Screener!$D$10,1,0))</f>
        <v/>
      </c>
      <c r="F438">
        <f>IF(OR(Database!$BJ438="",Screener!$D$11=""),0,IF(Database!$BJ438=Screener!$D$11,1,0))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IF(OR(N(Database!$BE438)&lt;=0,N(Screener!$D$13)&lt;=0),0,MAX(0,1-ABS(LOG10(N(Database!$BE438)/Screener!$D$13))/W_PEHW))</f>
        <v/>
      </c>
      <c r="J438">
        <f>IF(OR(N(Database!$S438)&lt;=0,N(Screener!$D$14)&lt;=0),0,MAX(0,1-ABS(LOG10(Database!$S438/Screener!$D$14))/0.6))</f>
        <v/>
      </c>
      <c r="K438">
        <f>IF(Database!$B438=Screener!$B$5,-999999,IF(ISNUMBER(SEARCH(","&amp;Database!$A438&amp;",",","&amp;SUBSTITUTE(Screener!$D$17," ","")&amp;",")),2000000,IF(IF(OR(Screener!$B$18="All",AND(Screener!$B$18="With A-share",(Database!$BJ438="Y")),AND(Screener!$B$18="Without A-share",NOT((Database!$BJ438="Y")))),1,0)=0,-999999,IF(Screener!$B$16="cornerstone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Database!BD428</f>
        <v/>
      </c>
      <c r="AF438">
        <f>Database!BJ428</f>
        <v/>
      </c>
      <c r="AG438">
        <f>Database!H428</f>
        <v/>
      </c>
      <c r="AH438">
        <f>Database!BE428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IF(OR(Database!$BD439="",Screener!$D$10=""),0,IF(Database!$BD439=Screener!$D$10,1,0))</f>
        <v/>
      </c>
      <c r="F439">
        <f>IF(OR(Database!$BJ439="",Screener!$D$11=""),0,IF(Database!$BJ439=Screener!$D$11,1,0))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IF(OR(N(Database!$BE439)&lt;=0,N(Screener!$D$13)&lt;=0),0,MAX(0,1-ABS(LOG10(N(Database!$BE439)/Screener!$D$13))/W_PEHW))</f>
        <v/>
      </c>
      <c r="J439">
        <f>IF(OR(N(Database!$S439)&lt;=0,N(Screener!$D$14)&lt;=0),0,MAX(0,1-ABS(LOG10(Database!$S439/Screener!$D$14))/0.6))</f>
        <v/>
      </c>
      <c r="K439">
        <f>IF(Database!$B439=Screener!$B$5,-999999,IF(ISNUMBER(SEARCH(","&amp;Database!$A439&amp;",",","&amp;SUBSTITUTE(Screener!$D$17," ","")&amp;",")),2000000,IF(IF(OR(Screener!$B$18="All",AND(Screener!$B$18="With A-share",(Database!$BJ439="Y")),AND(Screener!$B$18="Without A-share",NOT((Database!$BJ439="Y")))),1,0)=0,-999999,IF(Screener!$B$16="cornerstone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Database!BD429</f>
        <v/>
      </c>
      <c r="AF439">
        <f>Database!BJ429</f>
        <v/>
      </c>
      <c r="AG439">
        <f>Database!H429</f>
        <v/>
      </c>
      <c r="AH439">
        <f>Database!BE429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IF(OR(Database!$BD440="",Screener!$D$10=""),0,IF(Database!$BD440=Screener!$D$10,1,0))</f>
        <v/>
      </c>
      <c r="F440">
        <f>IF(OR(Database!$BJ440="",Screener!$D$11=""),0,IF(Database!$BJ440=Screener!$D$11,1,0))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IF(OR(N(Database!$BE440)&lt;=0,N(Screener!$D$13)&lt;=0),0,MAX(0,1-ABS(LOG10(N(Database!$BE440)/Screener!$D$13))/W_PEHW))</f>
        <v/>
      </c>
      <c r="J440">
        <f>IF(OR(N(Database!$S440)&lt;=0,N(Screener!$D$14)&lt;=0),0,MAX(0,1-ABS(LOG10(Database!$S440/Screener!$D$14))/0.6))</f>
        <v/>
      </c>
      <c r="K440">
        <f>IF(Database!$B440=Screener!$B$5,-999999,IF(ISNUMBER(SEARCH(","&amp;Database!$A440&amp;",",","&amp;SUBSTITUTE(Screener!$D$17," ","")&amp;",")),2000000,IF(IF(OR(Screener!$B$18="All",AND(Screener!$B$18="With A-share",(Database!$BJ440="Y")),AND(Screener!$B$18="Without A-share",NOT((Database!$BJ440="Y")))),1,0)=0,-999999,IF(Screener!$B$16="cornerstone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Database!BD430</f>
        <v/>
      </c>
      <c r="AF440">
        <f>Database!BJ430</f>
        <v/>
      </c>
      <c r="AG440">
        <f>Database!H430</f>
        <v/>
      </c>
      <c r="AH440">
        <f>Database!BE430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IF(OR(Database!$BD441="",Screener!$D$10=""),0,IF(Database!$BD441=Screener!$D$10,1,0))</f>
        <v/>
      </c>
      <c r="F441">
        <f>IF(OR(Database!$BJ441="",Screener!$D$11=""),0,IF(Database!$BJ441=Screener!$D$11,1,0))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IF(OR(N(Database!$BE441)&lt;=0,N(Screener!$D$13)&lt;=0),0,MAX(0,1-ABS(LOG10(N(Database!$BE441)/Screener!$D$13))/W_PEHW))</f>
        <v/>
      </c>
      <c r="J441">
        <f>IF(OR(N(Database!$S441)&lt;=0,N(Screener!$D$14)&lt;=0),0,MAX(0,1-ABS(LOG10(Database!$S441/Screener!$D$14))/0.6))</f>
        <v/>
      </c>
      <c r="K441">
        <f>IF(Database!$B441=Screener!$B$5,-999999,IF(ISNUMBER(SEARCH(","&amp;Database!$A441&amp;",",","&amp;SUBSTITUTE(Screener!$D$17," ","")&amp;",")),2000000,IF(IF(OR(Screener!$B$18="All",AND(Screener!$B$18="With A-share",(Database!$BJ441="Y")),AND(Screener!$B$18="Without A-share",NOT((Database!$BJ441="Y")))),1,0)=0,-999999,IF(Screener!$B$16="cornerstone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Database!BD431</f>
        <v/>
      </c>
      <c r="AF441">
        <f>Database!BJ431</f>
        <v/>
      </c>
      <c r="AG441">
        <f>Database!H431</f>
        <v/>
      </c>
      <c r="AH441">
        <f>Database!BE431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IF(OR(Database!$BD442="",Screener!$D$10=""),0,IF(Database!$BD442=Screener!$D$10,1,0))</f>
        <v/>
      </c>
      <c r="F442">
        <f>IF(OR(Database!$BJ442="",Screener!$D$11=""),0,IF(Database!$BJ442=Screener!$D$11,1,0))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IF(OR(N(Database!$BE442)&lt;=0,N(Screener!$D$13)&lt;=0),0,MAX(0,1-ABS(LOG10(N(Database!$BE442)/Screener!$D$13))/W_PEHW))</f>
        <v/>
      </c>
      <c r="J442">
        <f>IF(OR(N(Database!$S442)&lt;=0,N(Screener!$D$14)&lt;=0),0,MAX(0,1-ABS(LOG10(Database!$S442/Screener!$D$14))/0.6))</f>
        <v/>
      </c>
      <c r="K442">
        <f>IF(Database!$B442=Screener!$B$5,-999999,IF(ISNUMBER(SEARCH(","&amp;Database!$A442&amp;",",","&amp;SUBSTITUTE(Screener!$D$17," ","")&amp;",")),2000000,IF(IF(OR(Screener!$B$18="All",AND(Screener!$B$18="With A-share",(Database!$BJ442="Y")),AND(Screener!$B$18="Without A-share",NOT((Database!$BJ442="Y")))),1,0)=0,-999999,IF(Screener!$B$16="cornerstone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Database!BD432</f>
        <v/>
      </c>
      <c r="AF442">
        <f>Database!BJ432</f>
        <v/>
      </c>
      <c r="AG442">
        <f>Database!H432</f>
        <v/>
      </c>
      <c r="AH442">
        <f>Database!BE432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IF(OR(Database!$BD443="",Screener!$D$10=""),0,IF(Database!$BD443=Screener!$D$10,1,0))</f>
        <v/>
      </c>
      <c r="F443">
        <f>IF(OR(Database!$BJ443="",Screener!$D$11=""),0,IF(Database!$BJ443=Screener!$D$11,1,0))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IF(OR(N(Database!$BE443)&lt;=0,N(Screener!$D$13)&lt;=0),0,MAX(0,1-ABS(LOG10(N(Database!$BE443)/Screener!$D$13))/W_PEHW))</f>
        <v/>
      </c>
      <c r="J443">
        <f>IF(OR(N(Database!$S443)&lt;=0,N(Screener!$D$14)&lt;=0),0,MAX(0,1-ABS(LOG10(Database!$S443/Screener!$D$14))/0.6))</f>
        <v/>
      </c>
      <c r="K443">
        <f>IF(Database!$B443=Screener!$B$5,-999999,IF(ISNUMBER(SEARCH(","&amp;Database!$A443&amp;",",","&amp;SUBSTITUTE(Screener!$D$17," ","")&amp;",")),2000000,IF(IF(OR(Screener!$B$18="All",AND(Screener!$B$18="With A-share",(Database!$BJ443="Y")),AND(Screener!$B$18="Without A-share",NOT((Database!$BJ443="Y")))),1,0)=0,-999999,IF(Screener!$B$16="cornerstone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Database!BD433</f>
        <v/>
      </c>
      <c r="AF443">
        <f>Database!BJ433</f>
        <v/>
      </c>
      <c r="AG443">
        <f>Database!H433</f>
        <v/>
      </c>
      <c r="AH443">
        <f>Database!BE433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IF(OR(Database!$BD444="",Screener!$D$10=""),0,IF(Database!$BD444=Screener!$D$10,1,0))</f>
        <v/>
      </c>
      <c r="F444">
        <f>IF(OR(Database!$BJ444="",Screener!$D$11=""),0,IF(Database!$BJ444=Screener!$D$11,1,0))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IF(OR(N(Database!$BE444)&lt;=0,N(Screener!$D$13)&lt;=0),0,MAX(0,1-ABS(LOG10(N(Database!$BE444)/Screener!$D$13))/W_PEHW))</f>
        <v/>
      </c>
      <c r="J444">
        <f>IF(OR(N(Database!$S444)&lt;=0,N(Screener!$D$14)&lt;=0),0,MAX(0,1-ABS(LOG10(Database!$S444/Screener!$D$14))/0.6))</f>
        <v/>
      </c>
      <c r="K444">
        <f>IF(Database!$B444=Screener!$B$5,-999999,IF(ISNUMBER(SEARCH(","&amp;Database!$A444&amp;",",","&amp;SUBSTITUTE(Screener!$D$17," ","")&amp;",")),2000000,IF(IF(OR(Screener!$B$18="All",AND(Screener!$B$18="With A-share",(Database!$BJ444="Y")),AND(Screener!$B$18="Without A-share",NOT((Database!$BJ444="Y")))),1,0)=0,-999999,IF(Screener!$B$16="cornerstone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Database!BD434</f>
        <v/>
      </c>
      <c r="AF444">
        <f>Database!BJ434</f>
        <v/>
      </c>
      <c r="AG444">
        <f>Database!H434</f>
        <v/>
      </c>
      <c r="AH444">
        <f>Database!BE434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IF(OR(Database!$BD445="",Screener!$D$10=""),0,IF(Database!$BD445=Screener!$D$10,1,0))</f>
        <v/>
      </c>
      <c r="F445">
        <f>IF(OR(Database!$BJ445="",Screener!$D$11=""),0,IF(Database!$BJ445=Screener!$D$11,1,0))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IF(OR(N(Database!$BE445)&lt;=0,N(Screener!$D$13)&lt;=0),0,MAX(0,1-ABS(LOG10(N(Database!$BE445)/Screener!$D$13))/W_PEHW))</f>
        <v/>
      </c>
      <c r="J445">
        <f>IF(OR(N(Database!$S445)&lt;=0,N(Screener!$D$14)&lt;=0),0,MAX(0,1-ABS(LOG10(Database!$S445/Screener!$D$14))/0.6))</f>
        <v/>
      </c>
      <c r="K445">
        <f>IF(Database!$B445=Screener!$B$5,-999999,IF(ISNUMBER(SEARCH(","&amp;Database!$A445&amp;",",","&amp;SUBSTITUTE(Screener!$D$17," ","")&amp;",")),2000000,IF(IF(OR(Screener!$B$18="All",AND(Screener!$B$18="With A-share",(Database!$BJ445="Y")),AND(Screener!$B$18="Without A-share",NOT((Database!$BJ445="Y")))),1,0)=0,-999999,IF(Screener!$B$16="cornerstone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Database!BD435</f>
        <v/>
      </c>
      <c r="AF445">
        <f>Database!BJ435</f>
        <v/>
      </c>
      <c r="AG445">
        <f>Database!H435</f>
        <v/>
      </c>
      <c r="AH445">
        <f>Database!BE435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IF(OR(Database!$BD446="",Screener!$D$10=""),0,IF(Database!$BD446=Screener!$D$10,1,0))</f>
        <v/>
      </c>
      <c r="F446">
        <f>IF(OR(Database!$BJ446="",Screener!$D$11=""),0,IF(Database!$BJ446=Screener!$D$11,1,0))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IF(OR(N(Database!$BE446)&lt;=0,N(Screener!$D$13)&lt;=0),0,MAX(0,1-ABS(LOG10(N(Database!$BE446)/Screener!$D$13))/W_PEHW))</f>
        <v/>
      </c>
      <c r="J446">
        <f>IF(OR(N(Database!$S446)&lt;=0,N(Screener!$D$14)&lt;=0),0,MAX(0,1-ABS(LOG10(Database!$S446/Screener!$D$14))/0.6))</f>
        <v/>
      </c>
      <c r="K446">
        <f>IF(Database!$B446=Screener!$B$5,-999999,IF(ISNUMBER(SEARCH(","&amp;Database!$A446&amp;",",","&amp;SUBSTITUTE(Screener!$D$17," ","")&amp;",")),2000000,IF(IF(OR(Screener!$B$18="All",AND(Screener!$B$18="With A-share",(Database!$BJ446="Y")),AND(Screener!$B$18="Without A-share",NOT((Database!$BJ446="Y")))),1,0)=0,-999999,IF(Screener!$B$16="cornerstone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Database!BD436</f>
        <v/>
      </c>
      <c r="AF446">
        <f>Database!BJ436</f>
        <v/>
      </c>
      <c r="AG446">
        <f>Database!H436</f>
        <v/>
      </c>
      <c r="AH446">
        <f>Database!BE436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IF(OR(Database!$BD447="",Screener!$D$10=""),0,IF(Database!$BD447=Screener!$D$10,1,0))</f>
        <v/>
      </c>
      <c r="F447">
        <f>IF(OR(Database!$BJ447="",Screener!$D$11=""),0,IF(Database!$BJ447=Screener!$D$11,1,0))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IF(OR(N(Database!$BE447)&lt;=0,N(Screener!$D$13)&lt;=0),0,MAX(0,1-ABS(LOG10(N(Database!$BE447)/Screener!$D$13))/W_PEHW))</f>
        <v/>
      </c>
      <c r="J447">
        <f>IF(OR(N(Database!$S447)&lt;=0,N(Screener!$D$14)&lt;=0),0,MAX(0,1-ABS(LOG10(Database!$S447/Screener!$D$14))/0.6))</f>
        <v/>
      </c>
      <c r="K447">
        <f>IF(Database!$B447=Screener!$B$5,-999999,IF(ISNUMBER(SEARCH(","&amp;Database!$A447&amp;",",","&amp;SUBSTITUTE(Screener!$D$17," ","")&amp;",")),2000000,IF(IF(OR(Screener!$B$18="All",AND(Screener!$B$18="With A-share",(Database!$BJ447="Y")),AND(Screener!$B$18="Without A-share",NOT((Database!$BJ447="Y")))),1,0)=0,-999999,IF(Screener!$B$16="cornerstone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Database!BD437</f>
        <v/>
      </c>
      <c r="AF447">
        <f>Database!BJ437</f>
        <v/>
      </c>
      <c r="AG447">
        <f>Database!H437</f>
        <v/>
      </c>
      <c r="AH447">
        <f>Database!BE437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IF(OR(Database!$BD448="",Screener!$D$10=""),0,IF(Database!$BD448=Screener!$D$10,1,0))</f>
        <v/>
      </c>
      <c r="F448">
        <f>IF(OR(Database!$BJ448="",Screener!$D$11=""),0,IF(Database!$BJ448=Screener!$D$11,1,0))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IF(OR(N(Database!$BE448)&lt;=0,N(Screener!$D$13)&lt;=0),0,MAX(0,1-ABS(LOG10(N(Database!$BE448)/Screener!$D$13))/W_PEHW))</f>
        <v/>
      </c>
      <c r="J448">
        <f>IF(OR(N(Database!$S448)&lt;=0,N(Screener!$D$14)&lt;=0),0,MAX(0,1-ABS(LOG10(Database!$S448/Screener!$D$14))/0.6))</f>
        <v/>
      </c>
      <c r="K448">
        <f>IF(Database!$B448=Screener!$B$5,-999999,IF(ISNUMBER(SEARCH(","&amp;Database!$A448&amp;",",","&amp;SUBSTITUTE(Screener!$D$17," ","")&amp;",")),2000000,IF(IF(OR(Screener!$B$18="All",AND(Screener!$B$18="With A-share",(Database!$BJ448="Y")),AND(Screener!$B$18="Without A-share",NOT((Database!$BJ448="Y")))),1,0)=0,-999999,IF(Screener!$B$16="cornerstone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Database!BD438</f>
        <v/>
      </c>
      <c r="AF448">
        <f>Database!BJ438</f>
        <v/>
      </c>
      <c r="AG448">
        <f>Database!H438</f>
        <v/>
      </c>
      <c r="AH448">
        <f>Database!BE438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IF(OR(Database!$BD449="",Screener!$D$10=""),0,IF(Database!$BD449=Screener!$D$10,1,0))</f>
        <v/>
      </c>
      <c r="F449">
        <f>IF(OR(Database!$BJ449="",Screener!$D$11=""),0,IF(Database!$BJ449=Screener!$D$11,1,0))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IF(OR(N(Database!$BE449)&lt;=0,N(Screener!$D$13)&lt;=0),0,MAX(0,1-ABS(LOG10(N(Database!$BE449)/Screener!$D$13))/W_PEHW))</f>
        <v/>
      </c>
      <c r="J449">
        <f>IF(OR(N(Database!$S449)&lt;=0,N(Screener!$D$14)&lt;=0),0,MAX(0,1-ABS(LOG10(Database!$S449/Screener!$D$14))/0.6))</f>
        <v/>
      </c>
      <c r="K449">
        <f>IF(Database!$B449=Screener!$B$5,-999999,IF(ISNUMBER(SEARCH(","&amp;Database!$A449&amp;",",","&amp;SUBSTITUTE(Screener!$D$17," ","")&amp;",")),2000000,IF(IF(OR(Screener!$B$18="All",AND(Screener!$B$18="With A-share",(Database!$BJ449="Y")),AND(Screener!$B$18="Without A-share",NOT((Database!$BJ449="Y")))),1,0)=0,-999999,IF(Screener!$B$16="cornerstone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Database!BD439</f>
        <v/>
      </c>
      <c r="AF449">
        <f>Database!BJ439</f>
        <v/>
      </c>
      <c r="AG449">
        <f>Database!H439</f>
        <v/>
      </c>
      <c r="AH449">
        <f>Database!BE439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IF(OR(Database!$BD450="",Screener!$D$10=""),0,IF(Database!$BD450=Screener!$D$10,1,0))</f>
        <v/>
      </c>
      <c r="F450">
        <f>IF(OR(Database!$BJ450="",Screener!$D$11=""),0,IF(Database!$BJ450=Screener!$D$11,1,0))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IF(OR(N(Database!$BE450)&lt;=0,N(Screener!$D$13)&lt;=0),0,MAX(0,1-ABS(LOG10(N(Database!$BE450)/Screener!$D$13))/W_PEHW))</f>
        <v/>
      </c>
      <c r="J450">
        <f>IF(OR(N(Database!$S450)&lt;=0,N(Screener!$D$14)&lt;=0),0,MAX(0,1-ABS(LOG10(Database!$S450/Screener!$D$14))/0.6))</f>
        <v/>
      </c>
      <c r="K450">
        <f>IF(Database!$B450=Screener!$B$5,-999999,IF(ISNUMBER(SEARCH(","&amp;Database!$A450&amp;",",","&amp;SUBSTITUTE(Screener!$D$17," ","")&amp;",")),2000000,IF(IF(OR(Screener!$B$18="All",AND(Screener!$B$18="With A-share",(Database!$BJ450="Y")),AND(Screener!$B$18="Without A-share",NOT((Database!$BJ450="Y")))),1,0)=0,-999999,IF(Screener!$B$16="cornerstone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Database!BD440</f>
        <v/>
      </c>
      <c r="AF450">
        <f>Database!BJ440</f>
        <v/>
      </c>
      <c r="AG450">
        <f>Database!H440</f>
        <v/>
      </c>
      <c r="AH450">
        <f>Database!BE440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IF(OR(Database!$BD451="",Screener!$D$10=""),0,IF(Database!$BD451=Screener!$D$10,1,0))</f>
        <v/>
      </c>
      <c r="F451">
        <f>IF(OR(Database!$BJ451="",Screener!$D$11=""),0,IF(Database!$BJ451=Screener!$D$11,1,0))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IF(OR(N(Database!$BE451)&lt;=0,N(Screener!$D$13)&lt;=0),0,MAX(0,1-ABS(LOG10(N(Database!$BE451)/Screener!$D$13))/W_PEHW))</f>
        <v/>
      </c>
      <c r="J451">
        <f>IF(OR(N(Database!$S451)&lt;=0,N(Screener!$D$14)&lt;=0),0,MAX(0,1-ABS(LOG10(Database!$S451/Screener!$D$14))/0.6))</f>
        <v/>
      </c>
      <c r="K451">
        <f>IF(Database!$B451=Screener!$B$5,-999999,IF(ISNUMBER(SEARCH(","&amp;Database!$A451&amp;",",","&amp;SUBSTITUTE(Screener!$D$17," ","")&amp;",")),2000000,IF(IF(OR(Screener!$B$18="All",AND(Screener!$B$18="With A-share",(Database!$BJ451="Y")),AND(Screener!$B$18="Without A-share",NOT((Database!$BJ451="Y")))),1,0)=0,-999999,IF(Screener!$B$16="cornerstone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Database!BD441</f>
        <v/>
      </c>
      <c r="AF451">
        <f>Database!BJ441</f>
        <v/>
      </c>
      <c r="AG451">
        <f>Database!H441</f>
        <v/>
      </c>
      <c r="AH451">
        <f>Database!BE441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IF(OR(Database!$BD452="",Screener!$D$10=""),0,IF(Database!$BD452=Screener!$D$10,1,0))</f>
        <v/>
      </c>
      <c r="F452">
        <f>IF(OR(Database!$BJ452="",Screener!$D$11=""),0,IF(Database!$BJ452=Screener!$D$11,1,0))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IF(OR(N(Database!$BE452)&lt;=0,N(Screener!$D$13)&lt;=0),0,MAX(0,1-ABS(LOG10(N(Database!$BE452)/Screener!$D$13))/W_PEHW))</f>
        <v/>
      </c>
      <c r="J452">
        <f>IF(OR(N(Database!$S452)&lt;=0,N(Screener!$D$14)&lt;=0),0,MAX(0,1-ABS(LOG10(Database!$S452/Screener!$D$14))/0.6))</f>
        <v/>
      </c>
      <c r="K452">
        <f>IF(Database!$B452=Screener!$B$5,-999999,IF(ISNUMBER(SEARCH(","&amp;Database!$A452&amp;",",","&amp;SUBSTITUTE(Screener!$D$17," ","")&amp;",")),2000000,IF(IF(OR(Screener!$B$18="All",AND(Screener!$B$18="With A-share",(Database!$BJ452="Y")),AND(Screener!$B$18="Without A-share",NOT((Database!$BJ452="Y")))),1,0)=0,-999999,IF(Screener!$B$16="cornerstone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Database!BD442</f>
        <v/>
      </c>
      <c r="AF452">
        <f>Database!BJ442</f>
        <v/>
      </c>
      <c r="AG452">
        <f>Database!H442</f>
        <v/>
      </c>
      <c r="AH452">
        <f>Database!BE442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IF(OR(Database!$BD453="",Screener!$D$10=""),0,IF(Database!$BD453=Screener!$D$10,1,0))</f>
        <v/>
      </c>
      <c r="F453">
        <f>IF(OR(Database!$BJ453="",Screener!$D$11=""),0,IF(Database!$BJ453=Screener!$D$11,1,0))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IF(OR(N(Database!$BE453)&lt;=0,N(Screener!$D$13)&lt;=0),0,MAX(0,1-ABS(LOG10(N(Database!$BE453)/Screener!$D$13))/W_PEHW))</f>
        <v/>
      </c>
      <c r="J453">
        <f>IF(OR(N(Database!$S453)&lt;=0,N(Screener!$D$14)&lt;=0),0,MAX(0,1-ABS(LOG10(Database!$S453/Screener!$D$14))/0.6))</f>
        <v/>
      </c>
      <c r="K453">
        <f>IF(Database!$B453=Screener!$B$5,-999999,IF(ISNUMBER(SEARCH(","&amp;Database!$A453&amp;",",","&amp;SUBSTITUTE(Screener!$D$17," ","")&amp;",")),2000000,IF(IF(OR(Screener!$B$18="All",AND(Screener!$B$18="With A-share",(Database!$BJ453="Y")),AND(Screener!$B$18="Without A-share",NOT((Database!$BJ453="Y")))),1,0)=0,-999999,IF(Screener!$B$16="cornerstone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Database!BD443</f>
        <v/>
      </c>
      <c r="AF453">
        <f>Database!BJ443</f>
        <v/>
      </c>
      <c r="AG453">
        <f>Database!H443</f>
        <v/>
      </c>
      <c r="AH453">
        <f>Database!BE443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IF(OR(Database!$BD454="",Screener!$D$10=""),0,IF(Database!$BD454=Screener!$D$10,1,0))</f>
        <v/>
      </c>
      <c r="F454">
        <f>IF(OR(Database!$BJ454="",Screener!$D$11=""),0,IF(Database!$BJ454=Screener!$D$11,1,0))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IF(OR(N(Database!$BE454)&lt;=0,N(Screener!$D$13)&lt;=0),0,MAX(0,1-ABS(LOG10(N(Database!$BE454)/Screener!$D$13))/W_PEHW))</f>
        <v/>
      </c>
      <c r="J454">
        <f>IF(OR(N(Database!$S454)&lt;=0,N(Screener!$D$14)&lt;=0),0,MAX(0,1-ABS(LOG10(Database!$S454/Screener!$D$14))/0.6))</f>
        <v/>
      </c>
      <c r="K454">
        <f>IF(Database!$B454=Screener!$B$5,-999999,IF(ISNUMBER(SEARCH(","&amp;Database!$A454&amp;",",","&amp;SUBSTITUTE(Screener!$D$17," ","")&amp;",")),2000000,IF(IF(OR(Screener!$B$18="All",AND(Screener!$B$18="With A-share",(Database!$BJ454="Y")),AND(Screener!$B$18="Without A-share",NOT((Database!$BJ454="Y")))),1,0)=0,-999999,IF(Screener!$B$16="cornerstone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Database!BD444</f>
        <v/>
      </c>
      <c r="AF454">
        <f>Database!BJ444</f>
        <v/>
      </c>
      <c r="AG454">
        <f>Database!H444</f>
        <v/>
      </c>
      <c r="AH454">
        <f>Database!BE444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IF(OR(Database!$BD455="",Screener!$D$10=""),0,IF(Database!$BD455=Screener!$D$10,1,0))</f>
        <v/>
      </c>
      <c r="F455">
        <f>IF(OR(Database!$BJ455="",Screener!$D$11=""),0,IF(Database!$BJ455=Screener!$D$11,1,0))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IF(OR(N(Database!$BE455)&lt;=0,N(Screener!$D$13)&lt;=0),0,MAX(0,1-ABS(LOG10(N(Database!$BE455)/Screener!$D$13))/W_PEHW))</f>
        <v/>
      </c>
      <c r="J455">
        <f>IF(OR(N(Database!$S455)&lt;=0,N(Screener!$D$14)&lt;=0),0,MAX(0,1-ABS(LOG10(Database!$S455/Screener!$D$14))/0.6))</f>
        <v/>
      </c>
      <c r="K455">
        <f>IF(Database!$B455=Screener!$B$5,-999999,IF(ISNUMBER(SEARCH(","&amp;Database!$A455&amp;",",","&amp;SUBSTITUTE(Screener!$D$17," ","")&amp;",")),2000000,IF(IF(OR(Screener!$B$18="All",AND(Screener!$B$18="With A-share",(Database!$BJ455="Y")),AND(Screener!$B$18="Without A-share",NOT((Database!$BJ455="Y")))),1,0)=0,-999999,IF(Screener!$B$16="cornerstone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Database!BD445</f>
        <v/>
      </c>
      <c r="AF455">
        <f>Database!BJ445</f>
        <v/>
      </c>
      <c r="AG455">
        <f>Database!H445</f>
        <v/>
      </c>
      <c r="AH455">
        <f>Database!BE445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IF(OR(Database!$BD456="",Screener!$D$10=""),0,IF(Database!$BD456=Screener!$D$10,1,0))</f>
        <v/>
      </c>
      <c r="F456">
        <f>IF(OR(Database!$BJ456="",Screener!$D$11=""),0,IF(Database!$BJ456=Screener!$D$11,1,0))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IF(OR(N(Database!$BE456)&lt;=0,N(Screener!$D$13)&lt;=0),0,MAX(0,1-ABS(LOG10(N(Database!$BE456)/Screener!$D$13))/W_PEHW))</f>
        <v/>
      </c>
      <c r="J456">
        <f>IF(OR(N(Database!$S456)&lt;=0,N(Screener!$D$14)&lt;=0),0,MAX(0,1-ABS(LOG10(Database!$S456/Screener!$D$14))/0.6))</f>
        <v/>
      </c>
      <c r="K456">
        <f>IF(Database!$B456=Screener!$B$5,-999999,IF(ISNUMBER(SEARCH(","&amp;Database!$A456&amp;",",","&amp;SUBSTITUTE(Screener!$D$17," ","")&amp;",")),2000000,IF(IF(OR(Screener!$B$18="All",AND(Screener!$B$18="With A-share",(Database!$BJ456="Y")),AND(Screener!$B$18="Without A-share",NOT((Database!$BJ456="Y")))),1,0)=0,-999999,IF(Screener!$B$16="cornerstone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Database!BD446</f>
        <v/>
      </c>
      <c r="AF456">
        <f>Database!BJ446</f>
        <v/>
      </c>
      <c r="AG456">
        <f>Database!H446</f>
        <v/>
      </c>
      <c r="AH456">
        <f>Database!BE446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IF(OR(Database!$BD457="",Screener!$D$10=""),0,IF(Database!$BD457=Screener!$D$10,1,0))</f>
        <v/>
      </c>
      <c r="F457">
        <f>IF(OR(Database!$BJ457="",Screener!$D$11=""),0,IF(Database!$BJ457=Screener!$D$11,1,0))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IF(OR(N(Database!$BE457)&lt;=0,N(Screener!$D$13)&lt;=0),0,MAX(0,1-ABS(LOG10(N(Database!$BE457)/Screener!$D$13))/W_PEHW))</f>
        <v/>
      </c>
      <c r="J457">
        <f>IF(OR(N(Database!$S457)&lt;=0,N(Screener!$D$14)&lt;=0),0,MAX(0,1-ABS(LOG10(Database!$S457/Screener!$D$14))/0.6))</f>
        <v/>
      </c>
      <c r="K457">
        <f>IF(Database!$B457=Screener!$B$5,-999999,IF(ISNUMBER(SEARCH(","&amp;Database!$A457&amp;",",","&amp;SUBSTITUTE(Screener!$D$17," ","")&amp;",")),2000000,IF(IF(OR(Screener!$B$18="All",AND(Screener!$B$18="With A-share",(Database!$BJ457="Y")),AND(Screener!$B$18="Without A-share",NOT((Database!$BJ457="Y")))),1,0)=0,-999999,IF(Screener!$B$16="cornerstone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Database!BD447</f>
        <v/>
      </c>
      <c r="AF457">
        <f>Database!BJ447</f>
        <v/>
      </c>
      <c r="AG457">
        <f>Database!H447</f>
        <v/>
      </c>
      <c r="AH457">
        <f>Database!BE447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IF(OR(Database!$BD458="",Screener!$D$10=""),0,IF(Database!$BD458=Screener!$D$10,1,0))</f>
        <v/>
      </c>
      <c r="F458">
        <f>IF(OR(Database!$BJ458="",Screener!$D$11=""),0,IF(Database!$BJ458=Screener!$D$11,1,0))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IF(OR(N(Database!$BE458)&lt;=0,N(Screener!$D$13)&lt;=0),0,MAX(0,1-ABS(LOG10(N(Database!$BE458)/Screener!$D$13))/W_PEHW))</f>
        <v/>
      </c>
      <c r="J458">
        <f>IF(OR(N(Database!$S458)&lt;=0,N(Screener!$D$14)&lt;=0),0,MAX(0,1-ABS(LOG10(Database!$S458/Screener!$D$14))/0.6))</f>
        <v/>
      </c>
      <c r="K458">
        <f>IF(Database!$B458=Screener!$B$5,-999999,IF(ISNUMBER(SEARCH(","&amp;Database!$A458&amp;",",","&amp;SUBSTITUTE(Screener!$D$17," ","")&amp;",")),2000000,IF(IF(OR(Screener!$B$18="All",AND(Screener!$B$18="With A-share",(Database!$BJ458="Y")),AND(Screener!$B$18="Without A-share",NOT((Database!$BJ458="Y")))),1,0)=0,-999999,IF(Screener!$B$16="cornerstone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Database!BD448</f>
        <v/>
      </c>
      <c r="AF458">
        <f>Database!BJ448</f>
        <v/>
      </c>
      <c r="AG458">
        <f>Database!H448</f>
        <v/>
      </c>
      <c r="AH458">
        <f>Database!BE448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IF(OR(Database!$BD459="",Screener!$D$10=""),0,IF(Database!$BD459=Screener!$D$10,1,0))</f>
        <v/>
      </c>
      <c r="F459">
        <f>IF(OR(Database!$BJ459="",Screener!$D$11=""),0,IF(Database!$BJ459=Screener!$D$11,1,0))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IF(OR(N(Database!$BE459)&lt;=0,N(Screener!$D$13)&lt;=0),0,MAX(0,1-ABS(LOG10(N(Database!$BE459)/Screener!$D$13))/W_PEHW))</f>
        <v/>
      </c>
      <c r="J459">
        <f>IF(OR(N(Database!$S459)&lt;=0,N(Screener!$D$14)&lt;=0),0,MAX(0,1-ABS(LOG10(Database!$S459/Screener!$D$14))/0.6))</f>
        <v/>
      </c>
      <c r="K459">
        <f>IF(Database!$B459=Screener!$B$5,-999999,IF(ISNUMBER(SEARCH(","&amp;Database!$A459&amp;",",","&amp;SUBSTITUTE(Screener!$D$17," ","")&amp;",")),2000000,IF(IF(OR(Screener!$B$18="All",AND(Screener!$B$18="With A-share",(Database!$BJ459="Y")),AND(Screener!$B$18="Without A-share",NOT((Database!$BJ459="Y")))),1,0)=0,-999999,IF(Screener!$B$16="cornerstone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Database!BD449</f>
        <v/>
      </c>
      <c r="AF459">
        <f>Database!BJ449</f>
        <v/>
      </c>
      <c r="AG459">
        <f>Database!H449</f>
        <v/>
      </c>
      <c r="AH459">
        <f>Database!BE449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IF(OR(Database!$BD460="",Screener!$D$10=""),0,IF(Database!$BD460=Screener!$D$10,1,0))</f>
        <v/>
      </c>
      <c r="F460">
        <f>IF(OR(Database!$BJ460="",Screener!$D$11=""),0,IF(Database!$BJ460=Screener!$D$11,1,0))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IF(OR(N(Database!$BE460)&lt;=0,N(Screener!$D$13)&lt;=0),0,MAX(0,1-ABS(LOG10(N(Database!$BE460)/Screener!$D$13))/W_PEHW))</f>
        <v/>
      </c>
      <c r="J460">
        <f>IF(OR(N(Database!$S460)&lt;=0,N(Screener!$D$14)&lt;=0),0,MAX(0,1-ABS(LOG10(Database!$S460/Screener!$D$14))/0.6))</f>
        <v/>
      </c>
      <c r="K460">
        <f>IF(Database!$B460=Screener!$B$5,-999999,IF(ISNUMBER(SEARCH(","&amp;Database!$A460&amp;",",","&amp;SUBSTITUTE(Screener!$D$17," ","")&amp;",")),2000000,IF(IF(OR(Screener!$B$18="All",AND(Screener!$B$18="With A-share",(Database!$BJ460="Y")),AND(Screener!$B$18="Without A-share",NOT((Database!$BJ460="Y")))),1,0)=0,-999999,IF(Screener!$B$16="cornerstone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Database!BD450</f>
        <v/>
      </c>
      <c r="AF460">
        <f>Database!BJ450</f>
        <v/>
      </c>
      <c r="AG460">
        <f>Database!H450</f>
        <v/>
      </c>
      <c r="AH460">
        <f>Database!BE450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IF(OR(Database!$BD461="",Screener!$D$10=""),0,IF(Database!$BD461=Screener!$D$10,1,0))</f>
        <v/>
      </c>
      <c r="F461">
        <f>IF(OR(Database!$BJ461="",Screener!$D$11=""),0,IF(Database!$BJ461=Screener!$D$11,1,0))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IF(OR(N(Database!$BE461)&lt;=0,N(Screener!$D$13)&lt;=0),0,MAX(0,1-ABS(LOG10(N(Database!$BE461)/Screener!$D$13))/W_PEHW))</f>
        <v/>
      </c>
      <c r="J461">
        <f>IF(OR(N(Database!$S461)&lt;=0,N(Screener!$D$14)&lt;=0),0,MAX(0,1-ABS(LOG10(Database!$S461/Screener!$D$14))/0.6))</f>
        <v/>
      </c>
      <c r="K461">
        <f>IF(Database!$B461=Screener!$B$5,-999999,IF(ISNUMBER(SEARCH(","&amp;Database!$A461&amp;",",","&amp;SUBSTITUTE(Screener!$D$17," ","")&amp;",")),2000000,IF(IF(OR(Screener!$B$18="All",AND(Screener!$B$18="With A-share",(Database!$BJ461="Y")),AND(Screener!$B$18="Without A-share",NOT((Database!$BJ461="Y")))),1,0)=0,-999999,IF(Screener!$B$16="cornerstone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Database!BD451</f>
        <v/>
      </c>
      <c r="AF461">
        <f>Database!BJ451</f>
        <v/>
      </c>
      <c r="AG461">
        <f>Database!H451</f>
        <v/>
      </c>
      <c r="AH461">
        <f>Database!BE451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IF(OR(Database!$BD462="",Screener!$D$10=""),0,IF(Database!$BD462=Screener!$D$10,1,0))</f>
        <v/>
      </c>
      <c r="F462">
        <f>IF(OR(Database!$BJ462="",Screener!$D$11=""),0,IF(Database!$BJ462=Screener!$D$11,1,0))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IF(OR(N(Database!$BE462)&lt;=0,N(Screener!$D$13)&lt;=0),0,MAX(0,1-ABS(LOG10(N(Database!$BE462)/Screener!$D$13))/W_PEHW))</f>
        <v/>
      </c>
      <c r="J462">
        <f>IF(OR(N(Database!$S462)&lt;=0,N(Screener!$D$14)&lt;=0),0,MAX(0,1-ABS(LOG10(Database!$S462/Screener!$D$14))/0.6))</f>
        <v/>
      </c>
      <c r="K462">
        <f>IF(Database!$B462=Screener!$B$5,-999999,IF(ISNUMBER(SEARCH(","&amp;Database!$A462&amp;",",","&amp;SUBSTITUTE(Screener!$D$17," ","")&amp;",")),2000000,IF(IF(OR(Screener!$B$18="All",AND(Screener!$B$18="With A-share",(Database!$BJ462="Y")),AND(Screener!$B$18="Without A-share",NOT((Database!$BJ462="Y")))),1,0)=0,-999999,IF(Screener!$B$16="cornerstone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Database!BD452</f>
        <v/>
      </c>
      <c r="AF462">
        <f>Database!BJ452</f>
        <v/>
      </c>
      <c r="AG462">
        <f>Database!H452</f>
        <v/>
      </c>
      <c r="AH462">
        <f>Database!BE452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IF(OR(Database!$BD463="",Screener!$D$10=""),0,IF(Database!$BD463=Screener!$D$10,1,0))</f>
        <v/>
      </c>
      <c r="F463">
        <f>IF(OR(Database!$BJ463="",Screener!$D$11=""),0,IF(Database!$BJ463=Screener!$D$11,1,0))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IF(OR(N(Database!$BE463)&lt;=0,N(Screener!$D$13)&lt;=0),0,MAX(0,1-ABS(LOG10(N(Database!$BE463)/Screener!$D$13))/W_PEHW))</f>
        <v/>
      </c>
      <c r="J463">
        <f>IF(OR(N(Database!$S463)&lt;=0,N(Screener!$D$14)&lt;=0),0,MAX(0,1-ABS(LOG10(Database!$S463/Screener!$D$14))/0.6))</f>
        <v/>
      </c>
      <c r="K463">
        <f>IF(Database!$B463=Screener!$B$5,-999999,IF(ISNUMBER(SEARCH(","&amp;Database!$A463&amp;",",","&amp;SUBSTITUTE(Screener!$D$17," ","")&amp;",")),2000000,IF(IF(OR(Screener!$B$18="All",AND(Screener!$B$18="With A-share",(Database!$BJ463="Y")),AND(Screener!$B$18="Without A-share",NOT((Database!$BJ463="Y")))),1,0)=0,-999999,IF(Screener!$B$16="cornerstone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Database!BD453</f>
        <v/>
      </c>
      <c r="AF463">
        <f>Database!BJ453</f>
        <v/>
      </c>
      <c r="AG463">
        <f>Database!H453</f>
        <v/>
      </c>
      <c r="AH463">
        <f>Database!BE453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IF(OR(Database!$BD464="",Screener!$D$10=""),0,IF(Database!$BD464=Screener!$D$10,1,0))</f>
        <v/>
      </c>
      <c r="F464">
        <f>IF(OR(Database!$BJ464="",Screener!$D$11=""),0,IF(Database!$BJ464=Screener!$D$11,1,0))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IF(OR(N(Database!$BE464)&lt;=0,N(Screener!$D$13)&lt;=0),0,MAX(0,1-ABS(LOG10(N(Database!$BE464)/Screener!$D$13))/W_PEHW))</f>
        <v/>
      </c>
      <c r="J464">
        <f>IF(OR(N(Database!$S464)&lt;=0,N(Screener!$D$14)&lt;=0),0,MAX(0,1-ABS(LOG10(Database!$S464/Screener!$D$14))/0.6))</f>
        <v/>
      </c>
      <c r="K464">
        <f>IF(Database!$B464=Screener!$B$5,-999999,IF(ISNUMBER(SEARCH(","&amp;Database!$A464&amp;",",","&amp;SUBSTITUTE(Screener!$D$17," ","")&amp;",")),2000000,IF(IF(OR(Screener!$B$18="All",AND(Screener!$B$18="With A-share",(Database!$BJ464="Y")),AND(Screener!$B$18="Without A-share",NOT((Database!$BJ464="Y")))),1,0)=0,-999999,IF(Screener!$B$16="cornerstone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Database!BD454</f>
        <v/>
      </c>
      <c r="AF464">
        <f>Database!BJ454</f>
        <v/>
      </c>
      <c r="AG464">
        <f>Database!H454</f>
        <v/>
      </c>
      <c r="AH464">
        <f>Database!BE454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IF(OR(Database!$BD465="",Screener!$D$10=""),0,IF(Database!$BD465=Screener!$D$10,1,0))</f>
        <v/>
      </c>
      <c r="F465">
        <f>IF(OR(Database!$BJ465="",Screener!$D$11=""),0,IF(Database!$BJ465=Screener!$D$11,1,0))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IF(OR(N(Database!$BE465)&lt;=0,N(Screener!$D$13)&lt;=0),0,MAX(0,1-ABS(LOG10(N(Database!$BE465)/Screener!$D$13))/W_PEHW))</f>
        <v/>
      </c>
      <c r="J465">
        <f>IF(OR(N(Database!$S465)&lt;=0,N(Screener!$D$14)&lt;=0),0,MAX(0,1-ABS(LOG10(Database!$S465/Screener!$D$14))/0.6))</f>
        <v/>
      </c>
      <c r="K465">
        <f>IF(Database!$B465=Screener!$B$5,-999999,IF(ISNUMBER(SEARCH(","&amp;Database!$A465&amp;",",","&amp;SUBSTITUTE(Screener!$D$17," ","")&amp;",")),2000000,IF(IF(OR(Screener!$B$18="All",AND(Screener!$B$18="With A-share",(Database!$BJ465="Y")),AND(Screener!$B$18="Without A-share",NOT((Database!$BJ465="Y")))),1,0)=0,-999999,IF(Screener!$B$16="cornerstone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Database!BD455</f>
        <v/>
      </c>
      <c r="AF465">
        <f>Database!BJ455</f>
        <v/>
      </c>
      <c r="AG465">
        <f>Database!H455</f>
        <v/>
      </c>
      <c r="AH465">
        <f>Database!BE455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IF(OR(Database!$BD466="",Screener!$D$10=""),0,IF(Database!$BD466=Screener!$D$10,1,0))</f>
        <v/>
      </c>
      <c r="F466">
        <f>IF(OR(Database!$BJ466="",Screener!$D$11=""),0,IF(Database!$BJ466=Screener!$D$11,1,0))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IF(OR(N(Database!$BE466)&lt;=0,N(Screener!$D$13)&lt;=0),0,MAX(0,1-ABS(LOG10(N(Database!$BE466)/Screener!$D$13))/W_PEHW))</f>
        <v/>
      </c>
      <c r="J466">
        <f>IF(OR(N(Database!$S466)&lt;=0,N(Screener!$D$14)&lt;=0),0,MAX(0,1-ABS(LOG10(Database!$S466/Screener!$D$14))/0.6))</f>
        <v/>
      </c>
      <c r="K466">
        <f>IF(Database!$B466=Screener!$B$5,-999999,IF(ISNUMBER(SEARCH(","&amp;Database!$A466&amp;",",","&amp;SUBSTITUTE(Screener!$D$17," ","")&amp;",")),2000000,IF(IF(OR(Screener!$B$18="All",AND(Screener!$B$18="With A-share",(Database!$BJ466="Y")),AND(Screener!$B$18="Without A-share",NOT((Database!$BJ466="Y")))),1,0)=0,-999999,IF(Screener!$B$16="cornerstone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Database!BD456</f>
        <v/>
      </c>
      <c r="AF466">
        <f>Database!BJ456</f>
        <v/>
      </c>
      <c r="AG466">
        <f>Database!H456</f>
        <v/>
      </c>
      <c r="AH466">
        <f>Database!BE456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IF(OR(Database!$BD467="",Screener!$D$10=""),0,IF(Database!$BD467=Screener!$D$10,1,0))</f>
        <v/>
      </c>
      <c r="F467">
        <f>IF(OR(Database!$BJ467="",Screener!$D$11=""),0,IF(Database!$BJ467=Screener!$D$11,1,0))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IF(OR(N(Database!$BE467)&lt;=0,N(Screener!$D$13)&lt;=0),0,MAX(0,1-ABS(LOG10(N(Database!$BE467)/Screener!$D$13))/W_PEHW))</f>
        <v/>
      </c>
      <c r="J467">
        <f>IF(OR(N(Database!$S467)&lt;=0,N(Screener!$D$14)&lt;=0),0,MAX(0,1-ABS(LOG10(Database!$S467/Screener!$D$14))/0.6))</f>
        <v/>
      </c>
      <c r="K467">
        <f>IF(Database!$B467=Screener!$B$5,-999999,IF(ISNUMBER(SEARCH(","&amp;Database!$A467&amp;",",","&amp;SUBSTITUTE(Screener!$D$17," ","")&amp;",")),2000000,IF(IF(OR(Screener!$B$18="All",AND(Screener!$B$18="With A-share",(Database!$BJ467="Y")),AND(Screener!$B$18="Without A-share",NOT((Database!$BJ467="Y")))),1,0)=0,-999999,IF(Screener!$B$16="cornerstone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Database!BD457</f>
        <v/>
      </c>
      <c r="AF467">
        <f>Database!BJ457</f>
        <v/>
      </c>
      <c r="AG467">
        <f>Database!H457</f>
        <v/>
      </c>
      <c r="AH467">
        <f>Database!BE457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IF(OR(Database!$BD468="",Screener!$D$10=""),0,IF(Database!$BD468=Screener!$D$10,1,0))</f>
        <v/>
      </c>
      <c r="F468">
        <f>IF(OR(Database!$BJ468="",Screener!$D$11=""),0,IF(Database!$BJ468=Screener!$D$11,1,0))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IF(OR(N(Database!$BE468)&lt;=0,N(Screener!$D$13)&lt;=0),0,MAX(0,1-ABS(LOG10(N(Database!$BE468)/Screener!$D$13))/W_PEHW))</f>
        <v/>
      </c>
      <c r="J468">
        <f>IF(OR(N(Database!$S468)&lt;=0,N(Screener!$D$14)&lt;=0),0,MAX(0,1-ABS(LOG10(Database!$S468/Screener!$D$14))/0.6))</f>
        <v/>
      </c>
      <c r="K468">
        <f>IF(Database!$B468=Screener!$B$5,-999999,IF(ISNUMBER(SEARCH(","&amp;Database!$A468&amp;",",","&amp;SUBSTITUTE(Screener!$D$17," ","")&amp;",")),2000000,IF(IF(OR(Screener!$B$18="All",AND(Screener!$B$18="With A-share",(Database!$BJ468="Y")),AND(Screener!$B$18="Without A-share",NOT((Database!$BJ468="Y")))),1,0)=0,-999999,IF(Screener!$B$16="cornerstone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Database!BD458</f>
        <v/>
      </c>
      <c r="AF468">
        <f>Database!BJ458</f>
        <v/>
      </c>
      <c r="AG468">
        <f>Database!H458</f>
        <v/>
      </c>
      <c r="AH468">
        <f>Database!BE458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IF(OR(Database!$BD469="",Screener!$D$10=""),0,IF(Database!$BD469=Screener!$D$10,1,0))</f>
        <v/>
      </c>
      <c r="F469">
        <f>IF(OR(Database!$BJ469="",Screener!$D$11=""),0,IF(Database!$BJ469=Screener!$D$11,1,0))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IF(OR(N(Database!$BE469)&lt;=0,N(Screener!$D$13)&lt;=0),0,MAX(0,1-ABS(LOG10(N(Database!$BE469)/Screener!$D$13))/W_PEHW))</f>
        <v/>
      </c>
      <c r="J469">
        <f>IF(OR(N(Database!$S469)&lt;=0,N(Screener!$D$14)&lt;=0),0,MAX(0,1-ABS(LOG10(Database!$S469/Screener!$D$14))/0.6))</f>
        <v/>
      </c>
      <c r="K469">
        <f>IF(Database!$B469=Screener!$B$5,-999999,IF(ISNUMBER(SEARCH(","&amp;Database!$A469&amp;",",","&amp;SUBSTITUTE(Screener!$D$17," ","")&amp;",")),2000000,IF(IF(OR(Screener!$B$18="All",AND(Screener!$B$18="With A-share",(Database!$BJ469="Y")),AND(Screener!$B$18="Without A-share",NOT((Database!$BJ469="Y")))),1,0)=0,-999999,IF(Screener!$B$16="cornerstone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Database!BD459</f>
        <v/>
      </c>
      <c r="AF469">
        <f>Database!BJ459</f>
        <v/>
      </c>
      <c r="AG469">
        <f>Database!H459</f>
        <v/>
      </c>
      <c r="AH469">
        <f>Database!BE459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IF(OR(Database!$BD470="",Screener!$D$10=""),0,IF(Database!$BD470=Screener!$D$10,1,0))</f>
        <v/>
      </c>
      <c r="F470">
        <f>IF(OR(Database!$BJ470="",Screener!$D$11=""),0,IF(Database!$BJ470=Screener!$D$11,1,0))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IF(OR(N(Database!$BE470)&lt;=0,N(Screener!$D$13)&lt;=0),0,MAX(0,1-ABS(LOG10(N(Database!$BE470)/Screener!$D$13))/W_PEHW))</f>
        <v/>
      </c>
      <c r="J470">
        <f>IF(OR(N(Database!$S470)&lt;=0,N(Screener!$D$14)&lt;=0),0,MAX(0,1-ABS(LOG10(Database!$S470/Screener!$D$14))/0.6))</f>
        <v/>
      </c>
      <c r="K470">
        <f>IF(Database!$B470=Screener!$B$5,-999999,IF(ISNUMBER(SEARCH(","&amp;Database!$A470&amp;",",","&amp;SUBSTITUTE(Screener!$D$17," ","")&amp;",")),2000000,IF(IF(OR(Screener!$B$18="All",AND(Screener!$B$18="With A-share",(Database!$BJ470="Y")),AND(Screener!$B$18="Without A-share",NOT((Database!$BJ470="Y")))),1,0)=0,-999999,IF(Screener!$B$16="cornerstone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Database!BD460</f>
        <v/>
      </c>
      <c r="AF470">
        <f>Database!BJ460</f>
        <v/>
      </c>
      <c r="AG470">
        <f>Database!H460</f>
        <v/>
      </c>
      <c r="AH470">
        <f>Database!BE460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IF(OR(Database!$BD471="",Screener!$D$10=""),0,IF(Database!$BD471=Screener!$D$10,1,0))</f>
        <v/>
      </c>
      <c r="F471">
        <f>IF(OR(Database!$BJ471="",Screener!$D$11=""),0,IF(Database!$BJ471=Screener!$D$11,1,0))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IF(OR(N(Database!$BE471)&lt;=0,N(Screener!$D$13)&lt;=0),0,MAX(0,1-ABS(LOG10(N(Database!$BE471)/Screener!$D$13))/W_PEHW))</f>
        <v/>
      </c>
      <c r="J471">
        <f>IF(OR(N(Database!$S471)&lt;=0,N(Screener!$D$14)&lt;=0),0,MAX(0,1-ABS(LOG10(Database!$S471/Screener!$D$14))/0.6))</f>
        <v/>
      </c>
      <c r="K471">
        <f>IF(Database!$B471=Screener!$B$5,-999999,IF(ISNUMBER(SEARCH(","&amp;Database!$A471&amp;",",","&amp;SUBSTITUTE(Screener!$D$17," ","")&amp;",")),2000000,IF(IF(OR(Screener!$B$18="All",AND(Screener!$B$18="With A-share",(Database!$BJ471="Y")),AND(Screener!$B$18="Without A-share",NOT((Database!$BJ471="Y")))),1,0)=0,-999999,IF(Screener!$B$16="cornerstone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Database!BD461</f>
        <v/>
      </c>
      <c r="AF471">
        <f>Database!BJ461</f>
        <v/>
      </c>
      <c r="AG471">
        <f>Database!H461</f>
        <v/>
      </c>
      <c r="AH471">
        <f>Database!BE461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IF(OR(Database!$BD472="",Screener!$D$10=""),0,IF(Database!$BD472=Screener!$D$10,1,0))</f>
        <v/>
      </c>
      <c r="F472">
        <f>IF(OR(Database!$BJ472="",Screener!$D$11=""),0,IF(Database!$BJ472=Screener!$D$11,1,0))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IF(OR(N(Database!$BE472)&lt;=0,N(Screener!$D$13)&lt;=0),0,MAX(0,1-ABS(LOG10(N(Database!$BE472)/Screener!$D$13))/W_PEHW))</f>
        <v/>
      </c>
      <c r="J472">
        <f>IF(OR(N(Database!$S472)&lt;=0,N(Screener!$D$14)&lt;=0),0,MAX(0,1-ABS(LOG10(Database!$S472/Screener!$D$14))/0.6))</f>
        <v/>
      </c>
      <c r="K472">
        <f>IF(Database!$B472=Screener!$B$5,-999999,IF(ISNUMBER(SEARCH(","&amp;Database!$A472&amp;",",","&amp;SUBSTITUTE(Screener!$D$17," ","")&amp;",")),2000000,IF(IF(OR(Screener!$B$18="All",AND(Screener!$B$18="With A-share",(Database!$BJ472="Y")),AND(Screener!$B$18="Without A-share",NOT((Database!$BJ472="Y")))),1,0)=0,-999999,IF(Screener!$B$16="cornerstone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Database!BD462</f>
        <v/>
      </c>
      <c r="AF472">
        <f>Database!BJ462</f>
        <v/>
      </c>
      <c r="AG472">
        <f>Database!H462</f>
        <v/>
      </c>
      <c r="AH472">
        <f>Database!BE462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IF(OR(Database!$BD473="",Screener!$D$10=""),0,IF(Database!$BD473=Screener!$D$10,1,0))</f>
        <v/>
      </c>
      <c r="F473">
        <f>IF(OR(Database!$BJ473="",Screener!$D$11=""),0,IF(Database!$BJ473=Screener!$D$11,1,0))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IF(OR(N(Database!$BE473)&lt;=0,N(Screener!$D$13)&lt;=0),0,MAX(0,1-ABS(LOG10(N(Database!$BE473)/Screener!$D$13))/W_PEHW))</f>
        <v/>
      </c>
      <c r="J473">
        <f>IF(OR(N(Database!$S473)&lt;=0,N(Screener!$D$14)&lt;=0),0,MAX(0,1-ABS(LOG10(Database!$S473/Screener!$D$14))/0.6))</f>
        <v/>
      </c>
      <c r="K473">
        <f>IF(Database!$B473=Screener!$B$5,-999999,IF(ISNUMBER(SEARCH(","&amp;Database!$A473&amp;",",","&amp;SUBSTITUTE(Screener!$D$17," ","")&amp;",")),2000000,IF(IF(OR(Screener!$B$18="All",AND(Screener!$B$18="With A-share",(Database!$BJ473="Y")),AND(Screener!$B$18="Without A-share",NOT((Database!$BJ473="Y")))),1,0)=0,-999999,IF(Screener!$B$16="cornerstone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Database!BD463</f>
        <v/>
      </c>
      <c r="AF473">
        <f>Database!BJ463</f>
        <v/>
      </c>
      <c r="AG473">
        <f>Database!H463</f>
        <v/>
      </c>
      <c r="AH473">
        <f>Database!BE463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IF(OR(Database!$BD474="",Screener!$D$10=""),0,IF(Database!$BD474=Screener!$D$10,1,0))</f>
        <v/>
      </c>
      <c r="F474">
        <f>IF(OR(Database!$BJ474="",Screener!$D$11=""),0,IF(Database!$BJ474=Screener!$D$11,1,0))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IF(OR(N(Database!$BE474)&lt;=0,N(Screener!$D$13)&lt;=0),0,MAX(0,1-ABS(LOG10(N(Database!$BE474)/Screener!$D$13))/W_PEHW))</f>
        <v/>
      </c>
      <c r="J474">
        <f>IF(OR(N(Database!$S474)&lt;=0,N(Screener!$D$14)&lt;=0),0,MAX(0,1-ABS(LOG10(Database!$S474/Screener!$D$14))/0.6))</f>
        <v/>
      </c>
      <c r="K474">
        <f>IF(Database!$B474=Screener!$B$5,-999999,IF(ISNUMBER(SEARCH(","&amp;Database!$A474&amp;",",","&amp;SUBSTITUTE(Screener!$D$17," ","")&amp;",")),2000000,IF(IF(OR(Screener!$B$18="All",AND(Screener!$B$18="With A-share",(Database!$BJ474="Y")),AND(Screener!$B$18="Without A-share",NOT((Database!$BJ474="Y")))),1,0)=0,-999999,IF(Screener!$B$16="cornerstone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Database!BD464</f>
        <v/>
      </c>
      <c r="AF474">
        <f>Database!BJ464</f>
        <v/>
      </c>
      <c r="AG474">
        <f>Database!H464</f>
        <v/>
      </c>
      <c r="AH474">
        <f>Database!BE464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IF(OR(Database!$BD475="",Screener!$D$10=""),0,IF(Database!$BD475=Screener!$D$10,1,0))</f>
        <v/>
      </c>
      <c r="F475">
        <f>IF(OR(Database!$BJ475="",Screener!$D$11=""),0,IF(Database!$BJ475=Screener!$D$11,1,0))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IF(OR(N(Database!$BE475)&lt;=0,N(Screener!$D$13)&lt;=0),0,MAX(0,1-ABS(LOG10(N(Database!$BE475)/Screener!$D$13))/W_PEHW))</f>
        <v/>
      </c>
      <c r="J475">
        <f>IF(OR(N(Database!$S475)&lt;=0,N(Screener!$D$14)&lt;=0),0,MAX(0,1-ABS(LOG10(Database!$S475/Screener!$D$14))/0.6))</f>
        <v/>
      </c>
      <c r="K475">
        <f>IF(Database!$B475=Screener!$B$5,-999999,IF(ISNUMBER(SEARCH(","&amp;Database!$A475&amp;",",","&amp;SUBSTITUTE(Screener!$D$17," ","")&amp;",")),2000000,IF(IF(OR(Screener!$B$18="All",AND(Screener!$B$18="With A-share",(Database!$BJ475="Y")),AND(Screener!$B$18="Without A-share",NOT((Database!$BJ475="Y")))),1,0)=0,-999999,IF(Screener!$B$16="cornerstone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Database!BD465</f>
        <v/>
      </c>
      <c r="AF475">
        <f>Database!BJ465</f>
        <v/>
      </c>
      <c r="AG475">
        <f>Database!H465</f>
        <v/>
      </c>
      <c r="AH475">
        <f>Database!BE465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IF(OR(Database!$BD476="",Screener!$D$10=""),0,IF(Database!$BD476=Screener!$D$10,1,0))</f>
        <v/>
      </c>
      <c r="F476">
        <f>IF(OR(Database!$BJ476="",Screener!$D$11=""),0,IF(Database!$BJ476=Screener!$D$11,1,0))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IF(OR(N(Database!$BE476)&lt;=0,N(Screener!$D$13)&lt;=0),0,MAX(0,1-ABS(LOG10(N(Database!$BE476)/Screener!$D$13))/W_PEHW))</f>
        <v/>
      </c>
      <c r="J476">
        <f>IF(OR(N(Database!$S476)&lt;=0,N(Screener!$D$14)&lt;=0),0,MAX(0,1-ABS(LOG10(Database!$S476/Screener!$D$14))/0.6))</f>
        <v/>
      </c>
      <c r="K476">
        <f>IF(Database!$B476=Screener!$B$5,-999999,IF(ISNUMBER(SEARCH(","&amp;Database!$A476&amp;",",","&amp;SUBSTITUTE(Screener!$D$17," ","")&amp;",")),2000000,IF(IF(OR(Screener!$B$18="All",AND(Screener!$B$18="With A-share",(Database!$BJ476="Y")),AND(Screener!$B$18="Without A-share",NOT((Database!$BJ476="Y")))),1,0)=0,-999999,IF(Screener!$B$16="cornerstone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Database!BD466</f>
        <v/>
      </c>
      <c r="AF476">
        <f>Database!BJ466</f>
        <v/>
      </c>
      <c r="AG476">
        <f>Database!H466</f>
        <v/>
      </c>
      <c r="AH476">
        <f>Database!BE466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IF(OR(Database!$BD477="",Screener!$D$10=""),0,IF(Database!$BD477=Screener!$D$10,1,0))</f>
        <v/>
      </c>
      <c r="F477">
        <f>IF(OR(Database!$BJ477="",Screener!$D$11=""),0,IF(Database!$BJ477=Screener!$D$11,1,0))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IF(OR(N(Database!$BE477)&lt;=0,N(Screener!$D$13)&lt;=0),0,MAX(0,1-ABS(LOG10(N(Database!$BE477)/Screener!$D$13))/W_PEHW))</f>
        <v/>
      </c>
      <c r="J477">
        <f>IF(OR(N(Database!$S477)&lt;=0,N(Screener!$D$14)&lt;=0),0,MAX(0,1-ABS(LOG10(Database!$S477/Screener!$D$14))/0.6))</f>
        <v/>
      </c>
      <c r="K477">
        <f>IF(Database!$B477=Screener!$B$5,-999999,IF(ISNUMBER(SEARCH(","&amp;Database!$A477&amp;",",","&amp;SUBSTITUTE(Screener!$D$17," ","")&amp;",")),2000000,IF(IF(OR(Screener!$B$18="All",AND(Screener!$B$18="With A-share",(Database!$BJ477="Y")),AND(Screener!$B$18="Without A-share",NOT((Database!$BJ477="Y")))),1,0)=0,-999999,IF(Screener!$B$16="cornerstone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Database!BD467</f>
        <v/>
      </c>
      <c r="AF477">
        <f>Database!BJ467</f>
        <v/>
      </c>
      <c r="AG477">
        <f>Database!H467</f>
        <v/>
      </c>
      <c r="AH477">
        <f>Database!BE467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IF(OR(Database!$BD478="",Screener!$D$10=""),0,IF(Database!$BD478=Screener!$D$10,1,0))</f>
        <v/>
      </c>
      <c r="F478">
        <f>IF(OR(Database!$BJ478="",Screener!$D$11=""),0,IF(Database!$BJ478=Screener!$D$11,1,0))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IF(OR(N(Database!$BE478)&lt;=0,N(Screener!$D$13)&lt;=0),0,MAX(0,1-ABS(LOG10(N(Database!$BE478)/Screener!$D$13))/W_PEHW))</f>
        <v/>
      </c>
      <c r="J478">
        <f>IF(OR(N(Database!$S478)&lt;=0,N(Screener!$D$14)&lt;=0),0,MAX(0,1-ABS(LOG10(Database!$S478/Screener!$D$14))/0.6))</f>
        <v/>
      </c>
      <c r="K478">
        <f>IF(Database!$B478=Screener!$B$5,-999999,IF(ISNUMBER(SEARCH(","&amp;Database!$A478&amp;",",","&amp;SUBSTITUTE(Screener!$D$17," ","")&amp;",")),2000000,IF(IF(OR(Screener!$B$18="All",AND(Screener!$B$18="With A-share",(Database!$BJ478="Y")),AND(Screener!$B$18="Without A-share",NOT((Database!$BJ478="Y")))),1,0)=0,-999999,IF(Screener!$B$16="cornerstone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Database!BD468</f>
        <v/>
      </c>
      <c r="AF478">
        <f>Database!BJ468</f>
        <v/>
      </c>
      <c r="AG478">
        <f>Database!H468</f>
        <v/>
      </c>
      <c r="AH478">
        <f>Database!BE468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IF(OR(Database!$BD479="",Screener!$D$10=""),0,IF(Database!$BD479=Screener!$D$10,1,0))</f>
        <v/>
      </c>
      <c r="F479">
        <f>IF(OR(Database!$BJ479="",Screener!$D$11=""),0,IF(Database!$BJ479=Screener!$D$11,1,0))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IF(OR(N(Database!$BE479)&lt;=0,N(Screener!$D$13)&lt;=0),0,MAX(0,1-ABS(LOG10(N(Database!$BE479)/Screener!$D$13))/W_PEHW))</f>
        <v/>
      </c>
      <c r="J479">
        <f>IF(OR(N(Database!$S479)&lt;=0,N(Screener!$D$14)&lt;=0),0,MAX(0,1-ABS(LOG10(Database!$S479/Screener!$D$14))/0.6))</f>
        <v/>
      </c>
      <c r="K479">
        <f>IF(Database!$B479=Screener!$B$5,-999999,IF(ISNUMBER(SEARCH(","&amp;Database!$A479&amp;",",","&amp;SUBSTITUTE(Screener!$D$17," ","")&amp;",")),2000000,IF(IF(OR(Screener!$B$18="All",AND(Screener!$B$18="With A-share",(Database!$BJ479="Y")),AND(Screener!$B$18="Without A-share",NOT((Database!$BJ479="Y")))),1,0)=0,-999999,IF(Screener!$B$16="cornerstone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Database!BD469</f>
        <v/>
      </c>
      <c r="AF479">
        <f>Database!BJ469</f>
        <v/>
      </c>
      <c r="AG479">
        <f>Database!H469</f>
        <v/>
      </c>
      <c r="AH479">
        <f>Database!BE469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IF(OR(Database!$BD480="",Screener!$D$10=""),0,IF(Database!$BD480=Screener!$D$10,1,0))</f>
        <v/>
      </c>
      <c r="F480">
        <f>IF(OR(Database!$BJ480="",Screener!$D$11=""),0,IF(Database!$BJ480=Screener!$D$11,1,0))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IF(OR(N(Database!$BE480)&lt;=0,N(Screener!$D$13)&lt;=0),0,MAX(0,1-ABS(LOG10(N(Database!$BE480)/Screener!$D$13))/W_PEHW))</f>
        <v/>
      </c>
      <c r="J480">
        <f>IF(OR(N(Database!$S480)&lt;=0,N(Screener!$D$14)&lt;=0),0,MAX(0,1-ABS(LOG10(Database!$S480/Screener!$D$14))/0.6))</f>
        <v/>
      </c>
      <c r="K480">
        <f>IF(Database!$B480=Screener!$B$5,-999999,IF(ISNUMBER(SEARCH(","&amp;Database!$A480&amp;",",","&amp;SUBSTITUTE(Screener!$D$17," ","")&amp;",")),2000000,IF(IF(OR(Screener!$B$18="All",AND(Screener!$B$18="With A-share",(Database!$BJ480="Y")),AND(Screener!$B$18="Without A-share",NOT((Database!$BJ480="Y")))),1,0)=0,-999999,IF(Screener!$B$16="cornerstone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Database!BD470</f>
        <v/>
      </c>
      <c r="AF480">
        <f>Database!BJ470</f>
        <v/>
      </c>
      <c r="AG480">
        <f>Database!H470</f>
        <v/>
      </c>
      <c r="AH480">
        <f>Database!BE470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IF(OR(Database!$BD481="",Screener!$D$10=""),0,IF(Database!$BD481=Screener!$D$10,1,0))</f>
        <v/>
      </c>
      <c r="F481">
        <f>IF(OR(Database!$BJ481="",Screener!$D$11=""),0,IF(Database!$BJ481=Screener!$D$11,1,0))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IF(OR(N(Database!$BE481)&lt;=0,N(Screener!$D$13)&lt;=0),0,MAX(0,1-ABS(LOG10(N(Database!$BE481)/Screener!$D$13))/W_PEHW))</f>
        <v/>
      </c>
      <c r="J481">
        <f>IF(OR(N(Database!$S481)&lt;=0,N(Screener!$D$14)&lt;=0),0,MAX(0,1-ABS(LOG10(Database!$S481/Screener!$D$14))/0.6))</f>
        <v/>
      </c>
      <c r="K481">
        <f>IF(Database!$B481=Screener!$B$5,-999999,IF(ISNUMBER(SEARCH(","&amp;Database!$A481&amp;",",","&amp;SUBSTITUTE(Screener!$D$17," ","")&amp;",")),2000000,IF(IF(OR(Screener!$B$18="All",AND(Screener!$B$18="With A-share",(Database!$BJ481="Y")),AND(Screener!$B$18="Without A-share",NOT((Database!$BJ481="Y")))),1,0)=0,-999999,IF(Screener!$B$16="cornerstone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Database!BD471</f>
        <v/>
      </c>
      <c r="AF481">
        <f>Database!BJ471</f>
        <v/>
      </c>
      <c r="AG481">
        <f>Database!H471</f>
        <v/>
      </c>
      <c r="AH481">
        <f>Database!BE471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IF(OR(Database!$BD482="",Screener!$D$10=""),0,IF(Database!$BD482=Screener!$D$10,1,0))</f>
        <v/>
      </c>
      <c r="F482">
        <f>IF(OR(Database!$BJ482="",Screener!$D$11=""),0,IF(Database!$BJ482=Screener!$D$11,1,0))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IF(OR(N(Database!$BE482)&lt;=0,N(Screener!$D$13)&lt;=0),0,MAX(0,1-ABS(LOG10(N(Database!$BE482)/Screener!$D$13))/W_PEHW))</f>
        <v/>
      </c>
      <c r="J482">
        <f>IF(OR(N(Database!$S482)&lt;=0,N(Screener!$D$14)&lt;=0),0,MAX(0,1-ABS(LOG10(Database!$S482/Screener!$D$14))/0.6))</f>
        <v/>
      </c>
      <c r="K482">
        <f>IF(Database!$B482=Screener!$B$5,-999999,IF(ISNUMBER(SEARCH(","&amp;Database!$A482&amp;",",","&amp;SUBSTITUTE(Screener!$D$17," ","")&amp;",")),2000000,IF(IF(OR(Screener!$B$18="All",AND(Screener!$B$18="With A-share",(Database!$BJ482="Y")),AND(Screener!$B$18="Without A-share",NOT((Database!$BJ482="Y")))),1,0)=0,-999999,IF(Screener!$B$16="cornerstone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Database!BD472</f>
        <v/>
      </c>
      <c r="AF482">
        <f>Database!BJ472</f>
        <v/>
      </c>
      <c r="AG482">
        <f>Database!H472</f>
        <v/>
      </c>
      <c r="AH482">
        <f>Database!BE472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IF(OR(Database!$BD483="",Screener!$D$10=""),0,IF(Database!$BD483=Screener!$D$10,1,0))</f>
        <v/>
      </c>
      <c r="F483">
        <f>IF(OR(Database!$BJ483="",Screener!$D$11=""),0,IF(Database!$BJ483=Screener!$D$11,1,0))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IF(OR(N(Database!$BE483)&lt;=0,N(Screener!$D$13)&lt;=0),0,MAX(0,1-ABS(LOG10(N(Database!$BE483)/Screener!$D$13))/W_PEHW))</f>
        <v/>
      </c>
      <c r="J483">
        <f>IF(OR(N(Database!$S483)&lt;=0,N(Screener!$D$14)&lt;=0),0,MAX(0,1-ABS(LOG10(Database!$S483/Screener!$D$14))/0.6))</f>
        <v/>
      </c>
      <c r="K483">
        <f>IF(Database!$B483=Screener!$B$5,-999999,IF(ISNUMBER(SEARCH(","&amp;Database!$A483&amp;",",","&amp;SUBSTITUTE(Screener!$D$17," ","")&amp;",")),2000000,IF(IF(OR(Screener!$B$18="All",AND(Screener!$B$18="With A-share",(Database!$BJ483="Y")),AND(Screener!$B$18="Without A-share",NOT((Database!$BJ483="Y")))),1,0)=0,-999999,IF(Screener!$B$16="cornerstone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Database!BD473</f>
        <v/>
      </c>
      <c r="AF483">
        <f>Database!BJ473</f>
        <v/>
      </c>
      <c r="AG483">
        <f>Database!H473</f>
        <v/>
      </c>
      <c r="AH483">
        <f>Database!BE473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IF(OR(Database!$BD484="",Screener!$D$10=""),0,IF(Database!$BD484=Screener!$D$10,1,0))</f>
        <v/>
      </c>
      <c r="F484">
        <f>IF(OR(Database!$BJ484="",Screener!$D$11=""),0,IF(Database!$BJ484=Screener!$D$11,1,0))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IF(OR(N(Database!$BE484)&lt;=0,N(Screener!$D$13)&lt;=0),0,MAX(0,1-ABS(LOG10(N(Database!$BE484)/Screener!$D$13))/W_PEHW))</f>
        <v/>
      </c>
      <c r="J484">
        <f>IF(OR(N(Database!$S484)&lt;=0,N(Screener!$D$14)&lt;=0),0,MAX(0,1-ABS(LOG10(Database!$S484/Screener!$D$14))/0.6))</f>
        <v/>
      </c>
      <c r="K484">
        <f>IF(Database!$B484=Screener!$B$5,-999999,IF(ISNUMBER(SEARCH(","&amp;Database!$A484&amp;",",","&amp;SUBSTITUTE(Screener!$D$17," ","")&amp;",")),2000000,IF(IF(OR(Screener!$B$18="All",AND(Screener!$B$18="With A-share",(Database!$BJ484="Y")),AND(Screener!$B$18="Without A-share",NOT((Database!$BJ484="Y")))),1,0)=0,-999999,IF(Screener!$B$16="cornerstone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Database!BD474</f>
        <v/>
      </c>
      <c r="AF484">
        <f>Database!BJ474</f>
        <v/>
      </c>
      <c r="AG484">
        <f>Database!H474</f>
        <v/>
      </c>
      <c r="AH484">
        <f>Database!BE474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IF(OR(Database!$BD485="",Screener!$D$10=""),0,IF(Database!$BD485=Screener!$D$10,1,0))</f>
        <v/>
      </c>
      <c r="F485">
        <f>IF(OR(Database!$BJ485="",Screener!$D$11=""),0,IF(Database!$BJ485=Screener!$D$11,1,0))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IF(OR(N(Database!$BE485)&lt;=0,N(Screener!$D$13)&lt;=0),0,MAX(0,1-ABS(LOG10(N(Database!$BE485)/Screener!$D$13))/W_PEHW))</f>
        <v/>
      </c>
      <c r="J485">
        <f>IF(OR(N(Database!$S485)&lt;=0,N(Screener!$D$14)&lt;=0),0,MAX(0,1-ABS(LOG10(Database!$S485/Screener!$D$14))/0.6))</f>
        <v/>
      </c>
      <c r="K485">
        <f>IF(Database!$B485=Screener!$B$5,-999999,IF(ISNUMBER(SEARCH(","&amp;Database!$A485&amp;",",","&amp;SUBSTITUTE(Screener!$D$17," ","")&amp;",")),2000000,IF(IF(OR(Screener!$B$18="All",AND(Screener!$B$18="With A-share",(Database!$BJ485="Y")),AND(Screener!$B$18="Without A-share",NOT((Database!$BJ485="Y")))),1,0)=0,-999999,IF(Screener!$B$16="cornerstone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Database!BD475</f>
        <v/>
      </c>
      <c r="AF485">
        <f>Database!BJ475</f>
        <v/>
      </c>
      <c r="AG485">
        <f>Database!H475</f>
        <v/>
      </c>
      <c r="AH485">
        <f>Database!BE475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IF(OR(Database!$BD486="",Screener!$D$10=""),0,IF(Database!$BD486=Screener!$D$10,1,0))</f>
        <v/>
      </c>
      <c r="F486">
        <f>IF(OR(Database!$BJ486="",Screener!$D$11=""),0,IF(Database!$BJ486=Screener!$D$11,1,0))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IF(OR(N(Database!$BE486)&lt;=0,N(Screener!$D$13)&lt;=0),0,MAX(0,1-ABS(LOG10(N(Database!$BE486)/Screener!$D$13))/W_PEHW))</f>
        <v/>
      </c>
      <c r="J486">
        <f>IF(OR(N(Database!$S486)&lt;=0,N(Screener!$D$14)&lt;=0),0,MAX(0,1-ABS(LOG10(Database!$S486/Screener!$D$14))/0.6))</f>
        <v/>
      </c>
      <c r="K486">
        <f>IF(Database!$B486=Screener!$B$5,-999999,IF(ISNUMBER(SEARCH(","&amp;Database!$A486&amp;",",","&amp;SUBSTITUTE(Screener!$D$17," ","")&amp;",")),2000000,IF(IF(OR(Screener!$B$18="All",AND(Screener!$B$18="With A-share",(Database!$BJ486="Y")),AND(Screener!$B$18="Without A-share",NOT((Database!$BJ486="Y")))),1,0)=0,-999999,IF(Screener!$B$16="cornerstone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Database!BD476</f>
        <v/>
      </c>
      <c r="AF486">
        <f>Database!BJ476</f>
        <v/>
      </c>
      <c r="AG486">
        <f>Database!H476</f>
        <v/>
      </c>
      <c r="AH486">
        <f>Database!BE476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IF(OR(Database!$BD487="",Screener!$D$10=""),0,IF(Database!$BD487=Screener!$D$10,1,0))</f>
        <v/>
      </c>
      <c r="F487">
        <f>IF(OR(Database!$BJ487="",Screener!$D$11=""),0,IF(Database!$BJ487=Screener!$D$11,1,0))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IF(OR(N(Database!$BE487)&lt;=0,N(Screener!$D$13)&lt;=0),0,MAX(0,1-ABS(LOG10(N(Database!$BE487)/Screener!$D$13))/W_PEHW))</f>
        <v/>
      </c>
      <c r="J487">
        <f>IF(OR(N(Database!$S487)&lt;=0,N(Screener!$D$14)&lt;=0),0,MAX(0,1-ABS(LOG10(Database!$S487/Screener!$D$14))/0.6))</f>
        <v/>
      </c>
      <c r="K487">
        <f>IF(Database!$B487=Screener!$B$5,-999999,IF(ISNUMBER(SEARCH(","&amp;Database!$A487&amp;",",","&amp;SUBSTITUTE(Screener!$D$17," ","")&amp;",")),2000000,IF(IF(OR(Screener!$B$18="All",AND(Screener!$B$18="With A-share",(Database!$BJ487="Y")),AND(Screener!$B$18="Without A-share",NOT((Database!$BJ487="Y")))),1,0)=0,-999999,IF(Screener!$B$16="cornerstone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Database!BD477</f>
        <v/>
      </c>
      <c r="AF487">
        <f>Database!BJ477</f>
        <v/>
      </c>
      <c r="AG487">
        <f>Database!H477</f>
        <v/>
      </c>
      <c r="AH487">
        <f>Database!BE477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IF(OR(Database!$BD488="",Screener!$D$10=""),0,IF(Database!$BD488=Screener!$D$10,1,0))</f>
        <v/>
      </c>
      <c r="F488">
        <f>IF(OR(Database!$BJ488="",Screener!$D$11=""),0,IF(Database!$BJ488=Screener!$D$11,1,0))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IF(OR(N(Database!$BE488)&lt;=0,N(Screener!$D$13)&lt;=0),0,MAX(0,1-ABS(LOG10(N(Database!$BE488)/Screener!$D$13))/W_PEHW))</f>
        <v/>
      </c>
      <c r="J488">
        <f>IF(OR(N(Database!$S488)&lt;=0,N(Screener!$D$14)&lt;=0),0,MAX(0,1-ABS(LOG10(Database!$S488/Screener!$D$14))/0.6))</f>
        <v/>
      </c>
      <c r="K488">
        <f>IF(Database!$B488=Screener!$B$5,-999999,IF(ISNUMBER(SEARCH(","&amp;Database!$A488&amp;",",","&amp;SUBSTITUTE(Screener!$D$17," ","")&amp;",")),2000000,IF(IF(OR(Screener!$B$18="All",AND(Screener!$B$18="With A-share",(Database!$BJ488="Y")),AND(Screener!$B$18="Without A-share",NOT((Database!$BJ488="Y")))),1,0)=0,-999999,IF(Screener!$B$16="cornerstone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Database!BD478</f>
        <v/>
      </c>
      <c r="AF488">
        <f>Database!BJ478</f>
        <v/>
      </c>
      <c r="AG488">
        <f>Database!H478</f>
        <v/>
      </c>
      <c r="AH488">
        <f>Database!BE478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IF(OR(Database!$BD489="",Screener!$D$10=""),0,IF(Database!$BD489=Screener!$D$10,1,0))</f>
        <v/>
      </c>
      <c r="F489">
        <f>IF(OR(Database!$BJ489="",Screener!$D$11=""),0,IF(Database!$BJ489=Screener!$D$11,1,0))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IF(OR(N(Database!$BE489)&lt;=0,N(Screener!$D$13)&lt;=0),0,MAX(0,1-ABS(LOG10(N(Database!$BE489)/Screener!$D$13))/W_PEHW))</f>
        <v/>
      </c>
      <c r="J489">
        <f>IF(OR(N(Database!$S489)&lt;=0,N(Screener!$D$14)&lt;=0),0,MAX(0,1-ABS(LOG10(Database!$S489/Screener!$D$14))/0.6))</f>
        <v/>
      </c>
      <c r="K489">
        <f>IF(Database!$B489=Screener!$B$5,-999999,IF(ISNUMBER(SEARCH(","&amp;Database!$A489&amp;",",","&amp;SUBSTITUTE(Screener!$D$17," ","")&amp;",")),2000000,IF(IF(OR(Screener!$B$18="All",AND(Screener!$B$18="With A-share",(Database!$BJ489="Y")),AND(Screener!$B$18="Without A-share",NOT((Database!$BJ489="Y")))),1,0)=0,-999999,IF(Screener!$B$16="cornerstone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Database!BD479</f>
        <v/>
      </c>
      <c r="AF489">
        <f>Database!BJ479</f>
        <v/>
      </c>
      <c r="AG489">
        <f>Database!H479</f>
        <v/>
      </c>
      <c r="AH489">
        <f>Database!BE479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IF(OR(Database!$BD490="",Screener!$D$10=""),0,IF(Database!$BD490=Screener!$D$10,1,0))</f>
        <v/>
      </c>
      <c r="F490">
        <f>IF(OR(Database!$BJ490="",Screener!$D$11=""),0,IF(Database!$BJ490=Screener!$D$11,1,0))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IF(OR(N(Database!$BE490)&lt;=0,N(Screener!$D$13)&lt;=0),0,MAX(0,1-ABS(LOG10(N(Database!$BE490)/Screener!$D$13))/W_PEHW))</f>
        <v/>
      </c>
      <c r="J490">
        <f>IF(OR(N(Database!$S490)&lt;=0,N(Screener!$D$14)&lt;=0),0,MAX(0,1-ABS(LOG10(Database!$S490/Screener!$D$14))/0.6))</f>
        <v/>
      </c>
      <c r="K490">
        <f>IF(Database!$B490=Screener!$B$5,-999999,IF(ISNUMBER(SEARCH(","&amp;Database!$A490&amp;",",","&amp;SUBSTITUTE(Screener!$D$17," ","")&amp;",")),2000000,IF(IF(OR(Screener!$B$18="All",AND(Screener!$B$18="With A-share",(Database!$BJ490="Y")),AND(Screener!$B$18="Without A-share",NOT((Database!$BJ490="Y")))),1,0)=0,-999999,IF(Screener!$B$16="cornerstone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Database!BD480</f>
        <v/>
      </c>
      <c r="AF490">
        <f>Database!BJ480</f>
        <v/>
      </c>
      <c r="AG490">
        <f>Database!H480</f>
        <v/>
      </c>
      <c r="AH490">
        <f>Database!BE480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IF(OR(Database!$BD491="",Screener!$D$10=""),0,IF(Database!$BD491=Screener!$D$10,1,0))</f>
        <v/>
      </c>
      <c r="F491">
        <f>IF(OR(Database!$BJ491="",Screener!$D$11=""),0,IF(Database!$BJ491=Screener!$D$11,1,0))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IF(OR(N(Database!$BE491)&lt;=0,N(Screener!$D$13)&lt;=0),0,MAX(0,1-ABS(LOG10(N(Database!$BE491)/Screener!$D$13))/W_PEHW))</f>
        <v/>
      </c>
      <c r="J491">
        <f>IF(OR(N(Database!$S491)&lt;=0,N(Screener!$D$14)&lt;=0),0,MAX(0,1-ABS(LOG10(Database!$S491/Screener!$D$14))/0.6))</f>
        <v/>
      </c>
      <c r="K491">
        <f>IF(Database!$B491=Screener!$B$5,-999999,IF(ISNUMBER(SEARCH(","&amp;Database!$A491&amp;",",","&amp;SUBSTITUTE(Screener!$D$17," ","")&amp;",")),2000000,IF(IF(OR(Screener!$B$18="All",AND(Screener!$B$18="With A-share",(Database!$BJ491="Y")),AND(Screener!$B$18="Without A-share",NOT((Database!$BJ491="Y")))),1,0)=0,-999999,IF(Screener!$B$16="cornerstone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Database!BD481</f>
        <v/>
      </c>
      <c r="AF491">
        <f>Database!BJ481</f>
        <v/>
      </c>
      <c r="AG491">
        <f>Database!H481</f>
        <v/>
      </c>
      <c r="AH491">
        <f>Database!BE481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IF(OR(Database!$BD492="",Screener!$D$10=""),0,IF(Database!$BD492=Screener!$D$10,1,0))</f>
        <v/>
      </c>
      <c r="F492">
        <f>IF(OR(Database!$BJ492="",Screener!$D$11=""),0,IF(Database!$BJ492=Screener!$D$11,1,0))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IF(OR(N(Database!$BE492)&lt;=0,N(Screener!$D$13)&lt;=0),0,MAX(0,1-ABS(LOG10(N(Database!$BE492)/Screener!$D$13))/W_PEHW))</f>
        <v/>
      </c>
      <c r="J492">
        <f>IF(OR(N(Database!$S492)&lt;=0,N(Screener!$D$14)&lt;=0),0,MAX(0,1-ABS(LOG10(Database!$S492/Screener!$D$14))/0.6))</f>
        <v/>
      </c>
      <c r="K492">
        <f>IF(Database!$B492=Screener!$B$5,-999999,IF(ISNUMBER(SEARCH(","&amp;Database!$A492&amp;",",","&amp;SUBSTITUTE(Screener!$D$17," ","")&amp;",")),2000000,IF(IF(OR(Screener!$B$18="All",AND(Screener!$B$18="With A-share",(Database!$BJ492="Y")),AND(Screener!$B$18="Without A-share",NOT((Database!$BJ492="Y")))),1,0)=0,-999999,IF(Screener!$B$16="cornerstone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Database!BD482</f>
        <v/>
      </c>
      <c r="AF492">
        <f>Database!BJ482</f>
        <v/>
      </c>
      <c r="AG492">
        <f>Database!H482</f>
        <v/>
      </c>
      <c r="AH492">
        <f>Database!BE482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IF(OR(Database!$BD493="",Screener!$D$10=""),0,IF(Database!$BD493=Screener!$D$10,1,0))</f>
        <v/>
      </c>
      <c r="F493">
        <f>IF(OR(Database!$BJ493="",Screener!$D$11=""),0,IF(Database!$BJ493=Screener!$D$11,1,0))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IF(OR(N(Database!$BE493)&lt;=0,N(Screener!$D$13)&lt;=0),0,MAX(0,1-ABS(LOG10(N(Database!$BE493)/Screener!$D$13))/W_PEHW))</f>
        <v/>
      </c>
      <c r="J493">
        <f>IF(OR(N(Database!$S493)&lt;=0,N(Screener!$D$14)&lt;=0),0,MAX(0,1-ABS(LOG10(Database!$S493/Screener!$D$14))/0.6))</f>
        <v/>
      </c>
      <c r="K493">
        <f>IF(Database!$B493=Screener!$B$5,-999999,IF(ISNUMBER(SEARCH(","&amp;Database!$A493&amp;",",","&amp;SUBSTITUTE(Screener!$D$17," ","")&amp;",")),2000000,IF(IF(OR(Screener!$B$18="All",AND(Screener!$B$18="With A-share",(Database!$BJ493="Y")),AND(Screener!$B$18="Without A-share",NOT((Database!$BJ493="Y")))),1,0)=0,-999999,IF(Screener!$B$16="cornerstone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Database!BD483</f>
        <v/>
      </c>
      <c r="AF493">
        <f>Database!BJ483</f>
        <v/>
      </c>
      <c r="AG493">
        <f>Database!H483</f>
        <v/>
      </c>
      <c r="AH493">
        <f>Database!BE483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IF(OR(Database!$BD494="",Screener!$D$10=""),0,IF(Database!$BD494=Screener!$D$10,1,0))</f>
        <v/>
      </c>
      <c r="F494">
        <f>IF(OR(Database!$BJ494="",Screener!$D$11=""),0,IF(Database!$BJ494=Screener!$D$11,1,0))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IF(OR(N(Database!$BE494)&lt;=0,N(Screener!$D$13)&lt;=0),0,MAX(0,1-ABS(LOG10(N(Database!$BE494)/Screener!$D$13))/W_PEHW))</f>
        <v/>
      </c>
      <c r="J494">
        <f>IF(OR(N(Database!$S494)&lt;=0,N(Screener!$D$14)&lt;=0),0,MAX(0,1-ABS(LOG10(Database!$S494/Screener!$D$14))/0.6))</f>
        <v/>
      </c>
      <c r="K494">
        <f>IF(Database!$B494=Screener!$B$5,-999999,IF(ISNUMBER(SEARCH(","&amp;Database!$A494&amp;",",","&amp;SUBSTITUTE(Screener!$D$17," ","")&amp;",")),2000000,IF(IF(OR(Screener!$B$18="All",AND(Screener!$B$18="With A-share",(Database!$BJ494="Y")),AND(Screener!$B$18="Without A-share",NOT((Database!$BJ494="Y")))),1,0)=0,-999999,IF(Screener!$B$16="cornerstone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Database!BD484</f>
        <v/>
      </c>
      <c r="AF494">
        <f>Database!BJ484</f>
        <v/>
      </c>
      <c r="AG494">
        <f>Database!H484</f>
        <v/>
      </c>
      <c r="AH494">
        <f>Database!BE484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IF(OR(Database!$BD495="",Screener!$D$10=""),0,IF(Database!$BD495=Screener!$D$10,1,0))</f>
        <v/>
      </c>
      <c r="F495">
        <f>IF(OR(Database!$BJ495="",Screener!$D$11=""),0,IF(Database!$BJ495=Screener!$D$11,1,0))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IF(OR(N(Database!$BE495)&lt;=0,N(Screener!$D$13)&lt;=0),0,MAX(0,1-ABS(LOG10(N(Database!$BE495)/Screener!$D$13))/W_PEHW))</f>
        <v/>
      </c>
      <c r="J495">
        <f>IF(OR(N(Database!$S495)&lt;=0,N(Screener!$D$14)&lt;=0),0,MAX(0,1-ABS(LOG10(Database!$S495/Screener!$D$14))/0.6))</f>
        <v/>
      </c>
      <c r="K495">
        <f>IF(Database!$B495=Screener!$B$5,-999999,IF(ISNUMBER(SEARCH(","&amp;Database!$A495&amp;",",","&amp;SUBSTITUTE(Screener!$D$17," ","")&amp;",")),2000000,IF(IF(OR(Screener!$B$18="All",AND(Screener!$B$18="With A-share",(Database!$BJ495="Y")),AND(Screener!$B$18="Without A-share",NOT((Database!$BJ495="Y")))),1,0)=0,-999999,IF(Screener!$B$16="cornerstone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Database!BD485</f>
        <v/>
      </c>
      <c r="AF495">
        <f>Database!BJ485</f>
        <v/>
      </c>
      <c r="AG495">
        <f>Database!H485</f>
        <v/>
      </c>
      <c r="AH495">
        <f>Database!BE485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IF(OR(Database!$BD496="",Screener!$D$10=""),0,IF(Database!$BD496=Screener!$D$10,1,0))</f>
        <v/>
      </c>
      <c r="F496">
        <f>IF(OR(Database!$BJ496="",Screener!$D$11=""),0,IF(Database!$BJ496=Screener!$D$11,1,0))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IF(OR(N(Database!$BE496)&lt;=0,N(Screener!$D$13)&lt;=0),0,MAX(0,1-ABS(LOG10(N(Database!$BE496)/Screener!$D$13))/W_PEHW))</f>
        <v/>
      </c>
      <c r="J496">
        <f>IF(OR(N(Database!$S496)&lt;=0,N(Screener!$D$14)&lt;=0),0,MAX(0,1-ABS(LOG10(Database!$S496/Screener!$D$14))/0.6))</f>
        <v/>
      </c>
      <c r="K496">
        <f>IF(Database!$B496=Screener!$B$5,-999999,IF(ISNUMBER(SEARCH(","&amp;Database!$A496&amp;",",","&amp;SUBSTITUTE(Screener!$D$17," ","")&amp;",")),2000000,IF(IF(OR(Screener!$B$18="All",AND(Screener!$B$18="With A-share",(Database!$BJ496="Y")),AND(Screener!$B$18="Without A-share",NOT((Database!$BJ496="Y")))),1,0)=0,-999999,IF(Screener!$B$16="cornerstone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Database!BD486</f>
        <v/>
      </c>
      <c r="AF496">
        <f>Database!BJ486</f>
        <v/>
      </c>
      <c r="AG496">
        <f>Database!H486</f>
        <v/>
      </c>
      <c r="AH496">
        <f>Database!BE486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IF(OR(Database!$BD497="",Screener!$D$10=""),0,IF(Database!$BD497=Screener!$D$10,1,0))</f>
        <v/>
      </c>
      <c r="F497">
        <f>IF(OR(Database!$BJ497="",Screener!$D$11=""),0,IF(Database!$BJ497=Screener!$D$11,1,0))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IF(OR(N(Database!$BE497)&lt;=0,N(Screener!$D$13)&lt;=0),0,MAX(0,1-ABS(LOG10(N(Database!$BE497)/Screener!$D$13))/W_PEHW))</f>
        <v/>
      </c>
      <c r="J497">
        <f>IF(OR(N(Database!$S497)&lt;=0,N(Screener!$D$14)&lt;=0),0,MAX(0,1-ABS(LOG10(Database!$S497/Screener!$D$14))/0.6))</f>
        <v/>
      </c>
      <c r="K497">
        <f>IF(Database!$B497=Screener!$B$5,-999999,IF(ISNUMBER(SEARCH(","&amp;Database!$A497&amp;",",","&amp;SUBSTITUTE(Screener!$D$17," ","")&amp;",")),2000000,IF(IF(OR(Screener!$B$18="All",AND(Screener!$B$18="With A-share",(Database!$BJ497="Y")),AND(Screener!$B$18="Without A-share",NOT((Database!$BJ497="Y")))),1,0)=0,-999999,IF(Screener!$B$16="cornerstone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Database!BD487</f>
        <v/>
      </c>
      <c r="AF497">
        <f>Database!BJ487</f>
        <v/>
      </c>
      <c r="AG497">
        <f>Database!H487</f>
        <v/>
      </c>
      <c r="AH497">
        <f>Database!BE487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IF(OR(Database!$BD498="",Screener!$D$10=""),0,IF(Database!$BD498=Screener!$D$10,1,0))</f>
        <v/>
      </c>
      <c r="F498">
        <f>IF(OR(Database!$BJ498="",Screener!$D$11=""),0,IF(Database!$BJ498=Screener!$D$11,1,0))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IF(OR(N(Database!$BE498)&lt;=0,N(Screener!$D$13)&lt;=0),0,MAX(0,1-ABS(LOG10(N(Database!$BE498)/Screener!$D$13))/W_PEHW))</f>
        <v/>
      </c>
      <c r="J498">
        <f>IF(OR(N(Database!$S498)&lt;=0,N(Screener!$D$14)&lt;=0),0,MAX(0,1-ABS(LOG10(Database!$S498/Screener!$D$14))/0.6))</f>
        <v/>
      </c>
      <c r="K498">
        <f>IF(Database!$B498=Screener!$B$5,-999999,IF(ISNUMBER(SEARCH(","&amp;Database!$A498&amp;",",","&amp;SUBSTITUTE(Screener!$D$17," ","")&amp;",")),2000000,IF(IF(OR(Screener!$B$18="All",AND(Screener!$B$18="With A-share",(Database!$BJ498="Y")),AND(Screener!$B$18="Without A-share",NOT((Database!$BJ498="Y")))),1,0)=0,-999999,IF(Screener!$B$16="cornerstone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Database!BD488</f>
        <v/>
      </c>
      <c r="AF498">
        <f>Database!BJ488</f>
        <v/>
      </c>
      <c r="AG498">
        <f>Database!H488</f>
        <v/>
      </c>
      <c r="AH498">
        <f>Database!BE488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IF(OR(Database!$BD499="",Screener!$D$10=""),0,IF(Database!$BD499=Screener!$D$10,1,0))</f>
        <v/>
      </c>
      <c r="F499">
        <f>IF(OR(Database!$BJ499="",Screener!$D$11=""),0,IF(Database!$BJ499=Screener!$D$11,1,0))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IF(OR(N(Database!$BE499)&lt;=0,N(Screener!$D$13)&lt;=0),0,MAX(0,1-ABS(LOG10(N(Database!$BE499)/Screener!$D$13))/W_PEHW))</f>
        <v/>
      </c>
      <c r="J499">
        <f>IF(OR(N(Database!$S499)&lt;=0,N(Screener!$D$14)&lt;=0),0,MAX(0,1-ABS(LOG10(Database!$S499/Screener!$D$14))/0.6))</f>
        <v/>
      </c>
      <c r="K499">
        <f>IF(Database!$B499=Screener!$B$5,-999999,IF(ISNUMBER(SEARCH(","&amp;Database!$A499&amp;",",","&amp;SUBSTITUTE(Screener!$D$17," ","")&amp;",")),2000000,IF(IF(OR(Screener!$B$18="All",AND(Screener!$B$18="With A-share",(Database!$BJ499="Y")),AND(Screener!$B$18="Without A-share",NOT((Database!$BJ499="Y")))),1,0)=0,-999999,IF(Screener!$B$16="cornerstone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Database!BD489</f>
        <v/>
      </c>
      <c r="AF499">
        <f>Database!BJ489</f>
        <v/>
      </c>
      <c r="AG499">
        <f>Database!H489</f>
        <v/>
      </c>
      <c r="AH499">
        <f>Database!BE489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IF(OR(Database!$BD500="",Screener!$D$10=""),0,IF(Database!$BD500=Screener!$D$10,1,0))</f>
        <v/>
      </c>
      <c r="F500">
        <f>IF(OR(Database!$BJ500="",Screener!$D$11=""),0,IF(Database!$BJ500=Screener!$D$11,1,0))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IF(OR(N(Database!$BE500)&lt;=0,N(Screener!$D$13)&lt;=0),0,MAX(0,1-ABS(LOG10(N(Database!$BE500)/Screener!$D$13))/W_PEHW))</f>
        <v/>
      </c>
      <c r="J500">
        <f>IF(OR(N(Database!$S500)&lt;=0,N(Screener!$D$14)&lt;=0),0,MAX(0,1-ABS(LOG10(Database!$S500/Screener!$D$14))/0.6))</f>
        <v/>
      </c>
      <c r="K500">
        <f>IF(Database!$B500=Screener!$B$5,-999999,IF(ISNUMBER(SEARCH(","&amp;Database!$A500&amp;",",","&amp;SUBSTITUTE(Screener!$D$17," ","")&amp;",")),2000000,IF(IF(OR(Screener!$B$18="All",AND(Screener!$B$18="With A-share",(Database!$BJ500="Y")),AND(Screener!$B$18="Without A-share",NOT((Database!$BJ500="Y")))),1,0)=0,-999999,IF(Screener!$B$16="cornerstone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Database!BD490</f>
        <v/>
      </c>
      <c r="AF500">
        <f>Database!BJ490</f>
        <v/>
      </c>
      <c r="AG500">
        <f>Database!H490</f>
        <v/>
      </c>
      <c r="AH500">
        <f>Database!BE490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IF(OR(Database!$BD501="",Screener!$D$10=""),0,IF(Database!$BD501=Screener!$D$10,1,0))</f>
        <v/>
      </c>
      <c r="F501">
        <f>IF(OR(Database!$BJ501="",Screener!$D$11=""),0,IF(Database!$BJ501=Screener!$D$11,1,0))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IF(OR(N(Database!$BE501)&lt;=0,N(Screener!$D$13)&lt;=0),0,MAX(0,1-ABS(LOG10(N(Database!$BE501)/Screener!$D$13))/W_PEHW))</f>
        <v/>
      </c>
      <c r="J501">
        <f>IF(OR(N(Database!$S501)&lt;=0,N(Screener!$D$14)&lt;=0),0,MAX(0,1-ABS(LOG10(Database!$S501/Screener!$D$14))/0.6))</f>
        <v/>
      </c>
      <c r="K501">
        <f>IF(Database!$B501=Screener!$B$5,-999999,IF(ISNUMBER(SEARCH(","&amp;Database!$A501&amp;",",","&amp;SUBSTITUTE(Screener!$D$17," ","")&amp;",")),2000000,IF(IF(OR(Screener!$B$18="All",AND(Screener!$B$18="With A-share",(Database!$BJ501="Y")),AND(Screener!$B$18="Without A-share",NOT((Database!$BJ501="Y")))),1,0)=0,-999999,IF(Screener!$B$16="cornerstone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Database!BD491</f>
        <v/>
      </c>
      <c r="AF501">
        <f>Database!BJ491</f>
        <v/>
      </c>
      <c r="AG501">
        <f>Database!H491</f>
        <v/>
      </c>
      <c r="AH501">
        <f>Database!BE491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IF(OR(Database!$BD502="",Screener!$D$10=""),0,IF(Database!$BD502=Screener!$D$10,1,0))</f>
        <v/>
      </c>
      <c r="F502">
        <f>IF(OR(Database!$BJ502="",Screener!$D$11=""),0,IF(Database!$BJ502=Screener!$D$11,1,0))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IF(OR(N(Database!$BE502)&lt;=0,N(Screener!$D$13)&lt;=0),0,MAX(0,1-ABS(LOG10(N(Database!$BE502)/Screener!$D$13))/W_PEHW))</f>
        <v/>
      </c>
      <c r="J502">
        <f>IF(OR(N(Database!$S502)&lt;=0,N(Screener!$D$14)&lt;=0),0,MAX(0,1-ABS(LOG10(Database!$S502/Screener!$D$14))/0.6))</f>
        <v/>
      </c>
      <c r="K502">
        <f>IF(Database!$B502=Screener!$B$5,-999999,IF(ISNUMBER(SEARCH(","&amp;Database!$A502&amp;",",","&amp;SUBSTITUTE(Screener!$D$17," ","")&amp;",")),2000000,IF(IF(OR(Screener!$B$18="All",AND(Screener!$B$18="With A-share",(Database!$BJ502="Y")),AND(Screener!$B$18="Without A-share",NOT((Database!$BJ502="Y")))),1,0)=0,-999999,IF(Screener!$B$16="cornerstone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Database!BD492</f>
        <v/>
      </c>
      <c r="AF502">
        <f>Database!BJ492</f>
        <v/>
      </c>
      <c r="AG502">
        <f>Database!H492</f>
        <v/>
      </c>
      <c r="AH502">
        <f>Database!BE492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IF(OR(Database!$BD503="",Screener!$D$10=""),0,IF(Database!$BD503=Screener!$D$10,1,0))</f>
        <v/>
      </c>
      <c r="F503">
        <f>IF(OR(Database!$BJ503="",Screener!$D$11=""),0,IF(Database!$BJ503=Screener!$D$11,1,0))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IF(OR(N(Database!$BE503)&lt;=0,N(Screener!$D$13)&lt;=0),0,MAX(0,1-ABS(LOG10(N(Database!$BE503)/Screener!$D$13))/W_PEHW))</f>
        <v/>
      </c>
      <c r="J503">
        <f>IF(OR(N(Database!$S503)&lt;=0,N(Screener!$D$14)&lt;=0),0,MAX(0,1-ABS(LOG10(Database!$S503/Screener!$D$14))/0.6))</f>
        <v/>
      </c>
      <c r="K503">
        <f>IF(Database!$B503=Screener!$B$5,-999999,IF(ISNUMBER(SEARCH(","&amp;Database!$A503&amp;",",","&amp;SUBSTITUTE(Screener!$D$17," ","")&amp;",")),2000000,IF(IF(OR(Screener!$B$18="All",AND(Screener!$B$18="With A-share",(Database!$BJ503="Y")),AND(Screener!$B$18="Without A-share",NOT((Database!$BJ503="Y")))),1,0)=0,-999999,IF(Screener!$B$16="cornerstone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Database!BD493</f>
        <v/>
      </c>
      <c r="AF503">
        <f>Database!BJ493</f>
        <v/>
      </c>
      <c r="AG503">
        <f>Database!H493</f>
        <v/>
      </c>
      <c r="AH503">
        <f>Database!BE493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IF(OR(Database!$BD504="",Screener!$D$10=""),0,IF(Database!$BD504=Screener!$D$10,1,0))</f>
        <v/>
      </c>
      <c r="F504">
        <f>IF(OR(Database!$BJ504="",Screener!$D$11=""),0,IF(Database!$BJ504=Screener!$D$11,1,0))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IF(OR(N(Database!$BE504)&lt;=0,N(Screener!$D$13)&lt;=0),0,MAX(0,1-ABS(LOG10(N(Database!$BE504)/Screener!$D$13))/W_PEHW))</f>
        <v/>
      </c>
      <c r="J504">
        <f>IF(OR(N(Database!$S504)&lt;=0,N(Screener!$D$14)&lt;=0),0,MAX(0,1-ABS(LOG10(Database!$S504/Screener!$D$14))/0.6))</f>
        <v/>
      </c>
      <c r="K504">
        <f>IF(Database!$B504=Screener!$B$5,-999999,IF(ISNUMBER(SEARCH(","&amp;Database!$A504&amp;",",","&amp;SUBSTITUTE(Screener!$D$17," ","")&amp;",")),2000000,IF(IF(OR(Screener!$B$18="All",AND(Screener!$B$18="With A-share",(Database!$BJ504="Y")),AND(Screener!$B$18="Without A-share",NOT((Database!$BJ504="Y")))),1,0)=0,-999999,IF(Screener!$B$16="cornerstone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Database!BD494</f>
        <v/>
      </c>
      <c r="AF504">
        <f>Database!BJ494</f>
        <v/>
      </c>
      <c r="AG504">
        <f>Database!H494</f>
        <v/>
      </c>
      <c r="AH504">
        <f>Database!BE494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IF(OR(Database!$BD505="",Screener!$D$10=""),0,IF(Database!$BD505=Screener!$D$10,1,0))</f>
        <v/>
      </c>
      <c r="F505">
        <f>IF(OR(Database!$BJ505="",Screener!$D$11=""),0,IF(Database!$BJ505=Screener!$D$11,1,0))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IF(OR(N(Database!$BE505)&lt;=0,N(Screener!$D$13)&lt;=0),0,MAX(0,1-ABS(LOG10(N(Database!$BE505)/Screener!$D$13))/W_PEHW))</f>
        <v/>
      </c>
      <c r="J505">
        <f>IF(OR(N(Database!$S505)&lt;=0,N(Screener!$D$14)&lt;=0),0,MAX(0,1-ABS(LOG10(Database!$S505/Screener!$D$14))/0.6))</f>
        <v/>
      </c>
      <c r="K505">
        <f>IF(Database!$B505=Screener!$B$5,-999999,IF(ISNUMBER(SEARCH(","&amp;Database!$A505&amp;",",","&amp;SUBSTITUTE(Screener!$D$17," ","")&amp;",")),2000000,IF(IF(OR(Screener!$B$18="All",AND(Screener!$B$18="With A-share",(Database!$BJ505="Y")),AND(Screener!$B$18="Without A-share",NOT((Database!$BJ505="Y")))),1,0)=0,-999999,IF(Screener!$B$16="cornerstone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Database!BD495</f>
        <v/>
      </c>
      <c r="AF505">
        <f>Database!BJ495</f>
        <v/>
      </c>
      <c r="AG505">
        <f>Database!H495</f>
        <v/>
      </c>
      <c r="AH505">
        <f>Database!BE495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IF(OR(Database!$BD506="",Screener!$D$10=""),0,IF(Database!$BD506=Screener!$D$10,1,0))</f>
        <v/>
      </c>
      <c r="F506">
        <f>IF(OR(Database!$BJ506="",Screener!$D$11=""),0,IF(Database!$BJ506=Screener!$D$11,1,0))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IF(OR(N(Database!$BE506)&lt;=0,N(Screener!$D$13)&lt;=0),0,MAX(0,1-ABS(LOG10(N(Database!$BE506)/Screener!$D$13))/W_PEHW))</f>
        <v/>
      </c>
      <c r="J506">
        <f>IF(OR(N(Database!$S506)&lt;=0,N(Screener!$D$14)&lt;=0),0,MAX(0,1-ABS(LOG10(Database!$S506/Screener!$D$14))/0.6))</f>
        <v/>
      </c>
      <c r="K506">
        <f>IF(Database!$B506=Screener!$B$5,-999999,IF(ISNUMBER(SEARCH(","&amp;Database!$A506&amp;",",","&amp;SUBSTITUTE(Screener!$D$17," ","")&amp;",")),2000000,IF(IF(OR(Screener!$B$18="All",AND(Screener!$B$18="With A-share",(Database!$BJ506="Y")),AND(Screener!$B$18="Without A-share",NOT((Database!$BJ506="Y")))),1,0)=0,-999999,IF(Screener!$B$16="cornerstone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Database!BD496</f>
        <v/>
      </c>
      <c r="AF506">
        <f>Database!BJ496</f>
        <v/>
      </c>
      <c r="AG506">
        <f>Database!H496</f>
        <v/>
      </c>
      <c r="AH506">
        <f>Database!BE496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IF(OR(Database!$BD507="",Screener!$D$10=""),0,IF(Database!$BD507=Screener!$D$10,1,0))</f>
        <v/>
      </c>
      <c r="F507">
        <f>IF(OR(Database!$BJ507="",Screener!$D$11=""),0,IF(Database!$BJ507=Screener!$D$11,1,0))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IF(OR(N(Database!$BE507)&lt;=0,N(Screener!$D$13)&lt;=0),0,MAX(0,1-ABS(LOG10(N(Database!$BE507)/Screener!$D$13))/W_PEHW))</f>
        <v/>
      </c>
      <c r="J507">
        <f>IF(OR(N(Database!$S507)&lt;=0,N(Screener!$D$14)&lt;=0),0,MAX(0,1-ABS(LOG10(Database!$S507/Screener!$D$14))/0.6))</f>
        <v/>
      </c>
      <c r="K507">
        <f>IF(Database!$B507=Screener!$B$5,-999999,IF(ISNUMBER(SEARCH(","&amp;Database!$A507&amp;",",","&amp;SUBSTITUTE(Screener!$D$17," ","")&amp;",")),2000000,IF(IF(OR(Screener!$B$18="All",AND(Screener!$B$18="With A-share",(Database!$BJ507="Y")),AND(Screener!$B$18="Without A-share",NOT((Database!$BJ507="Y")))),1,0)=0,-999999,IF(Screener!$B$16="cornerstone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Database!BD497</f>
        <v/>
      </c>
      <c r="AF507">
        <f>Database!BJ497</f>
        <v/>
      </c>
      <c r="AG507">
        <f>Database!H497</f>
        <v/>
      </c>
      <c r="AH507">
        <f>Database!BE497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IF(OR(Database!$BD508="",Screener!$D$10=""),0,IF(Database!$BD508=Screener!$D$10,1,0))</f>
        <v/>
      </c>
      <c r="F508">
        <f>IF(OR(Database!$BJ508="",Screener!$D$11=""),0,IF(Database!$BJ508=Screener!$D$11,1,0))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IF(OR(N(Database!$BE508)&lt;=0,N(Screener!$D$13)&lt;=0),0,MAX(0,1-ABS(LOG10(N(Database!$BE508)/Screener!$D$13))/W_PEHW))</f>
        <v/>
      </c>
      <c r="J508">
        <f>IF(OR(N(Database!$S508)&lt;=0,N(Screener!$D$14)&lt;=0),0,MAX(0,1-ABS(LOG10(Database!$S508/Screener!$D$14))/0.6))</f>
        <v/>
      </c>
      <c r="K508">
        <f>IF(Database!$B508=Screener!$B$5,-999999,IF(ISNUMBER(SEARCH(","&amp;Database!$A508&amp;",",","&amp;SUBSTITUTE(Screener!$D$17," ","")&amp;",")),2000000,IF(IF(OR(Screener!$B$18="All",AND(Screener!$B$18="With A-share",(Database!$BJ508="Y")),AND(Screener!$B$18="Without A-share",NOT((Database!$BJ508="Y")))),1,0)=0,-999999,IF(Screener!$B$16="cornerstone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Database!BD498</f>
        <v/>
      </c>
      <c r="AF508">
        <f>Database!BJ498</f>
        <v/>
      </c>
      <c r="AG508">
        <f>Database!H498</f>
        <v/>
      </c>
      <c r="AH508">
        <f>Database!BE498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IF(OR(Database!$BD509="",Screener!$D$10=""),0,IF(Database!$BD509=Screener!$D$10,1,0))</f>
        <v/>
      </c>
      <c r="F509">
        <f>IF(OR(Database!$BJ509="",Screener!$D$11=""),0,IF(Database!$BJ509=Screener!$D$11,1,0))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IF(OR(N(Database!$BE509)&lt;=0,N(Screener!$D$13)&lt;=0),0,MAX(0,1-ABS(LOG10(N(Database!$BE509)/Screener!$D$13))/W_PEHW))</f>
        <v/>
      </c>
      <c r="J509">
        <f>IF(OR(N(Database!$S509)&lt;=0,N(Screener!$D$14)&lt;=0),0,MAX(0,1-ABS(LOG10(Database!$S509/Screener!$D$14))/0.6))</f>
        <v/>
      </c>
      <c r="K509">
        <f>IF(Database!$B509=Screener!$B$5,-999999,IF(ISNUMBER(SEARCH(","&amp;Database!$A509&amp;",",","&amp;SUBSTITUTE(Screener!$D$17," ","")&amp;",")),2000000,IF(IF(OR(Screener!$B$18="All",AND(Screener!$B$18="With A-share",(Database!$BJ509="Y")),AND(Screener!$B$18="Without A-share",NOT((Database!$BJ509="Y")))),1,0)=0,-999999,IF(Screener!$B$16="cornerstone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Database!BD499</f>
        <v/>
      </c>
      <c r="AF509">
        <f>Database!BJ499</f>
        <v/>
      </c>
      <c r="AG509">
        <f>Database!H499</f>
        <v/>
      </c>
      <c r="AH509">
        <f>Database!BE499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IF(OR(Database!$BD510="",Screener!$D$10=""),0,IF(Database!$BD510=Screener!$D$10,1,0))</f>
        <v/>
      </c>
      <c r="F510">
        <f>IF(OR(Database!$BJ510="",Screener!$D$11=""),0,IF(Database!$BJ510=Screener!$D$11,1,0))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IF(OR(N(Database!$BE510)&lt;=0,N(Screener!$D$13)&lt;=0),0,MAX(0,1-ABS(LOG10(N(Database!$BE510)/Screener!$D$13))/W_PEHW))</f>
        <v/>
      </c>
      <c r="J510">
        <f>IF(OR(N(Database!$S510)&lt;=0,N(Screener!$D$14)&lt;=0),0,MAX(0,1-ABS(LOG10(Database!$S510/Screener!$D$14))/0.6))</f>
        <v/>
      </c>
      <c r="K510">
        <f>IF(Database!$B510=Screener!$B$5,-999999,IF(ISNUMBER(SEARCH(","&amp;Database!$A510&amp;",",","&amp;SUBSTITUTE(Screener!$D$17," ","")&amp;",")),2000000,IF(IF(OR(Screener!$B$18="All",AND(Screener!$B$18="With A-share",(Database!$BJ510="Y")),AND(Screener!$B$18="Without A-share",NOT((Database!$BJ510="Y")))),1,0)=0,-999999,IF(Screener!$B$16="cornerstone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Database!BD500</f>
        <v/>
      </c>
      <c r="AF510">
        <f>Database!BJ500</f>
        <v/>
      </c>
      <c r="AG510">
        <f>Database!H500</f>
        <v/>
      </c>
      <c r="AH510">
        <f>Database!BE500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IF(OR(Database!$BD511="",Screener!$D$10=""),0,IF(Database!$BD511=Screener!$D$10,1,0))</f>
        <v/>
      </c>
      <c r="F511">
        <f>IF(OR(Database!$BJ511="",Screener!$D$11=""),0,IF(Database!$BJ511=Screener!$D$11,1,0))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IF(OR(N(Database!$BE511)&lt;=0,N(Screener!$D$13)&lt;=0),0,MAX(0,1-ABS(LOG10(N(Database!$BE511)/Screener!$D$13))/W_PEHW))</f>
        <v/>
      </c>
      <c r="J511">
        <f>IF(OR(N(Database!$S511)&lt;=0,N(Screener!$D$14)&lt;=0),0,MAX(0,1-ABS(LOG10(Database!$S511/Screener!$D$14))/0.6))</f>
        <v/>
      </c>
      <c r="K511">
        <f>IF(Database!$B511=Screener!$B$5,-999999,IF(ISNUMBER(SEARCH(","&amp;Database!$A511&amp;",",","&amp;SUBSTITUTE(Screener!$D$17," ","")&amp;",")),2000000,IF(IF(OR(Screener!$B$18="All",AND(Screener!$B$18="With A-share",(Database!$BJ511="Y")),AND(Screener!$B$18="Without A-share",NOT((Database!$BJ511="Y")))),1,0)=0,-999999,IF(Screener!$B$16="cornerstone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Database!BD501</f>
        <v/>
      </c>
      <c r="AF511">
        <f>Database!BJ501</f>
        <v/>
      </c>
      <c r="AG511">
        <f>Database!H501</f>
        <v/>
      </c>
      <c r="AH511">
        <f>Database!BE501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IF(OR(Database!$BD512="",Screener!$D$10=""),0,IF(Database!$BD512=Screener!$D$10,1,0))</f>
        <v/>
      </c>
      <c r="F512">
        <f>IF(OR(Database!$BJ512="",Screener!$D$11=""),0,IF(Database!$BJ512=Screener!$D$11,1,0))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IF(OR(N(Database!$BE512)&lt;=0,N(Screener!$D$13)&lt;=0),0,MAX(0,1-ABS(LOG10(N(Database!$BE512)/Screener!$D$13))/W_PEHW))</f>
        <v/>
      </c>
      <c r="J512">
        <f>IF(OR(N(Database!$S512)&lt;=0,N(Screener!$D$14)&lt;=0),0,MAX(0,1-ABS(LOG10(Database!$S512/Screener!$D$14))/0.6))</f>
        <v/>
      </c>
      <c r="K512">
        <f>IF(Database!$B512=Screener!$B$5,-999999,IF(ISNUMBER(SEARCH(","&amp;Database!$A512&amp;",",","&amp;SUBSTITUTE(Screener!$D$17," ","")&amp;",")),2000000,IF(IF(OR(Screener!$B$18="All",AND(Screener!$B$18="With A-share",(Database!$BJ512="Y")),AND(Screener!$B$18="Without A-share",NOT((Database!$BJ512="Y")))),1,0)=0,-999999,IF(Screener!$B$16="cornerstone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Database!BD502</f>
        <v/>
      </c>
      <c r="AF512">
        <f>Database!BJ502</f>
        <v/>
      </c>
      <c r="AG512">
        <f>Database!H502</f>
        <v/>
      </c>
      <c r="AH512">
        <f>Database!BE502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IF(OR(Database!$BD513="",Screener!$D$10=""),0,IF(Database!$BD513=Screener!$D$10,1,0))</f>
        <v/>
      </c>
      <c r="F513">
        <f>IF(OR(Database!$BJ513="",Screener!$D$11=""),0,IF(Database!$BJ513=Screener!$D$11,1,0))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IF(OR(N(Database!$BE513)&lt;=0,N(Screener!$D$13)&lt;=0),0,MAX(0,1-ABS(LOG10(N(Database!$BE513)/Screener!$D$13))/W_PEHW))</f>
        <v/>
      </c>
      <c r="J513">
        <f>IF(OR(N(Database!$S513)&lt;=0,N(Screener!$D$14)&lt;=0),0,MAX(0,1-ABS(LOG10(Database!$S513/Screener!$D$14))/0.6))</f>
        <v/>
      </c>
      <c r="K513">
        <f>IF(Database!$B513=Screener!$B$5,-999999,IF(ISNUMBER(SEARCH(","&amp;Database!$A513&amp;",",","&amp;SUBSTITUTE(Screener!$D$17," ","")&amp;",")),2000000,IF(IF(OR(Screener!$B$18="All",AND(Screener!$B$18="With A-share",(Database!$BJ513="Y")),AND(Screener!$B$18="Without A-share",NOT((Database!$BJ513="Y")))),1,0)=0,-999999,IF(Screener!$B$16="cornerstone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Database!BD503</f>
        <v/>
      </c>
      <c r="AF513">
        <f>Database!BJ503</f>
        <v/>
      </c>
      <c r="AG513">
        <f>Database!H503</f>
        <v/>
      </c>
      <c r="AH513">
        <f>Database!BE503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IF(OR(Database!$BD514="",Screener!$D$10=""),0,IF(Database!$BD514=Screener!$D$10,1,0))</f>
        <v/>
      </c>
      <c r="F514">
        <f>IF(OR(Database!$BJ514="",Screener!$D$11=""),0,IF(Database!$BJ514=Screener!$D$11,1,0))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IF(OR(N(Database!$BE514)&lt;=0,N(Screener!$D$13)&lt;=0),0,MAX(0,1-ABS(LOG10(N(Database!$BE514)/Screener!$D$13))/W_PEHW))</f>
        <v/>
      </c>
      <c r="J514">
        <f>IF(OR(N(Database!$S514)&lt;=0,N(Screener!$D$14)&lt;=0),0,MAX(0,1-ABS(LOG10(Database!$S514/Screener!$D$14))/0.6))</f>
        <v/>
      </c>
      <c r="K514">
        <f>IF(Database!$B514=Screener!$B$5,-999999,IF(ISNUMBER(SEARCH(","&amp;Database!$A514&amp;",",","&amp;SUBSTITUTE(Screener!$D$17," ","")&amp;",")),2000000,IF(IF(OR(Screener!$B$18="All",AND(Screener!$B$18="With A-share",(Database!$BJ514="Y")),AND(Screener!$B$18="Without A-share",NOT((Database!$BJ514="Y")))),1,0)=0,-999999,IF(Screener!$B$16="cornerstone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Database!BD504</f>
        <v/>
      </c>
      <c r="AF514">
        <f>Database!BJ504</f>
        <v/>
      </c>
      <c r="AG514">
        <f>Database!H504</f>
        <v/>
      </c>
      <c r="AH514">
        <f>Database!BE504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IF(OR(Database!$BD515="",Screener!$D$10=""),0,IF(Database!$BD515=Screener!$D$10,1,0))</f>
        <v/>
      </c>
      <c r="F515">
        <f>IF(OR(Database!$BJ515="",Screener!$D$11=""),0,IF(Database!$BJ515=Screener!$D$11,1,0))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IF(OR(N(Database!$BE515)&lt;=0,N(Screener!$D$13)&lt;=0),0,MAX(0,1-ABS(LOG10(N(Database!$BE515)/Screener!$D$13))/W_PEHW))</f>
        <v/>
      </c>
      <c r="J515">
        <f>IF(OR(N(Database!$S515)&lt;=0,N(Screener!$D$14)&lt;=0),0,MAX(0,1-ABS(LOG10(Database!$S515/Screener!$D$14))/0.6))</f>
        <v/>
      </c>
      <c r="K515">
        <f>IF(Database!$B515=Screener!$B$5,-999999,IF(ISNUMBER(SEARCH(","&amp;Database!$A515&amp;",",","&amp;SUBSTITUTE(Screener!$D$17," ","")&amp;",")),2000000,IF(IF(OR(Screener!$B$18="All",AND(Screener!$B$18="With A-share",(Database!$BJ515="Y")),AND(Screener!$B$18="Without A-share",NOT((Database!$BJ515="Y")))),1,0)=0,-999999,IF(Screener!$B$16="cornerstone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Database!BD505</f>
        <v/>
      </c>
      <c r="AF515">
        <f>Database!BJ505</f>
        <v/>
      </c>
      <c r="AG515">
        <f>Database!H505</f>
        <v/>
      </c>
      <c r="AH515">
        <f>Database!BE505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IF(OR(Database!$BD516="",Screener!$D$10=""),0,IF(Database!$BD516=Screener!$D$10,1,0))</f>
        <v/>
      </c>
      <c r="F516">
        <f>IF(OR(Database!$BJ516="",Screener!$D$11=""),0,IF(Database!$BJ516=Screener!$D$11,1,0))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IF(OR(N(Database!$BE516)&lt;=0,N(Screener!$D$13)&lt;=0),0,MAX(0,1-ABS(LOG10(N(Database!$BE516)/Screener!$D$13))/W_PEHW))</f>
        <v/>
      </c>
      <c r="J516">
        <f>IF(OR(N(Database!$S516)&lt;=0,N(Screener!$D$14)&lt;=0),0,MAX(0,1-ABS(LOG10(Database!$S516/Screener!$D$14))/0.6))</f>
        <v/>
      </c>
      <c r="K516">
        <f>IF(Database!$B516=Screener!$B$5,-999999,IF(ISNUMBER(SEARCH(","&amp;Database!$A516&amp;",",","&amp;SUBSTITUTE(Screener!$D$17," ","")&amp;",")),2000000,IF(IF(OR(Screener!$B$18="All",AND(Screener!$B$18="With A-share",(Database!$BJ516="Y")),AND(Screener!$B$18="Without A-share",NOT((Database!$BJ516="Y")))),1,0)=0,-999999,IF(Screener!$B$16="cornerstone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Database!BD506</f>
        <v/>
      </c>
      <c r="AF516">
        <f>Database!BJ506</f>
        <v/>
      </c>
      <c r="AG516">
        <f>Database!H506</f>
        <v/>
      </c>
      <c r="AH516">
        <f>Database!BE506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IF(OR(Database!$BD517="",Screener!$D$10=""),0,IF(Database!$BD517=Screener!$D$10,1,0))</f>
        <v/>
      </c>
      <c r="F517">
        <f>IF(OR(Database!$BJ517="",Screener!$D$11=""),0,IF(Database!$BJ517=Screener!$D$11,1,0))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IF(OR(N(Database!$BE517)&lt;=0,N(Screener!$D$13)&lt;=0),0,MAX(0,1-ABS(LOG10(N(Database!$BE517)/Screener!$D$13))/W_PEHW))</f>
        <v/>
      </c>
      <c r="J517">
        <f>IF(OR(N(Database!$S517)&lt;=0,N(Screener!$D$14)&lt;=0),0,MAX(0,1-ABS(LOG10(Database!$S517/Screener!$D$14))/0.6))</f>
        <v/>
      </c>
      <c r="K517">
        <f>IF(Database!$B517=Screener!$B$5,-999999,IF(ISNUMBER(SEARCH(","&amp;Database!$A517&amp;",",","&amp;SUBSTITUTE(Screener!$D$17," ","")&amp;",")),2000000,IF(IF(OR(Screener!$B$18="All",AND(Screener!$B$18="With A-share",(Database!$BJ517="Y")),AND(Screener!$B$18="Without A-share",NOT((Database!$BJ517="Y")))),1,0)=0,-999999,IF(Screener!$B$16="cornerstone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Database!BD507</f>
        <v/>
      </c>
      <c r="AF517">
        <f>Database!BJ507</f>
        <v/>
      </c>
      <c r="AG517">
        <f>Database!H507</f>
        <v/>
      </c>
      <c r="AH517">
        <f>Database!BE507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IF(OR(Database!$BD518="",Screener!$D$10=""),0,IF(Database!$BD518=Screener!$D$10,1,0))</f>
        <v/>
      </c>
      <c r="F518">
        <f>IF(OR(Database!$BJ518="",Screener!$D$11=""),0,IF(Database!$BJ518=Screener!$D$11,1,0))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IF(OR(N(Database!$BE518)&lt;=0,N(Screener!$D$13)&lt;=0),0,MAX(0,1-ABS(LOG10(N(Database!$BE518)/Screener!$D$13))/W_PEHW))</f>
        <v/>
      </c>
      <c r="J518">
        <f>IF(OR(N(Database!$S518)&lt;=0,N(Screener!$D$14)&lt;=0),0,MAX(0,1-ABS(LOG10(Database!$S518/Screener!$D$14))/0.6))</f>
        <v/>
      </c>
      <c r="K518">
        <f>IF(Database!$B518=Screener!$B$5,-999999,IF(ISNUMBER(SEARCH(","&amp;Database!$A518&amp;",",","&amp;SUBSTITUTE(Screener!$D$17," ","")&amp;",")),2000000,IF(IF(OR(Screener!$B$18="All",AND(Screener!$B$18="With A-share",(Database!$BJ518="Y")),AND(Screener!$B$18="Without A-share",NOT((Database!$BJ518="Y")))),1,0)=0,-999999,IF(Screener!$B$16="cornerstone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Database!BD508</f>
        <v/>
      </c>
      <c r="AF518">
        <f>Database!BJ508</f>
        <v/>
      </c>
      <c r="AG518">
        <f>Database!H508</f>
        <v/>
      </c>
      <c r="AH518">
        <f>Database!BE508</f>
        <v/>
      </c>
    </row>
    <row r="519">
      <c r="AA519">
        <f>Database!B509</f>
        <v/>
      </c>
      <c r="AB519">
        <f>Database!D509</f>
        <v/>
      </c>
      <c r="AC519">
        <f>Database!E509</f>
        <v/>
      </c>
      <c r="AD519">
        <f>Database!I509</f>
        <v/>
      </c>
      <c r="AE519">
        <f>Database!BD509</f>
        <v/>
      </c>
      <c r="AF519">
        <f>Database!BJ509</f>
        <v/>
      </c>
      <c r="AG519">
        <f>Database!H509</f>
        <v/>
      </c>
      <c r="AH519">
        <f>Database!BE509</f>
        <v/>
      </c>
    </row>
    <row r="520">
      <c r="AA520">
        <f>Database!B510</f>
        <v/>
      </c>
      <c r="AB520">
        <f>Database!D510</f>
        <v/>
      </c>
      <c r="AC520">
        <f>Database!E510</f>
        <v/>
      </c>
      <c r="AD520">
        <f>Database!I510</f>
        <v/>
      </c>
      <c r="AE520">
        <f>Database!BD510</f>
        <v/>
      </c>
      <c r="AF520">
        <f>Database!BJ510</f>
        <v/>
      </c>
      <c r="AG520">
        <f>Database!H510</f>
        <v/>
      </c>
      <c r="AH520">
        <f>Database!BE510</f>
        <v/>
      </c>
    </row>
    <row r="521">
      <c r="AA521">
        <f>Database!B511</f>
        <v/>
      </c>
      <c r="AB521">
        <f>Database!D511</f>
        <v/>
      </c>
      <c r="AC521">
        <f>Database!E511</f>
        <v/>
      </c>
      <c r="AD521">
        <f>Database!I511</f>
        <v/>
      </c>
      <c r="AE521">
        <f>Database!BD511</f>
        <v/>
      </c>
      <c r="AF521">
        <f>Database!BJ511</f>
        <v/>
      </c>
      <c r="AG521">
        <f>Database!H511</f>
        <v/>
      </c>
      <c r="AH521">
        <f>Database!BE511</f>
        <v/>
      </c>
    </row>
    <row r="522">
      <c r="AA522">
        <f>Database!B512</f>
        <v/>
      </c>
      <c r="AB522">
        <f>Database!D512</f>
        <v/>
      </c>
      <c r="AC522">
        <f>Database!E512</f>
        <v/>
      </c>
      <c r="AD522">
        <f>Database!I512</f>
        <v/>
      </c>
      <c r="AE522">
        <f>Database!BD512</f>
        <v/>
      </c>
      <c r="AF522">
        <f>Database!BJ512</f>
        <v/>
      </c>
      <c r="AG522">
        <f>Database!H512</f>
        <v/>
      </c>
      <c r="AH522">
        <f>Database!BE512</f>
        <v/>
      </c>
    </row>
    <row r="523">
      <c r="AA523">
        <f>Database!B513</f>
        <v/>
      </c>
      <c r="AB523">
        <f>Database!D513</f>
        <v/>
      </c>
      <c r="AC523">
        <f>Database!E513</f>
        <v/>
      </c>
      <c r="AD523">
        <f>Database!I513</f>
        <v/>
      </c>
      <c r="AE523">
        <f>Database!BD513</f>
        <v/>
      </c>
      <c r="AF523">
        <f>Database!BJ513</f>
        <v/>
      </c>
      <c r="AG523">
        <f>Database!H513</f>
        <v/>
      </c>
      <c r="AH523">
        <f>Database!BE513</f>
        <v/>
      </c>
    </row>
    <row r="524">
      <c r="AA524">
        <f>Database!B514</f>
        <v/>
      </c>
      <c r="AB524">
        <f>Database!D514</f>
        <v/>
      </c>
      <c r="AC524">
        <f>Database!E514</f>
        <v/>
      </c>
      <c r="AD524">
        <f>Database!I514</f>
        <v/>
      </c>
      <c r="AE524">
        <f>Database!BD514</f>
        <v/>
      </c>
      <c r="AF524">
        <f>Database!BJ514</f>
        <v/>
      </c>
      <c r="AG524">
        <f>Database!H514</f>
        <v/>
      </c>
      <c r="AH524">
        <f>Database!BE514</f>
        <v/>
      </c>
    </row>
    <row r="525">
      <c r="AA525">
        <f>Database!B515</f>
        <v/>
      </c>
      <c r="AB525">
        <f>Database!D515</f>
        <v/>
      </c>
      <c r="AC525">
        <f>Database!E515</f>
        <v/>
      </c>
      <c r="AD525">
        <f>Database!I515</f>
        <v/>
      </c>
      <c r="AE525">
        <f>Database!BD515</f>
        <v/>
      </c>
      <c r="AF525">
        <f>Database!BJ515</f>
        <v/>
      </c>
      <c r="AG525">
        <f>Database!H515</f>
        <v/>
      </c>
      <c r="AH525">
        <f>Database!BE515</f>
        <v/>
      </c>
    </row>
    <row r="526">
      <c r="AA526">
        <f>Database!B516</f>
        <v/>
      </c>
      <c r="AB526">
        <f>Database!D516</f>
        <v/>
      </c>
      <c r="AC526">
        <f>Database!E516</f>
        <v/>
      </c>
      <c r="AD526">
        <f>Database!I516</f>
        <v/>
      </c>
      <c r="AE526">
        <f>Database!BD516</f>
        <v/>
      </c>
      <c r="AF526">
        <f>Database!BJ516</f>
        <v/>
      </c>
      <c r="AG526">
        <f>Database!H516</f>
        <v/>
      </c>
      <c r="AH526">
        <f>Database!BE516</f>
        <v/>
      </c>
    </row>
    <row r="527">
      <c r="AA527">
        <f>Database!B517</f>
        <v/>
      </c>
      <c r="AB527">
        <f>Database!D517</f>
        <v/>
      </c>
      <c r="AC527">
        <f>Database!E517</f>
        <v/>
      </c>
      <c r="AD527">
        <f>Database!I517</f>
        <v/>
      </c>
      <c r="AE527">
        <f>Database!BD517</f>
        <v/>
      </c>
      <c r="AF527">
        <f>Database!BJ517</f>
        <v/>
      </c>
      <c r="AG527">
        <f>Database!H517</f>
        <v/>
      </c>
      <c r="AH527">
        <f>Database!BE517</f>
        <v/>
      </c>
    </row>
    <row r="528">
      <c r="AA528">
        <f>Database!B518</f>
        <v/>
      </c>
      <c r="AB528">
        <f>Database!D518</f>
        <v/>
      </c>
      <c r="AC528">
        <f>Database!E518</f>
        <v/>
      </c>
      <c r="AD528">
        <f>Database!I518</f>
        <v/>
      </c>
      <c r="AE528">
        <f>Database!BD518</f>
        <v/>
      </c>
      <c r="AF528">
        <f>Database!BJ518</f>
        <v/>
      </c>
      <c r="AG528">
        <f>Database!H518</f>
        <v/>
      </c>
      <c r="AH528">
        <f>Database!BE518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2026-09-06T17:42:03Z</dcterms:created>
  <dcterms:modified xsi:type="dcterms:W3CDTF">2026-09-06T17:42:18Z</dcterms:modified>
</cp:coreProperties>
</file>